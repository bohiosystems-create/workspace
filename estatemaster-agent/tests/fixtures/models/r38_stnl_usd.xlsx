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Investment Returns" sheetId="3" state="visible" r:id="rId5"/>
    <sheet name="Valuation" sheetId="4" state="visible" r:id="rId6"/>
  </sheets>
  <definedNames>
    <definedName function="false" hidden="false" name="Debt_Amount" vbProcedure="false">Inputs!$M$14</definedName>
    <definedName function="false" hidden="false" name="Debt_Balloon" vbProcedure="false">'Investment Returns'!$N$8</definedName>
    <definedName function="false" hidden="false" name="Debt_Payment" vbProcedure="false">'Investment Returns'!$N$7</definedName>
    <definedName function="false" hidden="false" name="Discount_Rate_Credit" vbProcedure="false">Inputs!$M$22</definedName>
    <definedName function="false" hidden="false" name="Discount_Rate_Residual" vbProcedure="false">Inputs!$G$26</definedName>
    <definedName function="false" hidden="false" name="Discount_Rate_Spec" vbProcedure="false">Inputs!$M$23</definedName>
    <definedName function="false" hidden="false" name="Project_TotalCost" vbProcedure="false">Inputs!$M$11</definedName>
    <definedName function="false" hidden="false" name="Rent_Base" vbProcedure="false">Inputs!$M$31</definedName>
    <definedName function="false" hidden="false" name="Residual_Month" vbProcedure="false">Inputs!$F$9</definedName>
    <definedName function="false" hidden="false" name="Residual_NetValue" vbProcedure="false">Inputs!$G$43</definedName>
    <definedName function="false" hidden="false" name="SF_NRA" vbProcedure="false">Summary!$G$11</definedName>
    <definedName function="false" hidden="false" name="Vacancy" vbProcedure="false">Inputs!$G$10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<sst xmlns="http://schemas.openxmlformats.org/spreadsheetml/2006/main" count="162" uniqueCount="128">
  <si>
    <t xml:space="preserve">STNL VALUATION MODEL | INVESTMENT SUMMARY</t>
  </si>
  <si>
    <t xml:space="preserve">PROPERTY DESCRIPTION</t>
  </si>
  <si>
    <t xml:space="preserve">LEASE SUMMARY</t>
  </si>
  <si>
    <t xml:space="preserve">Name</t>
  </si>
  <si>
    <t xml:space="preserve">Harbor Pharmacy</t>
  </si>
  <si>
    <t xml:space="preserve">Net Rentable Area (SF)</t>
  </si>
  <si>
    <t xml:space="preserve">Remaining Term (months)</t>
  </si>
  <si>
    <t xml:space="preserve">Lease Type</t>
  </si>
  <si>
    <t xml:space="preserve">NNN</t>
  </si>
  <si>
    <t xml:space="preserve">PRICING/VALUATION</t>
  </si>
  <si>
    <t xml:space="preserve">Cap Rate</t>
  </si>
  <si>
    <t xml:space="preserve">Price</t>
  </si>
  <si>
    <t xml:space="preserve">Asking Price</t>
  </si>
  <si>
    <t xml:space="preserve">RETURN SUMMARY</t>
  </si>
  <si>
    <t xml:space="preserve">Analysis Period:</t>
  </si>
  <si>
    <t xml:space="preserve">Acquisition Price</t>
  </si>
  <si>
    <t xml:space="preserve">Profit</t>
  </si>
  <si>
    <t xml:space="preserve">IRR</t>
  </si>
  <si>
    <t xml:space="preserve">EMx </t>
  </si>
  <si>
    <t xml:space="preserve">Unlevered</t>
  </si>
  <si>
    <t xml:space="preserve">DCF Value</t>
  </si>
  <si>
    <t xml:space="preserve">Levered</t>
  </si>
  <si>
    <t xml:space="preserve">STNL VALUATION MODEL | INPUTS</t>
  </si>
  <si>
    <t xml:space="preserve">ANALYSIS DETAILS</t>
  </si>
  <si>
    <t xml:space="preserve">PROJECT INVESTMENT</t>
  </si>
  <si>
    <t xml:space="preserve">%</t>
  </si>
  <si>
    <t xml:space="preserve">Amount</t>
  </si>
  <si>
    <t xml:space="preserve">Analysis Start</t>
  </si>
  <si>
    <t xml:space="preserve">Purchase Price</t>
  </si>
  <si>
    <t xml:space="preserve">Analysis Period</t>
  </si>
  <si>
    <t xml:space="preserve">Acquisition Fees</t>
  </si>
  <si>
    <t xml:space="preserve">Analysis End</t>
  </si>
  <si>
    <t xml:space="preserve">Residual Month</t>
  </si>
  <si>
    <t xml:space="preserve">Due Diligence Costs</t>
  </si>
  <si>
    <t xml:space="preserve">General Vacancy</t>
  </si>
  <si>
    <t xml:space="preserve">Construction Costs</t>
  </si>
  <si>
    <t xml:space="preserve">Total Project Costs</t>
  </si>
  <si>
    <t xml:space="preserve">OTHER INCOME ASSUMPTIONS</t>
  </si>
  <si>
    <t xml:space="preserve">Other Income - Billboard Rent</t>
  </si>
  <si>
    <t xml:space="preserve">DEBT</t>
  </si>
  <si>
    <t xml:space="preserve">% of Price</t>
  </si>
  <si>
    <t xml:space="preserve">Loan Amount</t>
  </si>
  <si>
    <t xml:space="preserve">Income Growth (% /Yr.)</t>
  </si>
  <si>
    <t xml:space="preserve">Fixed Interest Rate</t>
  </si>
  <si>
    <t xml:space="preserve">Amortization</t>
  </si>
  <si>
    <t xml:space="preserve">EXPENSE ASSUMPTIONS</t>
  </si>
  <si>
    <t xml:space="preserve">Tenant Expense Recovery %</t>
  </si>
  <si>
    <t xml:space="preserve">TENANT DETAILS</t>
  </si>
  <si>
    <t xml:space="preserve">Tenant Name</t>
  </si>
  <si>
    <t xml:space="preserve">Harbor Pharmacy, Inc</t>
  </si>
  <si>
    <t xml:space="preserve">Year 1 Operating Expenses</t>
  </si>
  <si>
    <t xml:space="preserve">Year 1 Capital Expenditures</t>
  </si>
  <si>
    <t xml:space="preserve">Credit Rating</t>
  </si>
  <si>
    <t xml:space="preserve">BBB+</t>
  </si>
  <si>
    <t xml:space="preserve">Expense Growth (% /Yr.)</t>
  </si>
  <si>
    <t xml:space="preserve">Credit Income Discount Rate</t>
  </si>
  <si>
    <t xml:space="preserve">Spec Income Discount Rate</t>
  </si>
  <si>
    <t xml:space="preserve">Year 1 Net Operating Income</t>
  </si>
  <si>
    <t xml:space="preserve">RESIDUAL ASSUMPTIONS</t>
  </si>
  <si>
    <t xml:space="preserve">LEASE RENT DETAILS</t>
  </si>
  <si>
    <t xml:space="preserve">Residual Discount Rate</t>
  </si>
  <si>
    <t xml:space="preserve">Remaining Lease Term (months)</t>
  </si>
  <si>
    <t xml:space="preserve">Gross Rent</t>
  </si>
  <si>
    <t xml:space="preserve">Lease End</t>
  </si>
  <si>
    <t xml:space="preserve">End Month</t>
  </si>
  <si>
    <t xml:space="preserve">Expense Recovery Income</t>
  </si>
  <si>
    <t xml:space="preserve">Other Income</t>
  </si>
  <si>
    <t xml:space="preserve">Rent Increase Type</t>
  </si>
  <si>
    <t xml:space="preserve">Annual</t>
  </si>
  <si>
    <t xml:space="preserve">Base Rent /SF/Yr (as of Month 1)</t>
  </si>
  <si>
    <t xml:space="preserve">Rent Increase</t>
  </si>
  <si>
    <t xml:space="preserve">OPTION #1 - RENEWAL INCOME</t>
  </si>
  <si>
    <t xml:space="preserve">Yes</t>
  </si>
  <si>
    <t xml:space="preserve">- Operating Expenses</t>
  </si>
  <si>
    <t xml:space="preserve">Exercise Probability</t>
  </si>
  <si>
    <t xml:space="preserve">Start Month</t>
  </si>
  <si>
    <t xml:space="preserve">Net Operating Income</t>
  </si>
  <si>
    <t xml:space="preserve">Length</t>
  </si>
  <si>
    <t xml:space="preserve">Option Rent /SF/Yr</t>
  </si>
  <si>
    <t xml:space="preserve">Option Rent Increase (% /Yr.)</t>
  </si>
  <si>
    <t xml:space="preserve">Net Residual Value</t>
  </si>
  <si>
    <t xml:space="preserve">Input</t>
  </si>
  <si>
    <t xml:space="preserve">Gross Residual Value</t>
  </si>
  <si>
    <t xml:space="preserve">- Selling Costs</t>
  </si>
  <si>
    <t xml:space="preserve">Market Rent /SF/Yr (if not renewed)</t>
  </si>
  <si>
    <t xml:space="preserve">Downtime (months)</t>
  </si>
  <si>
    <t xml:space="preserve">Year</t>
  </si>
  <si>
    <t xml:space="preserve">Month</t>
  </si>
  <si>
    <t xml:space="preserve">Month Ending</t>
  </si>
  <si>
    <t xml:space="preserve">Base Credit Income</t>
  </si>
  <si>
    <t xml:space="preserve">Option 1 Credit Income</t>
  </si>
  <si>
    <t xml:space="preserve">Option 1 Spec Income</t>
  </si>
  <si>
    <t xml:space="preserve">Expense Recovery</t>
  </si>
  <si>
    <t xml:space="preserve">OpEx</t>
  </si>
  <si>
    <t xml:space="preserve">CapEx</t>
  </si>
  <si>
    <t xml:space="preserve">STNL VALUATION MODEL | INVESTMENT RETURNS</t>
  </si>
  <si>
    <t xml:space="preserve">Unlevered Returns</t>
  </si>
  <si>
    <t xml:space="preserve">Debt</t>
  </si>
  <si>
    <t xml:space="preserve">Payment (Monthly)</t>
  </si>
  <si>
    <t xml:space="preserve">EMx</t>
  </si>
  <si>
    <t xml:space="preserve">Balloon Balance</t>
  </si>
  <si>
    <t xml:space="preserve">Term</t>
  </si>
  <si>
    <t xml:space="preserve">Levered Returns</t>
  </si>
  <si>
    <t xml:space="preserve">ANNUAL CASH FLOW</t>
  </si>
  <si>
    <t xml:space="preserve">Gross Rents</t>
  </si>
  <si>
    <t xml:space="preserve">Cash Flow from Operations</t>
  </si>
  <si>
    <t xml:space="preserve">Debt Service</t>
  </si>
  <si>
    <t xml:space="preserve">Unlevered Cash Flow</t>
  </si>
  <si>
    <t xml:space="preserve">Levered Cash Flow</t>
  </si>
  <si>
    <t xml:space="preserve">MONTHLY CASH FLOW</t>
  </si>
  <si>
    <t xml:space="preserve">Effective Gross Revenue</t>
  </si>
  <si>
    <t xml:space="preserve">Operating Expenses</t>
  </si>
  <si>
    <t xml:space="preserve">Capital Expenditures</t>
  </si>
  <si>
    <t xml:space="preserve">Cash Flow after Financing</t>
  </si>
  <si>
    <t xml:space="preserve">Initial Investment</t>
  </si>
  <si>
    <t xml:space="preserve">Initial Loan Draw</t>
  </si>
  <si>
    <t xml:space="preserve">Loan Payoff</t>
  </si>
  <si>
    <t xml:space="preserve">STNL VALUATION MODEL | VALUATION</t>
  </si>
  <si>
    <t xml:space="preserve">VALUATION SUMMARY</t>
  </si>
  <si>
    <t xml:space="preserve">Year 1 NOI</t>
  </si>
  <si>
    <t xml:space="preserve">PV of Project Cash Flows</t>
  </si>
  <si>
    <t xml:space="preserve">Yield-on PV</t>
  </si>
  <si>
    <t xml:space="preserve">Discount Rate</t>
  </si>
  <si>
    <t xml:space="preserve">Credit Cash Flow</t>
  </si>
  <si>
    <t xml:space="preserve">Spec Cash Flow</t>
  </si>
  <si>
    <t xml:space="preserve">Residual Cash Flow</t>
  </si>
  <si>
    <t xml:space="preserve">PV of CF</t>
  </si>
  <si>
    <t xml:space="preserve">Present 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</si>
</sst>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#,##0"/>
    <numFmt numFmtId="167" formatCode="0.00\x"/>
    <numFmt numFmtId="168" formatCode="mmm\-yy"/>
    <numFmt numFmtId="169" formatCode="0%"/>
    <numFmt numFmtId="170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6" customFormat="false" ht="15" hidden="false" customHeight="false" outlineLevel="0" collapsed="false">
      <c r="B6" s="0" t="s">
        <v>1</v>
      </c>
      <c r="I6" s="0" t="s">
        <v>2</v>
      </c>
    </row>
    <row r="7" customFormat="false" ht="15" hidden="false" customHeight="false" outlineLevel="0" collapsed="false">
      <c r="B7" s="0" t="s">
        <v>3</v>
      </c>
      <c r="G7" s="0" t="s">
        <v>4</v>
      </c>
    </row>
    <row r="11" customFormat="false" ht="15" hidden="false" customHeight="false" outlineLevel="0" collapsed="false">
      <c r="B11" s="0" t="s">
        <v>5</v>
      </c>
      <c r="G11" s="0" t="n">
        <v>14500</v>
      </c>
      <c r="I11" s="0" t="s">
        <v>6</v>
      </c>
      <c r="L11" s="0" t="n">
        <f aca="false">Inputs!M27</f>
        <v>96</v>
      </c>
    </row>
    <row r="12" customFormat="false" ht="15" hidden="false" customHeight="false" outlineLevel="0" collapsed="false">
      <c r="I12" s="0" t="s">
        <v>7</v>
      </c>
      <c r="L12" s="0" t="s">
        <v>8</v>
      </c>
    </row>
    <row r="14" customFormat="false" ht="15" hidden="false" customHeight="false" outlineLevel="0" collapsed="false">
      <c r="I14" s="0" t="s">
        <v>9</v>
      </c>
      <c r="L14" s="0" t="s">
        <v>10</v>
      </c>
      <c r="N14" s="0" t="s">
        <v>11</v>
      </c>
    </row>
    <row r="15" customFormat="false" ht="15" hidden="false" customHeight="false" outlineLevel="0" collapsed="false">
      <c r="I15" s="0" t="s">
        <v>12</v>
      </c>
      <c r="L15" s="1" t="n">
        <f aca="false">'Investment Returns'!$D$23/N15</f>
        <v>0.0848106060606061</v>
      </c>
      <c r="N15" s="2" t="n">
        <v>6600000</v>
      </c>
    </row>
    <row r="16" customFormat="false" ht="15" hidden="false" customHeight="false" outlineLevel="0" collapsed="false">
      <c r="B16" s="0" t="s">
        <v>13</v>
      </c>
      <c r="F16" s="0" t="s">
        <v>14</v>
      </c>
      <c r="G16" s="0" t="n">
        <f aca="false">Residual_Month</f>
        <v>156</v>
      </c>
      <c r="I16" s="0" t="s">
        <v>15</v>
      </c>
      <c r="L16" s="1" t="n">
        <f aca="false">'Investment Returns'!$D$23/N16</f>
        <v>0.075</v>
      </c>
      <c r="N16" s="2" t="n">
        <f aca="false">Inputs!M7</f>
        <v>7463333.33333333</v>
      </c>
    </row>
    <row r="17" customFormat="false" ht="15" hidden="false" customHeight="false" outlineLevel="0" collapsed="false">
      <c r="E17" s="0" t="s">
        <v>16</v>
      </c>
      <c r="F17" s="0" t="s">
        <v>17</v>
      </c>
      <c r="G17" s="0" t="s">
        <v>18</v>
      </c>
    </row>
    <row r="18" customFormat="false" ht="15" hidden="false" customHeight="false" outlineLevel="0" collapsed="false">
      <c r="B18" s="0" t="s">
        <v>19</v>
      </c>
      <c r="E18" s="2" t="n">
        <f aca="false">SUM('Investment Returns'!C33:W33)</f>
        <v>9259108.42091904</v>
      </c>
      <c r="F18" s="1" t="n">
        <f aca="false">'Investment Returns'!E7</f>
        <v>0.0896571082063726</v>
      </c>
      <c r="G18" s="3" t="n">
        <f aca="false">'Investment Returns'!E8</f>
        <v>2.22227882621583</v>
      </c>
      <c r="I18" s="4" t="s">
        <v>20</v>
      </c>
      <c r="L18" s="1" t="n">
        <f aca="false">'Investment Returns'!$D$23/N18</f>
        <v>0.0698813947339608</v>
      </c>
      <c r="N18" s="2" t="n">
        <f aca="false">Valuation!C42</f>
        <v>8010000.40326862</v>
      </c>
    </row>
    <row r="19" customFormat="false" ht="15" hidden="false" customHeight="false" outlineLevel="0" collapsed="false">
      <c r="B19" s="0" t="s">
        <v>21</v>
      </c>
      <c r="E19" s="2" t="n">
        <f aca="false">SUM('Investment Returns'!C34:W34)</f>
        <v>5765510.51971385</v>
      </c>
      <c r="F19" s="1" t="n">
        <f aca="false">'Investment Returns'!E12</f>
        <v>0.123742389288525</v>
      </c>
      <c r="G19" s="3" t="n">
        <f aca="false">'Investment Returns'!E13</f>
        <v>3.11646974972212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W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22</v>
      </c>
    </row>
    <row r="6" customFormat="false" ht="15" hidden="false" customHeight="false" outlineLevel="0" collapsed="false">
      <c r="B6" s="0" t="s">
        <v>23</v>
      </c>
      <c r="I6" s="0" t="s">
        <v>24</v>
      </c>
      <c r="K6" s="0" t="s">
        <v>25</v>
      </c>
      <c r="M6" s="0" t="s">
        <v>26</v>
      </c>
    </row>
    <row r="7" customFormat="false" ht="15" hidden="false" customHeight="false" outlineLevel="0" collapsed="false">
      <c r="B7" s="0" t="s">
        <v>27</v>
      </c>
      <c r="G7" s="5" t="n">
        <v>46023</v>
      </c>
      <c r="I7" s="4" t="s">
        <v>28</v>
      </c>
      <c r="M7" s="4" t="n">
        <f aca="false">'Investment Returns'!D23/0.075</f>
        <v>7463333.33333333</v>
      </c>
    </row>
    <row r="8" customFormat="false" ht="15" hidden="false" customHeight="false" outlineLevel="0" collapsed="false">
      <c r="B8" s="0" t="s">
        <v>29</v>
      </c>
      <c r="G8" s="0" t="n">
        <f aca="false">F9</f>
        <v>156</v>
      </c>
      <c r="I8" s="0" t="s">
        <v>30</v>
      </c>
      <c r="K8" s="1" t="n">
        <v>0.01</v>
      </c>
      <c r="M8" s="4" t="n">
        <f aca="false">M7*K8</f>
        <v>74633.3333333333</v>
      </c>
    </row>
    <row r="9" customFormat="false" ht="15" hidden="false" customHeight="false" outlineLevel="0" collapsed="false">
      <c r="B9" s="0" t="s">
        <v>31</v>
      </c>
      <c r="E9" s="0" t="s">
        <v>32</v>
      </c>
      <c r="F9" s="0" t="n">
        <f aca="false">MIN(IF($M$33="Yes",$L$35,$L$28),240)</f>
        <v>156</v>
      </c>
      <c r="G9" s="5" t="n">
        <f aca="false">EOMONTH(G7,G8-1)</f>
        <v>50770</v>
      </c>
      <c r="I9" s="4" t="s">
        <v>33</v>
      </c>
      <c r="K9" s="1" t="n">
        <v>0.005</v>
      </c>
      <c r="M9" s="4" t="n">
        <f aca="false">M7*K9</f>
        <v>37316.6666666667</v>
      </c>
    </row>
    <row r="10" customFormat="false" ht="15" hidden="false" customHeight="false" outlineLevel="0" collapsed="false">
      <c r="B10" s="0" t="s">
        <v>34</v>
      </c>
      <c r="G10" s="1" t="n">
        <v>0</v>
      </c>
      <c r="I10" s="4" t="s">
        <v>35</v>
      </c>
      <c r="M10" s="0" t="n">
        <v>0</v>
      </c>
    </row>
    <row r="11" customFormat="false" ht="15" hidden="false" customHeight="false" outlineLevel="0" collapsed="false">
      <c r="I11" s="0" t="s">
        <v>36</v>
      </c>
      <c r="M11" s="0" t="n">
        <f aca="false">SUM(M7:M10)</f>
        <v>7575283.33333333</v>
      </c>
    </row>
    <row r="12" customFormat="false" ht="15" hidden="false" customHeight="false" outlineLevel="0" collapsed="false">
      <c r="B12" s="0" t="s">
        <v>37</v>
      </c>
    </row>
    <row r="13" customFormat="false" ht="15" hidden="false" customHeight="false" outlineLevel="0" collapsed="false">
      <c r="B13" s="0" t="s">
        <v>38</v>
      </c>
      <c r="G13" s="0" t="n">
        <v>1500</v>
      </c>
      <c r="I13" s="0" t="s">
        <v>39</v>
      </c>
      <c r="K13" s="0" t="s">
        <v>40</v>
      </c>
    </row>
    <row r="14" customFormat="false" ht="15" hidden="false" customHeight="false" outlineLevel="0" collapsed="false">
      <c r="I14" s="0" t="s">
        <v>41</v>
      </c>
      <c r="K14" s="1" t="n">
        <v>0.65</v>
      </c>
      <c r="M14" s="4" t="n">
        <f aca="false">M7*K14</f>
        <v>4851166.66666667</v>
      </c>
    </row>
    <row r="15" customFormat="false" ht="15" hidden="false" customHeight="false" outlineLevel="0" collapsed="false">
      <c r="B15" s="0" t="s">
        <v>42</v>
      </c>
      <c r="G15" s="1" t="n">
        <v>0.02</v>
      </c>
      <c r="I15" s="4" t="s">
        <v>43</v>
      </c>
      <c r="M15" s="1" t="n">
        <v>0.0615</v>
      </c>
    </row>
    <row r="16" customFormat="false" ht="15" hidden="false" customHeight="false" outlineLevel="0" collapsed="false">
      <c r="I16" s="0" t="s">
        <v>44</v>
      </c>
      <c r="M16" s="0" t="n">
        <v>360</v>
      </c>
    </row>
    <row r="17" customFormat="false" ht="15" hidden="false" customHeight="false" outlineLevel="0" collapsed="false">
      <c r="B17" s="0" t="s">
        <v>45</v>
      </c>
    </row>
    <row r="18" customFormat="false" ht="15" hidden="false" customHeight="false" outlineLevel="0" collapsed="false">
      <c r="B18" s="0" t="s">
        <v>46</v>
      </c>
      <c r="G18" s="6" t="n">
        <v>1</v>
      </c>
      <c r="I18" s="4" t="s">
        <v>47</v>
      </c>
    </row>
    <row r="19" customFormat="false" ht="15" hidden="false" customHeight="false" outlineLevel="0" collapsed="false">
      <c r="I19" s="0" t="s">
        <v>48</v>
      </c>
      <c r="M19" s="0" t="s">
        <v>49</v>
      </c>
    </row>
    <row r="20" customFormat="false" ht="15" hidden="false" customHeight="false" outlineLevel="0" collapsed="false">
      <c r="B20" s="0" t="s">
        <v>50</v>
      </c>
      <c r="G20" s="0" t="n">
        <f aca="false">SF_NRA*7.25</f>
        <v>105125</v>
      </c>
    </row>
    <row r="21" customFormat="false" ht="15" hidden="false" customHeight="false" outlineLevel="0" collapsed="false">
      <c r="B21" s="0" t="s">
        <v>51</v>
      </c>
      <c r="G21" s="0" t="n">
        <f aca="false">SF_NRA*0.4</f>
        <v>5800</v>
      </c>
      <c r="I21" s="0" t="s">
        <v>52</v>
      </c>
      <c r="M21" s="0" t="s">
        <v>53</v>
      </c>
    </row>
    <row r="22" customFormat="false" ht="15" hidden="false" customHeight="false" outlineLevel="0" collapsed="false">
      <c r="B22" s="0" t="s">
        <v>54</v>
      </c>
      <c r="G22" s="1" t="n">
        <v>0.025</v>
      </c>
      <c r="I22" s="4" t="s">
        <v>55</v>
      </c>
      <c r="M22" s="0" t="n">
        <v>0.0675</v>
      </c>
    </row>
    <row r="23" customFormat="false" ht="15" hidden="false" customHeight="false" outlineLevel="0" collapsed="false">
      <c r="I23" s="0" t="s">
        <v>56</v>
      </c>
      <c r="M23" s="1" t="n">
        <f aca="false">G26</f>
        <v>0.0925</v>
      </c>
    </row>
    <row r="24" customFormat="false" ht="15" hidden="false" customHeight="false" outlineLevel="0" collapsed="false">
      <c r="B24" s="0" t="s">
        <v>57</v>
      </c>
      <c r="G24" s="0" t="n">
        <f aca="false">'Investment Returns'!D23</f>
        <v>559750</v>
      </c>
    </row>
    <row r="25" customFormat="false" ht="15" hidden="false" customHeight="false" outlineLevel="0" collapsed="false">
      <c r="B25" s="0" t="s">
        <v>58</v>
      </c>
      <c r="I25" s="0" t="s">
        <v>59</v>
      </c>
    </row>
    <row r="26" customFormat="false" ht="15" hidden="false" customHeight="false" outlineLevel="0" collapsed="false">
      <c r="B26" s="0" t="s">
        <v>60</v>
      </c>
      <c r="G26" s="1" t="n">
        <f aca="false">E39+0.02</f>
        <v>0.0925</v>
      </c>
    </row>
    <row r="27" customFormat="false" ht="15" hidden="false" customHeight="false" outlineLevel="0" collapsed="false">
      <c r="I27" s="0" t="s">
        <v>61</v>
      </c>
      <c r="M27" s="0" t="n">
        <v>96</v>
      </c>
    </row>
    <row r="28" customFormat="false" ht="15" hidden="false" customHeight="false" outlineLevel="0" collapsed="false">
      <c r="B28" s="0" t="s">
        <v>62</v>
      </c>
      <c r="F28" s="0" t="n">
        <f aca="false">$M$43*SF_NRA*(1+$G$15)^(F9/12)</f>
        <v>675262.661096882</v>
      </c>
      <c r="I28" s="0" t="s">
        <v>63</v>
      </c>
      <c r="K28" s="0" t="s">
        <v>64</v>
      </c>
      <c r="L28" s="0" t="n">
        <f aca="false">ROUND(M27,0)</f>
        <v>96</v>
      </c>
    </row>
    <row r="29" customFormat="false" ht="15" hidden="false" customHeight="false" outlineLevel="0" collapsed="false">
      <c r="B29" s="0" t="s">
        <v>65</v>
      </c>
      <c r="F29" s="0" t="n">
        <f aca="false">$G$20*$G$18*(1+$G$22)^(F9/12)</f>
        <v>144915.973590114</v>
      </c>
    </row>
    <row r="30" customFormat="false" ht="15" hidden="false" customHeight="false" outlineLevel="0" collapsed="false">
      <c r="B30" s="0" t="s">
        <v>66</v>
      </c>
      <c r="F30" s="0" t="n">
        <f aca="false">$G$13*(1+$G$15)^(F9/12)</f>
        <v>1940.40994568069</v>
      </c>
      <c r="I30" s="0" t="s">
        <v>67</v>
      </c>
      <c r="M30" s="0" t="s">
        <v>68</v>
      </c>
    </row>
    <row r="31" customFormat="false" ht="15" hidden="false" customHeight="false" outlineLevel="0" collapsed="false">
      <c r="I31" s="0" t="s">
        <v>69</v>
      </c>
      <c r="L31" s="0" t="n">
        <f aca="false">M31*SF_NRA</f>
        <v>558250</v>
      </c>
      <c r="M31" s="0" t="n">
        <v>38.5</v>
      </c>
    </row>
    <row r="32" customFormat="false" ht="15" hidden="false" customHeight="false" outlineLevel="0" collapsed="false">
      <c r="I32" s="0" t="s">
        <v>70</v>
      </c>
      <c r="M32" s="1" t="n">
        <v>0.02</v>
      </c>
    </row>
    <row r="33" customFormat="false" ht="15" hidden="false" customHeight="false" outlineLevel="0" collapsed="false">
      <c r="I33" s="0" t="s">
        <v>71</v>
      </c>
      <c r="M33" s="0" t="s">
        <v>72</v>
      </c>
    </row>
    <row r="34" customFormat="false" ht="15" hidden="false" customHeight="false" outlineLevel="0" collapsed="false">
      <c r="B34" s="0" t="s">
        <v>73</v>
      </c>
      <c r="F34" s="0" t="n">
        <f aca="false">$G$20*(1+$G$22)^(F9/12)</f>
        <v>144915.973590114</v>
      </c>
      <c r="I34" s="0" t="s">
        <v>74</v>
      </c>
      <c r="K34" s="0" t="s">
        <v>75</v>
      </c>
      <c r="L34" s="0" t="n">
        <f aca="false">L28+1</f>
        <v>97</v>
      </c>
      <c r="M34" s="6" t="n">
        <v>0.7</v>
      </c>
    </row>
    <row r="35" customFormat="false" ht="15" hidden="false" customHeight="false" outlineLevel="0" collapsed="false">
      <c r="B35" s="0" t="s">
        <v>76</v>
      </c>
      <c r="F35" s="0" t="n">
        <f aca="false">F28+F29+F30-F34</f>
        <v>677203.071042563</v>
      </c>
      <c r="I35" s="0" t="s">
        <v>77</v>
      </c>
      <c r="K35" s="0" t="s">
        <v>64</v>
      </c>
      <c r="L35" s="0" t="n">
        <f aca="false">L34+ROUND(M35,0)-1</f>
        <v>156</v>
      </c>
      <c r="M35" s="0" t="n">
        <v>60</v>
      </c>
    </row>
    <row r="36" customFormat="false" ht="15" hidden="false" customHeight="false" outlineLevel="0" collapsed="false">
      <c r="I36" s="0" t="s">
        <v>78</v>
      </c>
      <c r="M36" s="0" t="n">
        <f aca="false">M31*(1+M32)^(ROUND(M27,0)/12)*(1+M37)</f>
        <v>45.1088861685872</v>
      </c>
    </row>
    <row r="37" customFormat="false" ht="15" hidden="false" customHeight="false" outlineLevel="0" collapsed="false">
      <c r="I37" s="0" t="s">
        <v>79</v>
      </c>
      <c r="M37" s="1" t="n">
        <v>0</v>
      </c>
    </row>
    <row r="38" customFormat="false" ht="15" hidden="false" customHeight="false" outlineLevel="0" collapsed="false">
      <c r="B38" s="0" t="s">
        <v>80</v>
      </c>
      <c r="E38" s="0" t="s">
        <v>81</v>
      </c>
      <c r="G38" s="0" t="s">
        <v>26</v>
      </c>
    </row>
    <row r="39" customFormat="false" ht="15" hidden="false" customHeight="false" outlineLevel="0" collapsed="false">
      <c r="B39" s="0" t="s">
        <v>82</v>
      </c>
      <c r="D39" s="0" t="s">
        <v>10</v>
      </c>
      <c r="E39" s="1" t="n">
        <v>0.0725</v>
      </c>
      <c r="G39" s="4" t="n">
        <f aca="false">F35/E39</f>
        <v>9340732.01438017</v>
      </c>
    </row>
    <row r="42" customFormat="false" ht="15" hidden="false" customHeight="false" outlineLevel="0" collapsed="false">
      <c r="B42" s="0" t="s">
        <v>83</v>
      </c>
      <c r="D42" s="0" t="s">
        <v>25</v>
      </c>
      <c r="E42" s="1" t="n">
        <v>0.02</v>
      </c>
      <c r="G42" s="4" t="n">
        <f aca="false">E42*G39</f>
        <v>186814.640287603</v>
      </c>
    </row>
    <row r="43" customFormat="false" ht="15" hidden="false" customHeight="false" outlineLevel="0" collapsed="false">
      <c r="B43" s="0" t="s">
        <v>80</v>
      </c>
      <c r="G43" s="0" t="n">
        <f aca="false">G39-G42</f>
        <v>9153917.37409257</v>
      </c>
      <c r="I43" s="0" t="s">
        <v>84</v>
      </c>
      <c r="M43" s="0" t="n">
        <v>36</v>
      </c>
    </row>
    <row r="44" customFormat="false" ht="15" hidden="false" customHeight="false" outlineLevel="0" collapsed="false">
      <c r="I44" s="0" t="s">
        <v>85</v>
      </c>
      <c r="M44" s="0" t="n">
        <v>9</v>
      </c>
    </row>
    <row r="78" customFormat="false" ht="15" hidden="false" customHeight="false" outlineLevel="0" collapsed="false">
      <c r="P78" s="0" t="s">
        <v>86</v>
      </c>
      <c r="Q78" s="0" t="n">
        <f aca="false">ROUNDUP(Q79/12,0)</f>
        <v>0</v>
      </c>
      <c r="R78" s="0" t="n">
        <f aca="false">ROUNDUP(R79/12,0)</f>
        <v>1</v>
      </c>
      <c r="S78" s="0" t="n">
        <f aca="false">ROUNDUP(S79/12,0)</f>
        <v>1</v>
      </c>
      <c r="T78" s="0" t="n">
        <f aca="false">ROUNDUP(T79/12,0)</f>
        <v>1</v>
      </c>
      <c r="U78" s="0" t="n">
        <f aca="false">ROUNDUP(U79/12,0)</f>
        <v>1</v>
      </c>
      <c r="V78" s="0" t="n">
        <f aca="false">ROUNDUP(V79/12,0)</f>
        <v>1</v>
      </c>
      <c r="W78" s="0" t="n">
        <f aca="false">ROUNDUP(W79/12,0)</f>
        <v>1</v>
      </c>
      <c r="X78" s="0" t="n">
        <f aca="false">ROUNDUP(X79/12,0)</f>
        <v>1</v>
      </c>
      <c r="Y78" s="0" t="n">
        <f aca="false">ROUNDUP(Y79/12,0)</f>
        <v>1</v>
      </c>
      <c r="Z78" s="0" t="n">
        <f aca="false">ROUNDUP(Z79/12,0)</f>
        <v>1</v>
      </c>
      <c r="AA78" s="0" t="n">
        <f aca="false">ROUNDUP(AA79/12,0)</f>
        <v>1</v>
      </c>
      <c r="AB78" s="0" t="n">
        <f aca="false">ROUNDUP(AB79/12,0)</f>
        <v>1</v>
      </c>
      <c r="AC78" s="0" t="n">
        <f aca="false">ROUNDUP(AC79/12,0)</f>
        <v>1</v>
      </c>
      <c r="AD78" s="0" t="n">
        <f aca="false">ROUNDUP(AD79/12,0)</f>
        <v>2</v>
      </c>
      <c r="AE78" s="0" t="n">
        <f aca="false">ROUNDUP(AE79/12,0)</f>
        <v>2</v>
      </c>
      <c r="AF78" s="0" t="n">
        <f aca="false">ROUNDUP(AF79/12,0)</f>
        <v>2</v>
      </c>
      <c r="AG78" s="0" t="n">
        <f aca="false">ROUNDUP(AG79/12,0)</f>
        <v>2</v>
      </c>
      <c r="AH78" s="0" t="n">
        <f aca="false">ROUNDUP(AH79/12,0)</f>
        <v>2</v>
      </c>
      <c r="AI78" s="0" t="n">
        <f aca="false">ROUNDUP(AI79/12,0)</f>
        <v>2</v>
      </c>
      <c r="AJ78" s="0" t="n">
        <f aca="false">ROUNDUP(AJ79/12,0)</f>
        <v>2</v>
      </c>
      <c r="AK78" s="0" t="n">
        <f aca="false">ROUNDUP(AK79/12,0)</f>
        <v>2</v>
      </c>
      <c r="AL78" s="0" t="n">
        <f aca="false">ROUNDUP(AL79/12,0)</f>
        <v>2</v>
      </c>
      <c r="AM78" s="0" t="n">
        <f aca="false">ROUNDUP(AM79/12,0)</f>
        <v>2</v>
      </c>
      <c r="AN78" s="0" t="n">
        <f aca="false">ROUNDUP(AN79/12,0)</f>
        <v>2</v>
      </c>
      <c r="AO78" s="0" t="n">
        <f aca="false">ROUNDUP(AO79/12,0)</f>
        <v>2</v>
      </c>
      <c r="AP78" s="0" t="n">
        <f aca="false">ROUNDUP(AP79/12,0)</f>
        <v>3</v>
      </c>
      <c r="AQ78" s="0" t="n">
        <f aca="false">ROUNDUP(AQ79/12,0)</f>
        <v>3</v>
      </c>
      <c r="AR78" s="0" t="n">
        <f aca="false">ROUNDUP(AR79/12,0)</f>
        <v>3</v>
      </c>
      <c r="AS78" s="0" t="n">
        <f aca="false">ROUNDUP(AS79/12,0)</f>
        <v>3</v>
      </c>
      <c r="AT78" s="0" t="n">
        <f aca="false">ROUNDUP(AT79/12,0)</f>
        <v>3</v>
      </c>
      <c r="AU78" s="0" t="n">
        <f aca="false">ROUNDUP(AU79/12,0)</f>
        <v>3</v>
      </c>
      <c r="AV78" s="0" t="n">
        <f aca="false">ROUNDUP(AV79/12,0)</f>
        <v>3</v>
      </c>
      <c r="AW78" s="0" t="n">
        <f aca="false">ROUNDUP(AW79/12,0)</f>
        <v>3</v>
      </c>
      <c r="AX78" s="0" t="n">
        <f aca="false">ROUNDUP(AX79/12,0)</f>
        <v>3</v>
      </c>
      <c r="AY78" s="0" t="n">
        <f aca="false">ROUNDUP(AY79/12,0)</f>
        <v>3</v>
      </c>
      <c r="AZ78" s="0" t="n">
        <f aca="false">ROUNDUP(AZ79/12,0)</f>
        <v>3</v>
      </c>
      <c r="BA78" s="0" t="n">
        <f aca="false">ROUNDUP(BA79/12,0)</f>
        <v>3</v>
      </c>
      <c r="BB78" s="0" t="n">
        <f aca="false">ROUNDUP(BB79/12,0)</f>
        <v>4</v>
      </c>
      <c r="BC78" s="0" t="n">
        <f aca="false">ROUNDUP(BC79/12,0)</f>
        <v>4</v>
      </c>
      <c r="BD78" s="0" t="n">
        <f aca="false">ROUNDUP(BD79/12,0)</f>
        <v>4</v>
      </c>
      <c r="BE78" s="0" t="n">
        <f aca="false">ROUNDUP(BE79/12,0)</f>
        <v>4</v>
      </c>
      <c r="BF78" s="0" t="n">
        <f aca="false">ROUNDUP(BF79/12,0)</f>
        <v>4</v>
      </c>
      <c r="BG78" s="0" t="n">
        <f aca="false">ROUNDUP(BG79/12,0)</f>
        <v>4</v>
      </c>
      <c r="BH78" s="0" t="n">
        <f aca="false">ROUNDUP(BH79/12,0)</f>
        <v>4</v>
      </c>
      <c r="BI78" s="0" t="n">
        <f aca="false">ROUNDUP(BI79/12,0)</f>
        <v>4</v>
      </c>
      <c r="BJ78" s="0" t="n">
        <f aca="false">ROUNDUP(BJ79/12,0)</f>
        <v>4</v>
      </c>
      <c r="BK78" s="0" t="n">
        <f aca="false">ROUNDUP(BK79/12,0)</f>
        <v>4</v>
      </c>
      <c r="BL78" s="0" t="n">
        <f aca="false">ROUNDUP(BL79/12,0)</f>
        <v>4</v>
      </c>
      <c r="BM78" s="0" t="n">
        <f aca="false">ROUNDUP(BM79/12,0)</f>
        <v>4</v>
      </c>
      <c r="BN78" s="0" t="n">
        <f aca="false">ROUNDUP(BN79/12,0)</f>
        <v>5</v>
      </c>
      <c r="BO78" s="0" t="n">
        <f aca="false">ROUNDUP(BO79/12,0)</f>
        <v>5</v>
      </c>
      <c r="BP78" s="0" t="n">
        <f aca="false">ROUNDUP(BP79/12,0)</f>
        <v>5</v>
      </c>
      <c r="BQ78" s="0" t="n">
        <f aca="false">ROUNDUP(BQ79/12,0)</f>
        <v>5</v>
      </c>
      <c r="BR78" s="0" t="n">
        <f aca="false">ROUNDUP(BR79/12,0)</f>
        <v>5</v>
      </c>
      <c r="BS78" s="0" t="n">
        <f aca="false">ROUNDUP(BS79/12,0)</f>
        <v>5</v>
      </c>
      <c r="BT78" s="0" t="n">
        <f aca="false">ROUNDUP(BT79/12,0)</f>
        <v>5</v>
      </c>
      <c r="BU78" s="0" t="n">
        <f aca="false">ROUNDUP(BU79/12,0)</f>
        <v>5</v>
      </c>
      <c r="BV78" s="0" t="n">
        <f aca="false">ROUNDUP(BV79/12,0)</f>
        <v>5</v>
      </c>
      <c r="BW78" s="0" t="n">
        <f aca="false">ROUNDUP(BW79/12,0)</f>
        <v>5</v>
      </c>
      <c r="BX78" s="0" t="n">
        <f aca="false">ROUNDUP(BX79/12,0)</f>
        <v>5</v>
      </c>
      <c r="BY78" s="0" t="n">
        <f aca="false">ROUNDUP(BY79/12,0)</f>
        <v>5</v>
      </c>
      <c r="BZ78" s="0" t="n">
        <f aca="false">ROUNDUP(BZ79/12,0)</f>
        <v>6</v>
      </c>
      <c r="CA78" s="0" t="n">
        <f aca="false">ROUNDUP(CA79/12,0)</f>
        <v>6</v>
      </c>
      <c r="CB78" s="0" t="n">
        <f aca="false">ROUNDUP(CB79/12,0)</f>
        <v>6</v>
      </c>
      <c r="CC78" s="0" t="n">
        <f aca="false">ROUNDUP(CC79/12,0)</f>
        <v>6</v>
      </c>
      <c r="CD78" s="0" t="n">
        <f aca="false">ROUNDUP(CD79/12,0)</f>
        <v>6</v>
      </c>
      <c r="CE78" s="0" t="n">
        <f aca="false">ROUNDUP(CE79/12,0)</f>
        <v>6</v>
      </c>
      <c r="CF78" s="0" t="n">
        <f aca="false">ROUNDUP(CF79/12,0)</f>
        <v>6</v>
      </c>
      <c r="CG78" s="0" t="n">
        <f aca="false">ROUNDUP(CG79/12,0)</f>
        <v>6</v>
      </c>
      <c r="CH78" s="0" t="n">
        <f aca="false">ROUNDUP(CH79/12,0)</f>
        <v>6</v>
      </c>
      <c r="CI78" s="0" t="n">
        <f aca="false">ROUNDUP(CI79/12,0)</f>
        <v>6</v>
      </c>
      <c r="CJ78" s="0" t="n">
        <f aca="false">ROUNDUP(CJ79/12,0)</f>
        <v>6</v>
      </c>
      <c r="CK78" s="0" t="n">
        <f aca="false">ROUNDUP(CK79/12,0)</f>
        <v>6</v>
      </c>
      <c r="CL78" s="0" t="n">
        <f aca="false">ROUNDUP(CL79/12,0)</f>
        <v>7</v>
      </c>
      <c r="CM78" s="0" t="n">
        <f aca="false">ROUNDUP(CM79/12,0)</f>
        <v>7</v>
      </c>
      <c r="CN78" s="0" t="n">
        <f aca="false">ROUNDUP(CN79/12,0)</f>
        <v>7</v>
      </c>
      <c r="CO78" s="0" t="n">
        <f aca="false">ROUNDUP(CO79/12,0)</f>
        <v>7</v>
      </c>
      <c r="CP78" s="0" t="n">
        <f aca="false">ROUNDUP(CP79/12,0)</f>
        <v>7</v>
      </c>
      <c r="CQ78" s="0" t="n">
        <f aca="false">ROUNDUP(CQ79/12,0)</f>
        <v>7</v>
      </c>
      <c r="CR78" s="0" t="n">
        <f aca="false">ROUNDUP(CR79/12,0)</f>
        <v>7</v>
      </c>
      <c r="CS78" s="0" t="n">
        <f aca="false">ROUNDUP(CS79/12,0)</f>
        <v>7</v>
      </c>
      <c r="CT78" s="0" t="n">
        <f aca="false">ROUNDUP(CT79/12,0)</f>
        <v>7</v>
      </c>
      <c r="CU78" s="0" t="n">
        <f aca="false">ROUNDUP(CU79/12,0)</f>
        <v>7</v>
      </c>
      <c r="CV78" s="0" t="n">
        <f aca="false">ROUNDUP(CV79/12,0)</f>
        <v>7</v>
      </c>
      <c r="CW78" s="0" t="n">
        <f aca="false">ROUNDUP(CW79/12,0)</f>
        <v>7</v>
      </c>
      <c r="CX78" s="0" t="n">
        <f aca="false">ROUNDUP(CX79/12,0)</f>
        <v>8</v>
      </c>
      <c r="CY78" s="0" t="n">
        <f aca="false">ROUNDUP(CY79/12,0)</f>
        <v>8</v>
      </c>
      <c r="CZ78" s="0" t="n">
        <f aca="false">ROUNDUP(CZ79/12,0)</f>
        <v>8</v>
      </c>
      <c r="DA78" s="0" t="n">
        <f aca="false">ROUNDUP(DA79/12,0)</f>
        <v>8</v>
      </c>
      <c r="DB78" s="0" t="n">
        <f aca="false">ROUNDUP(DB79/12,0)</f>
        <v>8</v>
      </c>
      <c r="DC78" s="0" t="n">
        <f aca="false">ROUNDUP(DC79/12,0)</f>
        <v>8</v>
      </c>
      <c r="DD78" s="0" t="n">
        <f aca="false">ROUNDUP(DD79/12,0)</f>
        <v>8</v>
      </c>
      <c r="DE78" s="0" t="n">
        <f aca="false">ROUNDUP(DE79/12,0)</f>
        <v>8</v>
      </c>
      <c r="DF78" s="0" t="n">
        <f aca="false">ROUNDUP(DF79/12,0)</f>
        <v>8</v>
      </c>
      <c r="DG78" s="0" t="n">
        <f aca="false">ROUNDUP(DG79/12,0)</f>
        <v>8</v>
      </c>
      <c r="DH78" s="0" t="n">
        <f aca="false">ROUNDUP(DH79/12,0)</f>
        <v>8</v>
      </c>
      <c r="DI78" s="0" t="n">
        <f aca="false">ROUNDUP(DI79/12,0)</f>
        <v>8</v>
      </c>
      <c r="DJ78" s="0" t="n">
        <f aca="false">ROUNDUP(DJ79/12,0)</f>
        <v>9</v>
      </c>
      <c r="DK78" s="0" t="n">
        <f aca="false">ROUNDUP(DK79/12,0)</f>
        <v>9</v>
      </c>
      <c r="DL78" s="0" t="n">
        <f aca="false">ROUNDUP(DL79/12,0)</f>
        <v>9</v>
      </c>
      <c r="DM78" s="0" t="n">
        <f aca="false">ROUNDUP(DM79/12,0)</f>
        <v>9</v>
      </c>
      <c r="DN78" s="0" t="n">
        <f aca="false">ROUNDUP(DN79/12,0)</f>
        <v>9</v>
      </c>
      <c r="DO78" s="0" t="n">
        <f aca="false">ROUNDUP(DO79/12,0)</f>
        <v>9</v>
      </c>
      <c r="DP78" s="0" t="n">
        <f aca="false">ROUNDUP(DP79/12,0)</f>
        <v>9</v>
      </c>
      <c r="DQ78" s="0" t="n">
        <f aca="false">ROUNDUP(DQ79/12,0)</f>
        <v>9</v>
      </c>
      <c r="DR78" s="0" t="n">
        <f aca="false">ROUNDUP(DR79/12,0)</f>
        <v>9</v>
      </c>
      <c r="DS78" s="0" t="n">
        <f aca="false">ROUNDUP(DS79/12,0)</f>
        <v>9</v>
      </c>
      <c r="DT78" s="0" t="n">
        <f aca="false">ROUNDUP(DT79/12,0)</f>
        <v>9</v>
      </c>
      <c r="DU78" s="0" t="n">
        <f aca="false">ROUNDUP(DU79/12,0)</f>
        <v>9</v>
      </c>
      <c r="DV78" s="0" t="n">
        <f aca="false">ROUNDUP(DV79/12,0)</f>
        <v>10</v>
      </c>
      <c r="DW78" s="0" t="n">
        <f aca="false">ROUNDUP(DW79/12,0)</f>
        <v>10</v>
      </c>
      <c r="DX78" s="0" t="n">
        <f aca="false">ROUNDUP(DX79/12,0)</f>
        <v>10</v>
      </c>
      <c r="DY78" s="0" t="n">
        <f aca="false">ROUNDUP(DY79/12,0)</f>
        <v>10</v>
      </c>
      <c r="DZ78" s="0" t="n">
        <f aca="false">ROUNDUP(DZ79/12,0)</f>
        <v>10</v>
      </c>
      <c r="EA78" s="0" t="n">
        <f aca="false">ROUNDUP(EA79/12,0)</f>
        <v>10</v>
      </c>
      <c r="EB78" s="0" t="n">
        <f aca="false">ROUNDUP(EB79/12,0)</f>
        <v>10</v>
      </c>
      <c r="EC78" s="0" t="n">
        <f aca="false">ROUNDUP(EC79/12,0)</f>
        <v>10</v>
      </c>
      <c r="ED78" s="0" t="n">
        <f aca="false">ROUNDUP(ED79/12,0)</f>
        <v>10</v>
      </c>
      <c r="EE78" s="0" t="n">
        <f aca="false">ROUNDUP(EE79/12,0)</f>
        <v>10</v>
      </c>
      <c r="EF78" s="0" t="n">
        <f aca="false">ROUNDUP(EF79/12,0)</f>
        <v>10</v>
      </c>
      <c r="EG78" s="0" t="n">
        <f aca="false">ROUNDUP(EG79/12,0)</f>
        <v>10</v>
      </c>
      <c r="EH78" s="0" t="n">
        <f aca="false">ROUNDUP(EH79/12,0)</f>
        <v>11</v>
      </c>
      <c r="EI78" s="0" t="n">
        <f aca="false">ROUNDUP(EI79/12,0)</f>
        <v>11</v>
      </c>
      <c r="EJ78" s="0" t="n">
        <f aca="false">ROUNDUP(EJ79/12,0)</f>
        <v>11</v>
      </c>
      <c r="EK78" s="0" t="n">
        <f aca="false">ROUNDUP(EK79/12,0)</f>
        <v>11</v>
      </c>
      <c r="EL78" s="0" t="n">
        <f aca="false">ROUNDUP(EL79/12,0)</f>
        <v>11</v>
      </c>
      <c r="EM78" s="0" t="n">
        <f aca="false">ROUNDUP(EM79/12,0)</f>
        <v>11</v>
      </c>
      <c r="EN78" s="0" t="n">
        <f aca="false">ROUNDUP(EN79/12,0)</f>
        <v>11</v>
      </c>
      <c r="EO78" s="0" t="n">
        <f aca="false">ROUNDUP(EO79/12,0)</f>
        <v>11</v>
      </c>
      <c r="EP78" s="0" t="n">
        <f aca="false">ROUNDUP(EP79/12,0)</f>
        <v>11</v>
      </c>
      <c r="EQ78" s="0" t="n">
        <f aca="false">ROUNDUP(EQ79/12,0)</f>
        <v>11</v>
      </c>
      <c r="ER78" s="0" t="n">
        <f aca="false">ROUNDUP(ER79/12,0)</f>
        <v>11</v>
      </c>
      <c r="ES78" s="0" t="n">
        <f aca="false">ROUNDUP(ES79/12,0)</f>
        <v>11</v>
      </c>
      <c r="ET78" s="0" t="n">
        <f aca="false">ROUNDUP(ET79/12,0)</f>
        <v>12</v>
      </c>
      <c r="EU78" s="0" t="n">
        <f aca="false">ROUNDUP(EU79/12,0)</f>
        <v>12</v>
      </c>
      <c r="EV78" s="0" t="n">
        <f aca="false">ROUNDUP(EV79/12,0)</f>
        <v>12</v>
      </c>
      <c r="EW78" s="0" t="n">
        <f aca="false">ROUNDUP(EW79/12,0)</f>
        <v>12</v>
      </c>
      <c r="EX78" s="0" t="n">
        <f aca="false">ROUNDUP(EX79/12,0)</f>
        <v>12</v>
      </c>
      <c r="EY78" s="0" t="n">
        <f aca="false">ROUNDUP(EY79/12,0)</f>
        <v>12</v>
      </c>
      <c r="EZ78" s="0" t="n">
        <f aca="false">ROUNDUP(EZ79/12,0)</f>
        <v>12</v>
      </c>
      <c r="FA78" s="0" t="n">
        <f aca="false">ROUNDUP(FA79/12,0)</f>
        <v>12</v>
      </c>
      <c r="FB78" s="0" t="n">
        <f aca="false">ROUNDUP(FB79/12,0)</f>
        <v>12</v>
      </c>
      <c r="FC78" s="0" t="n">
        <f aca="false">ROUNDUP(FC79/12,0)</f>
        <v>12</v>
      </c>
      <c r="FD78" s="0" t="n">
        <f aca="false">ROUNDUP(FD79/12,0)</f>
        <v>12</v>
      </c>
      <c r="FE78" s="0" t="n">
        <f aca="false">ROUNDUP(FE79/12,0)</f>
        <v>12</v>
      </c>
      <c r="FF78" s="0" t="n">
        <f aca="false">ROUNDUP(FF79/12,0)</f>
        <v>13</v>
      </c>
      <c r="FG78" s="0" t="n">
        <f aca="false">ROUNDUP(FG79/12,0)</f>
        <v>13</v>
      </c>
      <c r="FH78" s="0" t="n">
        <f aca="false">ROUNDUP(FH79/12,0)</f>
        <v>13</v>
      </c>
      <c r="FI78" s="0" t="n">
        <f aca="false">ROUNDUP(FI79/12,0)</f>
        <v>13</v>
      </c>
      <c r="FJ78" s="0" t="n">
        <f aca="false">ROUNDUP(FJ79/12,0)</f>
        <v>13</v>
      </c>
      <c r="FK78" s="0" t="n">
        <f aca="false">ROUNDUP(FK79/12,0)</f>
        <v>13</v>
      </c>
      <c r="FL78" s="0" t="n">
        <f aca="false">ROUNDUP(FL79/12,0)</f>
        <v>13</v>
      </c>
      <c r="FM78" s="0" t="n">
        <f aca="false">ROUNDUP(FM79/12,0)</f>
        <v>13</v>
      </c>
      <c r="FN78" s="0" t="n">
        <f aca="false">ROUNDUP(FN79/12,0)</f>
        <v>13</v>
      </c>
      <c r="FO78" s="0" t="n">
        <f aca="false">ROUNDUP(FO79/12,0)</f>
        <v>13</v>
      </c>
      <c r="FP78" s="0" t="n">
        <f aca="false">ROUNDUP(FP79/12,0)</f>
        <v>13</v>
      </c>
      <c r="FQ78" s="0" t="n">
        <f aca="false">ROUNDUP(FQ79/12,0)</f>
        <v>13</v>
      </c>
      <c r="FR78" s="0" t="n">
        <f aca="false">ROUNDUP(FR79/12,0)</f>
        <v>14</v>
      </c>
      <c r="FS78" s="0" t="n">
        <f aca="false">ROUNDUP(FS79/12,0)</f>
        <v>14</v>
      </c>
      <c r="FT78" s="0" t="n">
        <f aca="false">ROUNDUP(FT79/12,0)</f>
        <v>14</v>
      </c>
      <c r="FU78" s="0" t="n">
        <f aca="false">ROUNDUP(FU79/12,0)</f>
        <v>14</v>
      </c>
      <c r="FV78" s="0" t="n">
        <f aca="false">ROUNDUP(FV79/12,0)</f>
        <v>14</v>
      </c>
      <c r="FW78" s="0" t="n">
        <f aca="false">ROUNDUP(FW79/12,0)</f>
        <v>14</v>
      </c>
      <c r="FX78" s="0" t="n">
        <f aca="false">ROUNDUP(FX79/12,0)</f>
        <v>14</v>
      </c>
      <c r="FY78" s="0" t="n">
        <f aca="false">ROUNDUP(FY79/12,0)</f>
        <v>14</v>
      </c>
      <c r="FZ78" s="0" t="n">
        <f aca="false">ROUNDUP(FZ79/12,0)</f>
        <v>14</v>
      </c>
      <c r="GA78" s="0" t="n">
        <f aca="false">ROUNDUP(GA79/12,0)</f>
        <v>14</v>
      </c>
      <c r="GB78" s="0" t="n">
        <f aca="false">ROUNDUP(GB79/12,0)</f>
        <v>14</v>
      </c>
      <c r="GC78" s="0" t="n">
        <f aca="false">ROUNDUP(GC79/12,0)</f>
        <v>14</v>
      </c>
      <c r="GD78" s="0" t="n">
        <f aca="false">ROUNDUP(GD79/12,0)</f>
        <v>15</v>
      </c>
      <c r="GE78" s="0" t="n">
        <f aca="false">ROUNDUP(GE79/12,0)</f>
        <v>15</v>
      </c>
      <c r="GF78" s="0" t="n">
        <f aca="false">ROUNDUP(GF79/12,0)</f>
        <v>15</v>
      </c>
      <c r="GG78" s="0" t="n">
        <f aca="false">ROUNDUP(GG79/12,0)</f>
        <v>15</v>
      </c>
      <c r="GH78" s="0" t="n">
        <f aca="false">ROUNDUP(GH79/12,0)</f>
        <v>15</v>
      </c>
      <c r="GI78" s="0" t="n">
        <f aca="false">ROUNDUP(GI79/12,0)</f>
        <v>15</v>
      </c>
      <c r="GJ78" s="0" t="n">
        <f aca="false">ROUNDUP(GJ79/12,0)</f>
        <v>15</v>
      </c>
      <c r="GK78" s="0" t="n">
        <f aca="false">ROUNDUP(GK79/12,0)</f>
        <v>15</v>
      </c>
      <c r="GL78" s="0" t="n">
        <f aca="false">ROUNDUP(GL79/12,0)</f>
        <v>15</v>
      </c>
      <c r="GM78" s="0" t="n">
        <f aca="false">ROUNDUP(GM79/12,0)</f>
        <v>15</v>
      </c>
      <c r="GN78" s="0" t="n">
        <f aca="false">ROUNDUP(GN79/12,0)</f>
        <v>15</v>
      </c>
      <c r="GO78" s="0" t="n">
        <f aca="false">ROUNDUP(GO79/12,0)</f>
        <v>15</v>
      </c>
      <c r="GP78" s="0" t="n">
        <f aca="false">ROUNDUP(GP79/12,0)</f>
        <v>16</v>
      </c>
      <c r="GQ78" s="0" t="n">
        <f aca="false">ROUNDUP(GQ79/12,0)</f>
        <v>16</v>
      </c>
      <c r="GR78" s="0" t="n">
        <f aca="false">ROUNDUP(GR79/12,0)</f>
        <v>16</v>
      </c>
      <c r="GS78" s="0" t="n">
        <f aca="false">ROUNDUP(GS79/12,0)</f>
        <v>16</v>
      </c>
      <c r="GT78" s="0" t="n">
        <f aca="false">ROUNDUP(GT79/12,0)</f>
        <v>16</v>
      </c>
      <c r="GU78" s="0" t="n">
        <f aca="false">ROUNDUP(GU79/12,0)</f>
        <v>16</v>
      </c>
      <c r="GV78" s="0" t="n">
        <f aca="false">ROUNDUP(GV79/12,0)</f>
        <v>16</v>
      </c>
      <c r="GW78" s="0" t="n">
        <f aca="false">ROUNDUP(GW79/12,0)</f>
        <v>16</v>
      </c>
      <c r="GX78" s="0" t="n">
        <f aca="false">ROUNDUP(GX79/12,0)</f>
        <v>16</v>
      </c>
      <c r="GY78" s="0" t="n">
        <f aca="false">ROUNDUP(GY79/12,0)</f>
        <v>16</v>
      </c>
      <c r="GZ78" s="0" t="n">
        <f aca="false">ROUNDUP(GZ79/12,0)</f>
        <v>16</v>
      </c>
      <c r="HA78" s="0" t="n">
        <f aca="false">ROUNDUP(HA79/12,0)</f>
        <v>16</v>
      </c>
      <c r="HB78" s="0" t="n">
        <f aca="false">ROUNDUP(HB79/12,0)</f>
        <v>17</v>
      </c>
      <c r="HC78" s="0" t="n">
        <f aca="false">ROUNDUP(HC79/12,0)</f>
        <v>17</v>
      </c>
      <c r="HD78" s="0" t="n">
        <f aca="false">ROUNDUP(HD79/12,0)</f>
        <v>17</v>
      </c>
      <c r="HE78" s="0" t="n">
        <f aca="false">ROUNDUP(HE79/12,0)</f>
        <v>17</v>
      </c>
      <c r="HF78" s="0" t="n">
        <f aca="false">ROUNDUP(HF79/12,0)</f>
        <v>17</v>
      </c>
      <c r="HG78" s="0" t="n">
        <f aca="false">ROUNDUP(HG79/12,0)</f>
        <v>17</v>
      </c>
      <c r="HH78" s="0" t="n">
        <f aca="false">ROUNDUP(HH79/12,0)</f>
        <v>17</v>
      </c>
      <c r="HI78" s="0" t="n">
        <f aca="false">ROUNDUP(HI79/12,0)</f>
        <v>17</v>
      </c>
      <c r="HJ78" s="0" t="n">
        <f aca="false">ROUNDUP(HJ79/12,0)</f>
        <v>17</v>
      </c>
      <c r="HK78" s="0" t="n">
        <f aca="false">ROUNDUP(HK79/12,0)</f>
        <v>17</v>
      </c>
      <c r="HL78" s="0" t="n">
        <f aca="false">ROUNDUP(HL79/12,0)</f>
        <v>17</v>
      </c>
      <c r="HM78" s="0" t="n">
        <f aca="false">ROUNDUP(HM79/12,0)</f>
        <v>17</v>
      </c>
      <c r="HN78" s="0" t="n">
        <f aca="false">ROUNDUP(HN79/12,0)</f>
        <v>18</v>
      </c>
      <c r="HO78" s="0" t="n">
        <f aca="false">ROUNDUP(HO79/12,0)</f>
        <v>18</v>
      </c>
      <c r="HP78" s="0" t="n">
        <f aca="false">ROUNDUP(HP79/12,0)</f>
        <v>18</v>
      </c>
      <c r="HQ78" s="0" t="n">
        <f aca="false">ROUNDUP(HQ79/12,0)</f>
        <v>18</v>
      </c>
      <c r="HR78" s="0" t="n">
        <f aca="false">ROUNDUP(HR79/12,0)</f>
        <v>18</v>
      </c>
      <c r="HS78" s="0" t="n">
        <f aca="false">ROUNDUP(HS79/12,0)</f>
        <v>18</v>
      </c>
      <c r="HT78" s="0" t="n">
        <f aca="false">ROUNDUP(HT79/12,0)</f>
        <v>18</v>
      </c>
      <c r="HU78" s="0" t="n">
        <f aca="false">ROUNDUP(HU79/12,0)</f>
        <v>18</v>
      </c>
      <c r="HV78" s="0" t="n">
        <f aca="false">ROUNDUP(HV79/12,0)</f>
        <v>18</v>
      </c>
      <c r="HW78" s="0" t="n">
        <f aca="false">ROUNDUP(HW79/12,0)</f>
        <v>18</v>
      </c>
      <c r="HX78" s="0" t="n">
        <f aca="false">ROUNDUP(HX79/12,0)</f>
        <v>18</v>
      </c>
      <c r="HY78" s="0" t="n">
        <f aca="false">ROUNDUP(HY79/12,0)</f>
        <v>18</v>
      </c>
      <c r="HZ78" s="0" t="n">
        <f aca="false">ROUNDUP(HZ79/12,0)</f>
        <v>19</v>
      </c>
      <c r="IA78" s="0" t="n">
        <f aca="false">ROUNDUP(IA79/12,0)</f>
        <v>19</v>
      </c>
      <c r="IB78" s="0" t="n">
        <f aca="false">ROUNDUP(IB79/12,0)</f>
        <v>19</v>
      </c>
      <c r="IC78" s="0" t="n">
        <f aca="false">ROUNDUP(IC79/12,0)</f>
        <v>19</v>
      </c>
      <c r="ID78" s="0" t="n">
        <f aca="false">ROUNDUP(ID79/12,0)</f>
        <v>19</v>
      </c>
      <c r="IE78" s="0" t="n">
        <f aca="false">ROUNDUP(IE79/12,0)</f>
        <v>19</v>
      </c>
      <c r="IF78" s="0" t="n">
        <f aca="false">ROUNDUP(IF79/12,0)</f>
        <v>19</v>
      </c>
      <c r="IG78" s="0" t="n">
        <f aca="false">ROUNDUP(IG79/12,0)</f>
        <v>19</v>
      </c>
      <c r="IH78" s="0" t="n">
        <f aca="false">ROUNDUP(IH79/12,0)</f>
        <v>19</v>
      </c>
      <c r="II78" s="0" t="n">
        <f aca="false">ROUNDUP(II79/12,0)</f>
        <v>19</v>
      </c>
      <c r="IJ78" s="0" t="n">
        <f aca="false">ROUNDUP(IJ79/12,0)</f>
        <v>19</v>
      </c>
      <c r="IK78" s="0" t="n">
        <f aca="false">ROUNDUP(IK79/12,0)</f>
        <v>19</v>
      </c>
      <c r="IL78" s="0" t="n">
        <f aca="false">ROUNDUP(IL79/12,0)</f>
        <v>20</v>
      </c>
      <c r="IM78" s="0" t="n">
        <f aca="false">ROUNDUP(IM79/12,0)</f>
        <v>20</v>
      </c>
      <c r="IN78" s="0" t="n">
        <f aca="false">ROUNDUP(IN79/12,0)</f>
        <v>20</v>
      </c>
      <c r="IO78" s="0" t="n">
        <f aca="false">ROUNDUP(IO79/12,0)</f>
        <v>20</v>
      </c>
      <c r="IP78" s="0" t="n">
        <f aca="false">ROUNDUP(IP79/12,0)</f>
        <v>20</v>
      </c>
      <c r="IQ78" s="0" t="n">
        <f aca="false">ROUNDUP(IQ79/12,0)</f>
        <v>20</v>
      </c>
      <c r="IR78" s="0" t="n">
        <f aca="false">ROUNDUP(IR79/12,0)</f>
        <v>20</v>
      </c>
      <c r="IS78" s="0" t="n">
        <f aca="false">ROUNDUP(IS79/12,0)</f>
        <v>20</v>
      </c>
      <c r="IT78" s="0" t="n">
        <f aca="false">ROUNDUP(IT79/12,0)</f>
        <v>20</v>
      </c>
      <c r="IU78" s="0" t="n">
        <f aca="false">ROUNDUP(IU79/12,0)</f>
        <v>20</v>
      </c>
      <c r="IV78" s="0" t="n">
        <f aca="false">ROUNDUP(IV79/12,0)</f>
        <v>20</v>
      </c>
      <c r="IW78" s="0" t="n">
        <f aca="false">ROUNDUP(IW79/12,0)</f>
        <v>20</v>
      </c>
    </row>
    <row r="79" customFormat="false" ht="15" hidden="false" customHeight="false" outlineLevel="0" collapsed="false">
      <c r="P79" s="0" t="s">
        <v>87</v>
      </c>
      <c r="Q79" s="0" t="n">
        <v>0</v>
      </c>
      <c r="R79" s="0" t="n">
        <v>1</v>
      </c>
      <c r="S79" s="0" t="n">
        <v>2</v>
      </c>
      <c r="T79" s="0" t="n">
        <v>3</v>
      </c>
      <c r="U79" s="0" t="n">
        <v>4</v>
      </c>
      <c r="V79" s="0" t="n">
        <v>5</v>
      </c>
      <c r="W79" s="0" t="n">
        <v>6</v>
      </c>
      <c r="X79" s="0" t="n">
        <v>7</v>
      </c>
      <c r="Y79" s="0" t="n">
        <v>8</v>
      </c>
      <c r="Z79" s="0" t="n">
        <v>9</v>
      </c>
      <c r="AA79" s="0" t="n">
        <v>10</v>
      </c>
      <c r="AB79" s="0" t="n">
        <v>11</v>
      </c>
      <c r="AC79" s="0" t="n">
        <v>12</v>
      </c>
      <c r="AD79" s="0" t="n">
        <v>13</v>
      </c>
      <c r="AE79" s="0" t="n">
        <v>14</v>
      </c>
      <c r="AF79" s="0" t="n">
        <v>15</v>
      </c>
      <c r="AG79" s="0" t="n">
        <v>16</v>
      </c>
      <c r="AH79" s="0" t="n">
        <v>17</v>
      </c>
      <c r="AI79" s="0" t="n">
        <v>18</v>
      </c>
      <c r="AJ79" s="0" t="n">
        <v>19</v>
      </c>
      <c r="AK79" s="0" t="n">
        <v>20</v>
      </c>
      <c r="AL79" s="0" t="n">
        <v>21</v>
      </c>
      <c r="AM79" s="0" t="n">
        <v>22</v>
      </c>
      <c r="AN79" s="0" t="n">
        <v>23</v>
      </c>
      <c r="AO79" s="0" t="n">
        <v>24</v>
      </c>
      <c r="AP79" s="0" t="n">
        <v>25</v>
      </c>
      <c r="AQ79" s="0" t="n">
        <v>26</v>
      </c>
      <c r="AR79" s="0" t="n">
        <v>27</v>
      </c>
      <c r="AS79" s="0" t="n">
        <v>28</v>
      </c>
      <c r="AT79" s="0" t="n">
        <v>29</v>
      </c>
      <c r="AU79" s="0" t="n">
        <v>30</v>
      </c>
      <c r="AV79" s="0" t="n">
        <v>31</v>
      </c>
      <c r="AW79" s="0" t="n">
        <v>32</v>
      </c>
      <c r="AX79" s="0" t="n">
        <v>33</v>
      </c>
      <c r="AY79" s="0" t="n">
        <v>34</v>
      </c>
      <c r="AZ79" s="0" t="n">
        <v>35</v>
      </c>
      <c r="BA79" s="0" t="n">
        <v>36</v>
      </c>
      <c r="BB79" s="0" t="n">
        <v>37</v>
      </c>
      <c r="BC79" s="0" t="n">
        <v>38</v>
      </c>
      <c r="BD79" s="0" t="n">
        <v>39</v>
      </c>
      <c r="BE79" s="0" t="n">
        <v>40</v>
      </c>
      <c r="BF79" s="0" t="n">
        <v>41</v>
      </c>
      <c r="BG79" s="0" t="n">
        <v>42</v>
      </c>
      <c r="BH79" s="0" t="n">
        <v>43</v>
      </c>
      <c r="BI79" s="0" t="n">
        <v>44</v>
      </c>
      <c r="BJ79" s="0" t="n">
        <v>45</v>
      </c>
      <c r="BK79" s="0" t="n">
        <v>46</v>
      </c>
      <c r="BL79" s="0" t="n">
        <v>47</v>
      </c>
      <c r="BM79" s="0" t="n">
        <v>48</v>
      </c>
      <c r="BN79" s="0" t="n">
        <v>49</v>
      </c>
      <c r="BO79" s="0" t="n">
        <v>50</v>
      </c>
      <c r="BP79" s="0" t="n">
        <v>51</v>
      </c>
      <c r="BQ79" s="0" t="n">
        <v>52</v>
      </c>
      <c r="BR79" s="0" t="n">
        <v>53</v>
      </c>
      <c r="BS79" s="0" t="n">
        <v>54</v>
      </c>
      <c r="BT79" s="0" t="n">
        <v>55</v>
      </c>
      <c r="BU79" s="0" t="n">
        <v>56</v>
      </c>
      <c r="BV79" s="0" t="n">
        <v>57</v>
      </c>
      <c r="BW79" s="0" t="n">
        <v>58</v>
      </c>
      <c r="BX79" s="0" t="n">
        <v>59</v>
      </c>
      <c r="BY79" s="0" t="n">
        <v>60</v>
      </c>
      <c r="BZ79" s="0" t="n">
        <v>61</v>
      </c>
      <c r="CA79" s="0" t="n">
        <v>62</v>
      </c>
      <c r="CB79" s="0" t="n">
        <v>63</v>
      </c>
      <c r="CC79" s="0" t="n">
        <v>64</v>
      </c>
      <c r="CD79" s="0" t="n">
        <v>65</v>
      </c>
      <c r="CE79" s="0" t="n">
        <v>66</v>
      </c>
      <c r="CF79" s="0" t="n">
        <v>67</v>
      </c>
      <c r="CG79" s="0" t="n">
        <v>68</v>
      </c>
      <c r="CH79" s="0" t="n">
        <v>69</v>
      </c>
      <c r="CI79" s="0" t="n">
        <v>70</v>
      </c>
      <c r="CJ79" s="0" t="n">
        <v>71</v>
      </c>
      <c r="CK79" s="0" t="n">
        <v>72</v>
      </c>
      <c r="CL79" s="0" t="n">
        <v>73</v>
      </c>
      <c r="CM79" s="0" t="n">
        <v>74</v>
      </c>
      <c r="CN79" s="0" t="n">
        <v>75</v>
      </c>
      <c r="CO79" s="0" t="n">
        <v>76</v>
      </c>
      <c r="CP79" s="0" t="n">
        <v>77</v>
      </c>
      <c r="CQ79" s="0" t="n">
        <v>78</v>
      </c>
      <c r="CR79" s="0" t="n">
        <v>79</v>
      </c>
      <c r="CS79" s="0" t="n">
        <v>80</v>
      </c>
      <c r="CT79" s="0" t="n">
        <v>81</v>
      </c>
      <c r="CU79" s="0" t="n">
        <v>82</v>
      </c>
      <c r="CV79" s="0" t="n">
        <v>83</v>
      </c>
      <c r="CW79" s="0" t="n">
        <v>84</v>
      </c>
      <c r="CX79" s="0" t="n">
        <v>85</v>
      </c>
      <c r="CY79" s="0" t="n">
        <v>86</v>
      </c>
      <c r="CZ79" s="0" t="n">
        <v>87</v>
      </c>
      <c r="DA79" s="0" t="n">
        <v>88</v>
      </c>
      <c r="DB79" s="0" t="n">
        <v>89</v>
      </c>
      <c r="DC79" s="0" t="n">
        <v>90</v>
      </c>
      <c r="DD79" s="0" t="n">
        <v>91</v>
      </c>
      <c r="DE79" s="0" t="n">
        <v>92</v>
      </c>
      <c r="DF79" s="0" t="n">
        <v>93</v>
      </c>
      <c r="DG79" s="0" t="n">
        <v>94</v>
      </c>
      <c r="DH79" s="0" t="n">
        <v>95</v>
      </c>
      <c r="DI79" s="0" t="n">
        <v>96</v>
      </c>
      <c r="DJ79" s="0" t="n">
        <v>97</v>
      </c>
      <c r="DK79" s="0" t="n">
        <v>98</v>
      </c>
      <c r="DL79" s="0" t="n">
        <v>99</v>
      </c>
      <c r="DM79" s="0" t="n">
        <v>100</v>
      </c>
      <c r="DN79" s="0" t="n">
        <v>101</v>
      </c>
      <c r="DO79" s="0" t="n">
        <v>102</v>
      </c>
      <c r="DP79" s="0" t="n">
        <v>103</v>
      </c>
      <c r="DQ79" s="0" t="n">
        <v>104</v>
      </c>
      <c r="DR79" s="0" t="n">
        <v>105</v>
      </c>
      <c r="DS79" s="0" t="n">
        <v>106</v>
      </c>
      <c r="DT79" s="0" t="n">
        <v>107</v>
      </c>
      <c r="DU79" s="0" t="n">
        <v>108</v>
      </c>
      <c r="DV79" s="0" t="n">
        <v>109</v>
      </c>
      <c r="DW79" s="0" t="n">
        <v>110</v>
      </c>
      <c r="DX79" s="0" t="n">
        <v>111</v>
      </c>
      <c r="DY79" s="0" t="n">
        <v>112</v>
      </c>
      <c r="DZ79" s="0" t="n">
        <v>113</v>
      </c>
      <c r="EA79" s="0" t="n">
        <v>114</v>
      </c>
      <c r="EB79" s="0" t="n">
        <v>115</v>
      </c>
      <c r="EC79" s="0" t="n">
        <v>116</v>
      </c>
      <c r="ED79" s="0" t="n">
        <v>117</v>
      </c>
      <c r="EE79" s="0" t="n">
        <v>118</v>
      </c>
      <c r="EF79" s="0" t="n">
        <v>119</v>
      </c>
      <c r="EG79" s="0" t="n">
        <v>120</v>
      </c>
      <c r="EH79" s="0" t="n">
        <v>121</v>
      </c>
      <c r="EI79" s="0" t="n">
        <v>122</v>
      </c>
      <c r="EJ79" s="0" t="n">
        <v>123</v>
      </c>
      <c r="EK79" s="0" t="n">
        <v>124</v>
      </c>
      <c r="EL79" s="0" t="n">
        <v>125</v>
      </c>
      <c r="EM79" s="0" t="n">
        <v>126</v>
      </c>
      <c r="EN79" s="0" t="n">
        <v>127</v>
      </c>
      <c r="EO79" s="0" t="n">
        <v>128</v>
      </c>
      <c r="EP79" s="0" t="n">
        <v>129</v>
      </c>
      <c r="EQ79" s="0" t="n">
        <v>130</v>
      </c>
      <c r="ER79" s="0" t="n">
        <v>131</v>
      </c>
      <c r="ES79" s="0" t="n">
        <v>132</v>
      </c>
      <c r="ET79" s="0" t="n">
        <v>133</v>
      </c>
      <c r="EU79" s="0" t="n">
        <v>134</v>
      </c>
      <c r="EV79" s="0" t="n">
        <v>135</v>
      </c>
      <c r="EW79" s="0" t="n">
        <v>136</v>
      </c>
      <c r="EX79" s="0" t="n">
        <v>137</v>
      </c>
      <c r="EY79" s="0" t="n">
        <v>138</v>
      </c>
      <c r="EZ79" s="0" t="n">
        <v>139</v>
      </c>
      <c r="FA79" s="0" t="n">
        <v>140</v>
      </c>
      <c r="FB79" s="0" t="n">
        <v>141</v>
      </c>
      <c r="FC79" s="0" t="n">
        <v>142</v>
      </c>
      <c r="FD79" s="0" t="n">
        <v>143</v>
      </c>
      <c r="FE79" s="0" t="n">
        <v>144</v>
      </c>
      <c r="FF79" s="0" t="n">
        <v>145</v>
      </c>
      <c r="FG79" s="0" t="n">
        <v>146</v>
      </c>
      <c r="FH79" s="0" t="n">
        <v>147</v>
      </c>
      <c r="FI79" s="0" t="n">
        <v>148</v>
      </c>
      <c r="FJ79" s="0" t="n">
        <v>149</v>
      </c>
      <c r="FK79" s="0" t="n">
        <v>150</v>
      </c>
      <c r="FL79" s="0" t="n">
        <v>151</v>
      </c>
      <c r="FM79" s="0" t="n">
        <v>152</v>
      </c>
      <c r="FN79" s="0" t="n">
        <v>153</v>
      </c>
      <c r="FO79" s="0" t="n">
        <v>154</v>
      </c>
      <c r="FP79" s="0" t="n">
        <v>155</v>
      </c>
      <c r="FQ79" s="0" t="n">
        <v>156</v>
      </c>
      <c r="FR79" s="0" t="n">
        <v>157</v>
      </c>
      <c r="FS79" s="0" t="n">
        <v>158</v>
      </c>
      <c r="FT79" s="0" t="n">
        <v>159</v>
      </c>
      <c r="FU79" s="0" t="n">
        <v>160</v>
      </c>
      <c r="FV79" s="0" t="n">
        <v>161</v>
      </c>
      <c r="FW79" s="0" t="n">
        <v>162</v>
      </c>
      <c r="FX79" s="0" t="n">
        <v>163</v>
      </c>
      <c r="FY79" s="0" t="n">
        <v>164</v>
      </c>
      <c r="FZ79" s="0" t="n">
        <v>165</v>
      </c>
      <c r="GA79" s="0" t="n">
        <v>166</v>
      </c>
      <c r="GB79" s="0" t="n">
        <v>167</v>
      </c>
      <c r="GC79" s="0" t="n">
        <v>168</v>
      </c>
      <c r="GD79" s="0" t="n">
        <v>169</v>
      </c>
      <c r="GE79" s="0" t="n">
        <v>170</v>
      </c>
      <c r="GF79" s="0" t="n">
        <v>171</v>
      </c>
      <c r="GG79" s="0" t="n">
        <v>172</v>
      </c>
      <c r="GH79" s="0" t="n">
        <v>173</v>
      </c>
      <c r="GI79" s="0" t="n">
        <v>174</v>
      </c>
      <c r="GJ79" s="0" t="n">
        <v>175</v>
      </c>
      <c r="GK79" s="0" t="n">
        <v>176</v>
      </c>
      <c r="GL79" s="0" t="n">
        <v>177</v>
      </c>
      <c r="GM79" s="0" t="n">
        <v>178</v>
      </c>
      <c r="GN79" s="0" t="n">
        <v>179</v>
      </c>
      <c r="GO79" s="0" t="n">
        <v>180</v>
      </c>
      <c r="GP79" s="0" t="n">
        <v>181</v>
      </c>
      <c r="GQ79" s="0" t="n">
        <v>182</v>
      </c>
      <c r="GR79" s="0" t="n">
        <v>183</v>
      </c>
      <c r="GS79" s="0" t="n">
        <v>184</v>
      </c>
      <c r="GT79" s="0" t="n">
        <v>185</v>
      </c>
      <c r="GU79" s="0" t="n">
        <v>186</v>
      </c>
      <c r="GV79" s="0" t="n">
        <v>187</v>
      </c>
      <c r="GW79" s="0" t="n">
        <v>188</v>
      </c>
      <c r="GX79" s="0" t="n">
        <v>189</v>
      </c>
      <c r="GY79" s="0" t="n">
        <v>190</v>
      </c>
      <c r="GZ79" s="0" t="n">
        <v>191</v>
      </c>
      <c r="HA79" s="0" t="n">
        <v>192</v>
      </c>
      <c r="HB79" s="0" t="n">
        <v>193</v>
      </c>
      <c r="HC79" s="0" t="n">
        <v>194</v>
      </c>
      <c r="HD79" s="0" t="n">
        <v>195</v>
      </c>
      <c r="HE79" s="0" t="n">
        <v>196</v>
      </c>
      <c r="HF79" s="0" t="n">
        <v>197</v>
      </c>
      <c r="HG79" s="0" t="n">
        <v>198</v>
      </c>
      <c r="HH79" s="0" t="n">
        <v>199</v>
      </c>
      <c r="HI79" s="0" t="n">
        <v>200</v>
      </c>
      <c r="HJ79" s="0" t="n">
        <v>201</v>
      </c>
      <c r="HK79" s="0" t="n">
        <v>202</v>
      </c>
      <c r="HL79" s="0" t="n">
        <v>203</v>
      </c>
      <c r="HM79" s="0" t="n">
        <v>204</v>
      </c>
      <c r="HN79" s="0" t="n">
        <v>205</v>
      </c>
      <c r="HO79" s="0" t="n">
        <v>206</v>
      </c>
      <c r="HP79" s="0" t="n">
        <v>207</v>
      </c>
      <c r="HQ79" s="0" t="n">
        <v>208</v>
      </c>
      <c r="HR79" s="0" t="n">
        <v>209</v>
      </c>
      <c r="HS79" s="0" t="n">
        <v>210</v>
      </c>
      <c r="HT79" s="0" t="n">
        <v>211</v>
      </c>
      <c r="HU79" s="0" t="n">
        <v>212</v>
      </c>
      <c r="HV79" s="0" t="n">
        <v>213</v>
      </c>
      <c r="HW79" s="0" t="n">
        <v>214</v>
      </c>
      <c r="HX79" s="0" t="n">
        <v>215</v>
      </c>
      <c r="HY79" s="0" t="n">
        <v>216</v>
      </c>
      <c r="HZ79" s="0" t="n">
        <v>217</v>
      </c>
      <c r="IA79" s="0" t="n">
        <v>218</v>
      </c>
      <c r="IB79" s="0" t="n">
        <v>219</v>
      </c>
      <c r="IC79" s="0" t="n">
        <v>220</v>
      </c>
      <c r="ID79" s="0" t="n">
        <v>221</v>
      </c>
      <c r="IE79" s="0" t="n">
        <v>222</v>
      </c>
      <c r="IF79" s="0" t="n">
        <v>223</v>
      </c>
      <c r="IG79" s="0" t="n">
        <v>224</v>
      </c>
      <c r="IH79" s="0" t="n">
        <v>225</v>
      </c>
      <c r="II79" s="0" t="n">
        <v>226</v>
      </c>
      <c r="IJ79" s="0" t="n">
        <v>227</v>
      </c>
      <c r="IK79" s="0" t="n">
        <v>228</v>
      </c>
      <c r="IL79" s="0" t="n">
        <v>229</v>
      </c>
      <c r="IM79" s="0" t="n">
        <v>230</v>
      </c>
      <c r="IN79" s="0" t="n">
        <v>231</v>
      </c>
      <c r="IO79" s="0" t="n">
        <v>232</v>
      </c>
      <c r="IP79" s="0" t="n">
        <v>233</v>
      </c>
      <c r="IQ79" s="0" t="n">
        <v>234</v>
      </c>
      <c r="IR79" s="0" t="n">
        <v>235</v>
      </c>
      <c r="IS79" s="0" t="n">
        <v>236</v>
      </c>
      <c r="IT79" s="0" t="n">
        <v>237</v>
      </c>
      <c r="IU79" s="0" t="n">
        <v>238</v>
      </c>
      <c r="IV79" s="0" t="n">
        <v>239</v>
      </c>
      <c r="IW79" s="0" t="n">
        <v>240</v>
      </c>
    </row>
    <row r="80" customFormat="false" ht="15" hidden="false" customHeight="false" outlineLevel="0" collapsed="false">
      <c r="P80" s="0" t="s">
        <v>88</v>
      </c>
      <c r="Q80" s="5" t="n">
        <f aca="false">EOMONTH($G$7,Q79-2)+1</f>
        <v>45992</v>
      </c>
      <c r="R80" s="5" t="n">
        <f aca="false">EOMONTH($G$7,R79-2)+1</f>
        <v>46023</v>
      </c>
      <c r="S80" s="5" t="n">
        <f aca="false">EOMONTH($G$7,S79-2)+1</f>
        <v>46054</v>
      </c>
      <c r="T80" s="5" t="n">
        <f aca="false">EOMONTH($G$7,T79-2)+1</f>
        <v>46082</v>
      </c>
      <c r="U80" s="5" t="n">
        <f aca="false">EOMONTH($G$7,U79-2)+1</f>
        <v>46113</v>
      </c>
      <c r="V80" s="5" t="n">
        <f aca="false">EOMONTH($G$7,V79-2)+1</f>
        <v>46143</v>
      </c>
      <c r="W80" s="5" t="n">
        <f aca="false">EOMONTH($G$7,W79-2)+1</f>
        <v>46174</v>
      </c>
      <c r="X80" s="5" t="n">
        <f aca="false">EOMONTH($G$7,X79-2)+1</f>
        <v>46204</v>
      </c>
      <c r="Y80" s="5" t="n">
        <f aca="false">EOMONTH($G$7,Y79-2)+1</f>
        <v>46235</v>
      </c>
      <c r="Z80" s="5" t="n">
        <f aca="false">EOMONTH($G$7,Z79-2)+1</f>
        <v>46266</v>
      </c>
      <c r="AA80" s="5" t="n">
        <f aca="false">EOMONTH($G$7,AA79-2)+1</f>
        <v>46296</v>
      </c>
      <c r="AB80" s="5" t="n">
        <f aca="false">EOMONTH($G$7,AB79-2)+1</f>
        <v>46327</v>
      </c>
      <c r="AC80" s="5" t="n">
        <f aca="false">EOMONTH($G$7,AC79-2)+1</f>
        <v>46357</v>
      </c>
      <c r="AD80" s="5" t="n">
        <f aca="false">EOMONTH($G$7,AD79-2)+1</f>
        <v>46388</v>
      </c>
      <c r="AE80" s="5" t="n">
        <f aca="false">EOMONTH($G$7,AE79-2)+1</f>
        <v>46419</v>
      </c>
      <c r="AF80" s="5" t="n">
        <f aca="false">EOMONTH($G$7,AF79-2)+1</f>
        <v>46447</v>
      </c>
      <c r="AG80" s="5" t="n">
        <f aca="false">EOMONTH($G$7,AG79-2)+1</f>
        <v>46478</v>
      </c>
      <c r="AH80" s="5" t="n">
        <f aca="false">EOMONTH($G$7,AH79-2)+1</f>
        <v>46508</v>
      </c>
      <c r="AI80" s="5" t="n">
        <f aca="false">EOMONTH($G$7,AI79-2)+1</f>
        <v>46539</v>
      </c>
      <c r="AJ80" s="5" t="n">
        <f aca="false">EOMONTH($G$7,AJ79-2)+1</f>
        <v>46569</v>
      </c>
      <c r="AK80" s="5" t="n">
        <f aca="false">EOMONTH($G$7,AK79-2)+1</f>
        <v>46600</v>
      </c>
      <c r="AL80" s="5" t="n">
        <f aca="false">EOMONTH($G$7,AL79-2)+1</f>
        <v>46631</v>
      </c>
      <c r="AM80" s="5" t="n">
        <f aca="false">EOMONTH($G$7,AM79-2)+1</f>
        <v>46661</v>
      </c>
      <c r="AN80" s="5" t="n">
        <f aca="false">EOMONTH($G$7,AN79-2)+1</f>
        <v>46692</v>
      </c>
      <c r="AO80" s="5" t="n">
        <f aca="false">EOMONTH($G$7,AO79-2)+1</f>
        <v>46722</v>
      </c>
      <c r="AP80" s="5" t="n">
        <f aca="false">EOMONTH($G$7,AP79-2)+1</f>
        <v>46753</v>
      </c>
      <c r="AQ80" s="5" t="n">
        <f aca="false">EOMONTH($G$7,AQ79-2)+1</f>
        <v>46784</v>
      </c>
      <c r="AR80" s="5" t="n">
        <f aca="false">EOMONTH($G$7,AR79-2)+1</f>
        <v>46813</v>
      </c>
      <c r="AS80" s="5" t="n">
        <f aca="false">EOMONTH($G$7,AS79-2)+1</f>
        <v>46844</v>
      </c>
      <c r="AT80" s="5" t="n">
        <f aca="false">EOMONTH($G$7,AT79-2)+1</f>
        <v>46874</v>
      </c>
      <c r="AU80" s="5" t="n">
        <f aca="false">EOMONTH($G$7,AU79-2)+1</f>
        <v>46905</v>
      </c>
      <c r="AV80" s="5" t="n">
        <f aca="false">EOMONTH($G$7,AV79-2)+1</f>
        <v>46935</v>
      </c>
      <c r="AW80" s="5" t="n">
        <f aca="false">EOMONTH($G$7,AW79-2)+1</f>
        <v>46966</v>
      </c>
      <c r="AX80" s="5" t="n">
        <f aca="false">EOMONTH($G$7,AX79-2)+1</f>
        <v>46997</v>
      </c>
      <c r="AY80" s="5" t="n">
        <f aca="false">EOMONTH($G$7,AY79-2)+1</f>
        <v>47027</v>
      </c>
      <c r="AZ80" s="5" t="n">
        <f aca="false">EOMONTH($G$7,AZ79-2)+1</f>
        <v>47058</v>
      </c>
      <c r="BA80" s="5" t="n">
        <f aca="false">EOMONTH($G$7,BA79-2)+1</f>
        <v>47088</v>
      </c>
      <c r="BB80" s="5" t="n">
        <f aca="false">EOMONTH($G$7,BB79-2)+1</f>
        <v>47119</v>
      </c>
      <c r="BC80" s="5" t="n">
        <f aca="false">EOMONTH($G$7,BC79-2)+1</f>
        <v>47150</v>
      </c>
      <c r="BD80" s="5" t="n">
        <f aca="false">EOMONTH($G$7,BD79-2)+1</f>
        <v>47178</v>
      </c>
      <c r="BE80" s="5" t="n">
        <f aca="false">EOMONTH($G$7,BE79-2)+1</f>
        <v>47209</v>
      </c>
      <c r="BF80" s="5" t="n">
        <f aca="false">EOMONTH($G$7,BF79-2)+1</f>
        <v>47239</v>
      </c>
      <c r="BG80" s="5" t="n">
        <f aca="false">EOMONTH($G$7,BG79-2)+1</f>
        <v>47270</v>
      </c>
      <c r="BH80" s="5" t="n">
        <f aca="false">EOMONTH($G$7,BH79-2)+1</f>
        <v>47300</v>
      </c>
      <c r="BI80" s="5" t="n">
        <f aca="false">EOMONTH($G$7,BI79-2)+1</f>
        <v>47331</v>
      </c>
      <c r="BJ80" s="5" t="n">
        <f aca="false">EOMONTH($G$7,BJ79-2)+1</f>
        <v>47362</v>
      </c>
      <c r="BK80" s="5" t="n">
        <f aca="false">EOMONTH($G$7,BK79-2)+1</f>
        <v>47392</v>
      </c>
      <c r="BL80" s="5" t="n">
        <f aca="false">EOMONTH($G$7,BL79-2)+1</f>
        <v>47423</v>
      </c>
      <c r="BM80" s="5" t="n">
        <f aca="false">EOMONTH($G$7,BM79-2)+1</f>
        <v>47453</v>
      </c>
      <c r="BN80" s="5" t="n">
        <f aca="false">EOMONTH($G$7,BN79-2)+1</f>
        <v>47484</v>
      </c>
      <c r="BO80" s="5" t="n">
        <f aca="false">EOMONTH($G$7,BO79-2)+1</f>
        <v>47515</v>
      </c>
      <c r="BP80" s="5" t="n">
        <f aca="false">EOMONTH($G$7,BP79-2)+1</f>
        <v>47543</v>
      </c>
      <c r="BQ80" s="5" t="n">
        <f aca="false">EOMONTH($G$7,BQ79-2)+1</f>
        <v>47574</v>
      </c>
      <c r="BR80" s="5" t="n">
        <f aca="false">EOMONTH($G$7,BR79-2)+1</f>
        <v>47604</v>
      </c>
      <c r="BS80" s="5" t="n">
        <f aca="false">EOMONTH($G$7,BS79-2)+1</f>
        <v>47635</v>
      </c>
      <c r="BT80" s="5" t="n">
        <f aca="false">EOMONTH($G$7,BT79-2)+1</f>
        <v>47665</v>
      </c>
      <c r="BU80" s="5" t="n">
        <f aca="false">EOMONTH($G$7,BU79-2)+1</f>
        <v>47696</v>
      </c>
      <c r="BV80" s="5" t="n">
        <f aca="false">EOMONTH($G$7,BV79-2)+1</f>
        <v>47727</v>
      </c>
      <c r="BW80" s="5" t="n">
        <f aca="false">EOMONTH($G$7,BW79-2)+1</f>
        <v>47757</v>
      </c>
      <c r="BX80" s="5" t="n">
        <f aca="false">EOMONTH($G$7,BX79-2)+1</f>
        <v>47788</v>
      </c>
      <c r="BY80" s="5" t="n">
        <f aca="false">EOMONTH($G$7,BY79-2)+1</f>
        <v>47818</v>
      </c>
      <c r="BZ80" s="5" t="n">
        <f aca="false">EOMONTH($G$7,BZ79-2)+1</f>
        <v>47849</v>
      </c>
      <c r="CA80" s="5" t="n">
        <f aca="false">EOMONTH($G$7,CA79-2)+1</f>
        <v>47880</v>
      </c>
      <c r="CB80" s="5" t="n">
        <f aca="false">EOMONTH($G$7,CB79-2)+1</f>
        <v>47908</v>
      </c>
      <c r="CC80" s="5" t="n">
        <f aca="false">EOMONTH($G$7,CC79-2)+1</f>
        <v>47939</v>
      </c>
      <c r="CD80" s="5" t="n">
        <f aca="false">EOMONTH($G$7,CD79-2)+1</f>
        <v>47969</v>
      </c>
      <c r="CE80" s="5" t="n">
        <f aca="false">EOMONTH($G$7,CE79-2)+1</f>
        <v>48000</v>
      </c>
      <c r="CF80" s="5" t="n">
        <f aca="false">EOMONTH($G$7,CF79-2)+1</f>
        <v>48030</v>
      </c>
      <c r="CG80" s="5" t="n">
        <f aca="false">EOMONTH($G$7,CG79-2)+1</f>
        <v>48061</v>
      </c>
      <c r="CH80" s="5" t="n">
        <f aca="false">EOMONTH($G$7,CH79-2)+1</f>
        <v>48092</v>
      </c>
      <c r="CI80" s="5" t="n">
        <f aca="false">EOMONTH($G$7,CI79-2)+1</f>
        <v>48122</v>
      </c>
      <c r="CJ80" s="5" t="n">
        <f aca="false">EOMONTH($G$7,CJ79-2)+1</f>
        <v>48153</v>
      </c>
      <c r="CK80" s="5" t="n">
        <f aca="false">EOMONTH($G$7,CK79-2)+1</f>
        <v>48183</v>
      </c>
      <c r="CL80" s="5" t="n">
        <f aca="false">EOMONTH($G$7,CL79-2)+1</f>
        <v>48214</v>
      </c>
      <c r="CM80" s="5" t="n">
        <f aca="false">EOMONTH($G$7,CM79-2)+1</f>
        <v>48245</v>
      </c>
      <c r="CN80" s="5" t="n">
        <f aca="false">EOMONTH($G$7,CN79-2)+1</f>
        <v>48274</v>
      </c>
      <c r="CO80" s="5" t="n">
        <f aca="false">EOMONTH($G$7,CO79-2)+1</f>
        <v>48305</v>
      </c>
      <c r="CP80" s="5" t="n">
        <f aca="false">EOMONTH($G$7,CP79-2)+1</f>
        <v>48335</v>
      </c>
      <c r="CQ80" s="5" t="n">
        <f aca="false">EOMONTH($G$7,CQ79-2)+1</f>
        <v>48366</v>
      </c>
      <c r="CR80" s="5" t="n">
        <f aca="false">EOMONTH($G$7,CR79-2)+1</f>
        <v>48396</v>
      </c>
      <c r="CS80" s="5" t="n">
        <f aca="false">EOMONTH($G$7,CS79-2)+1</f>
        <v>48427</v>
      </c>
      <c r="CT80" s="5" t="n">
        <f aca="false">EOMONTH($G$7,CT79-2)+1</f>
        <v>48458</v>
      </c>
      <c r="CU80" s="5" t="n">
        <f aca="false">EOMONTH($G$7,CU79-2)+1</f>
        <v>48488</v>
      </c>
      <c r="CV80" s="5" t="n">
        <f aca="false">EOMONTH($G$7,CV79-2)+1</f>
        <v>48519</v>
      </c>
      <c r="CW80" s="5" t="n">
        <f aca="false">EOMONTH($G$7,CW79-2)+1</f>
        <v>48549</v>
      </c>
      <c r="CX80" s="5" t="n">
        <f aca="false">EOMONTH($G$7,CX79-2)+1</f>
        <v>48580</v>
      </c>
      <c r="CY80" s="5" t="n">
        <f aca="false">EOMONTH($G$7,CY79-2)+1</f>
        <v>48611</v>
      </c>
      <c r="CZ80" s="5" t="n">
        <f aca="false">EOMONTH($G$7,CZ79-2)+1</f>
        <v>48639</v>
      </c>
      <c r="DA80" s="5" t="n">
        <f aca="false">EOMONTH($G$7,DA79-2)+1</f>
        <v>48670</v>
      </c>
      <c r="DB80" s="5" t="n">
        <f aca="false">EOMONTH($G$7,DB79-2)+1</f>
        <v>48700</v>
      </c>
      <c r="DC80" s="5" t="n">
        <f aca="false">EOMONTH($G$7,DC79-2)+1</f>
        <v>48731</v>
      </c>
      <c r="DD80" s="5" t="n">
        <f aca="false">EOMONTH($G$7,DD79-2)+1</f>
        <v>48761</v>
      </c>
      <c r="DE80" s="5" t="n">
        <f aca="false">EOMONTH($G$7,DE79-2)+1</f>
        <v>48792</v>
      </c>
      <c r="DF80" s="5" t="n">
        <f aca="false">EOMONTH($G$7,DF79-2)+1</f>
        <v>48823</v>
      </c>
      <c r="DG80" s="5" t="n">
        <f aca="false">EOMONTH($G$7,DG79-2)+1</f>
        <v>48853</v>
      </c>
      <c r="DH80" s="5" t="n">
        <f aca="false">EOMONTH($G$7,DH79-2)+1</f>
        <v>48884</v>
      </c>
      <c r="DI80" s="5" t="n">
        <f aca="false">EOMONTH($G$7,DI79-2)+1</f>
        <v>48914</v>
      </c>
      <c r="DJ80" s="5" t="n">
        <f aca="false">EOMONTH($G$7,DJ79-2)+1</f>
        <v>48945</v>
      </c>
      <c r="DK80" s="5" t="n">
        <f aca="false">EOMONTH($G$7,DK79-2)+1</f>
        <v>48976</v>
      </c>
      <c r="DL80" s="5" t="n">
        <f aca="false">EOMONTH($G$7,DL79-2)+1</f>
        <v>49004</v>
      </c>
      <c r="DM80" s="5" t="n">
        <f aca="false">EOMONTH($G$7,DM79-2)+1</f>
        <v>49035</v>
      </c>
      <c r="DN80" s="5" t="n">
        <f aca="false">EOMONTH($G$7,DN79-2)+1</f>
        <v>49065</v>
      </c>
      <c r="DO80" s="5" t="n">
        <f aca="false">EOMONTH($G$7,DO79-2)+1</f>
        <v>49096</v>
      </c>
      <c r="DP80" s="5" t="n">
        <f aca="false">EOMONTH($G$7,DP79-2)+1</f>
        <v>49126</v>
      </c>
      <c r="DQ80" s="5" t="n">
        <f aca="false">EOMONTH($G$7,DQ79-2)+1</f>
        <v>49157</v>
      </c>
      <c r="DR80" s="5" t="n">
        <f aca="false">EOMONTH($G$7,DR79-2)+1</f>
        <v>49188</v>
      </c>
      <c r="DS80" s="5" t="n">
        <f aca="false">EOMONTH($G$7,DS79-2)+1</f>
        <v>49218</v>
      </c>
      <c r="DT80" s="5" t="n">
        <f aca="false">EOMONTH($G$7,DT79-2)+1</f>
        <v>49249</v>
      </c>
      <c r="DU80" s="5" t="n">
        <f aca="false">EOMONTH($G$7,DU79-2)+1</f>
        <v>49279</v>
      </c>
      <c r="DV80" s="5" t="n">
        <f aca="false">EOMONTH($G$7,DV79-2)+1</f>
        <v>49310</v>
      </c>
      <c r="DW80" s="5" t="n">
        <f aca="false">EOMONTH($G$7,DW79-2)+1</f>
        <v>49341</v>
      </c>
      <c r="DX80" s="5" t="n">
        <f aca="false">EOMONTH($G$7,DX79-2)+1</f>
        <v>49369</v>
      </c>
      <c r="DY80" s="5" t="n">
        <f aca="false">EOMONTH($G$7,DY79-2)+1</f>
        <v>49400</v>
      </c>
      <c r="DZ80" s="5" t="n">
        <f aca="false">EOMONTH($G$7,DZ79-2)+1</f>
        <v>49430</v>
      </c>
      <c r="EA80" s="5" t="n">
        <f aca="false">EOMONTH($G$7,EA79-2)+1</f>
        <v>49461</v>
      </c>
      <c r="EB80" s="5" t="n">
        <f aca="false">EOMONTH($G$7,EB79-2)+1</f>
        <v>49491</v>
      </c>
      <c r="EC80" s="5" t="n">
        <f aca="false">EOMONTH($G$7,EC79-2)+1</f>
        <v>49522</v>
      </c>
      <c r="ED80" s="5" t="n">
        <f aca="false">EOMONTH($G$7,ED79-2)+1</f>
        <v>49553</v>
      </c>
      <c r="EE80" s="5" t="n">
        <f aca="false">EOMONTH($G$7,EE79-2)+1</f>
        <v>49583</v>
      </c>
      <c r="EF80" s="5" t="n">
        <f aca="false">EOMONTH($G$7,EF79-2)+1</f>
        <v>49614</v>
      </c>
      <c r="EG80" s="5" t="n">
        <f aca="false">EOMONTH($G$7,EG79-2)+1</f>
        <v>49644</v>
      </c>
      <c r="EH80" s="5" t="n">
        <f aca="false">EOMONTH($G$7,EH79-2)+1</f>
        <v>49675</v>
      </c>
      <c r="EI80" s="5" t="n">
        <f aca="false">EOMONTH($G$7,EI79-2)+1</f>
        <v>49706</v>
      </c>
      <c r="EJ80" s="5" t="n">
        <f aca="false">EOMONTH($G$7,EJ79-2)+1</f>
        <v>49735</v>
      </c>
      <c r="EK80" s="5" t="n">
        <f aca="false">EOMONTH($G$7,EK79-2)+1</f>
        <v>49766</v>
      </c>
      <c r="EL80" s="5" t="n">
        <f aca="false">EOMONTH($G$7,EL79-2)+1</f>
        <v>49796</v>
      </c>
      <c r="EM80" s="5" t="n">
        <f aca="false">EOMONTH($G$7,EM79-2)+1</f>
        <v>49827</v>
      </c>
      <c r="EN80" s="5" t="n">
        <f aca="false">EOMONTH($G$7,EN79-2)+1</f>
        <v>49857</v>
      </c>
      <c r="EO80" s="5" t="n">
        <f aca="false">EOMONTH($G$7,EO79-2)+1</f>
        <v>49888</v>
      </c>
      <c r="EP80" s="5" t="n">
        <f aca="false">EOMONTH($G$7,EP79-2)+1</f>
        <v>49919</v>
      </c>
      <c r="EQ80" s="5" t="n">
        <f aca="false">EOMONTH($G$7,EQ79-2)+1</f>
        <v>49949</v>
      </c>
      <c r="ER80" s="5" t="n">
        <f aca="false">EOMONTH($G$7,ER79-2)+1</f>
        <v>49980</v>
      </c>
      <c r="ES80" s="5" t="n">
        <f aca="false">EOMONTH($G$7,ES79-2)+1</f>
        <v>50010</v>
      </c>
      <c r="ET80" s="5" t="n">
        <f aca="false">EOMONTH($G$7,ET79-2)+1</f>
        <v>50041</v>
      </c>
      <c r="EU80" s="5" t="n">
        <f aca="false">EOMONTH($G$7,EU79-2)+1</f>
        <v>50072</v>
      </c>
      <c r="EV80" s="5" t="n">
        <f aca="false">EOMONTH($G$7,EV79-2)+1</f>
        <v>50100</v>
      </c>
      <c r="EW80" s="5" t="n">
        <f aca="false">EOMONTH($G$7,EW79-2)+1</f>
        <v>50131</v>
      </c>
      <c r="EX80" s="5" t="n">
        <f aca="false">EOMONTH($G$7,EX79-2)+1</f>
        <v>50161</v>
      </c>
      <c r="EY80" s="5" t="n">
        <f aca="false">EOMONTH($G$7,EY79-2)+1</f>
        <v>50192</v>
      </c>
      <c r="EZ80" s="5" t="n">
        <f aca="false">EOMONTH($G$7,EZ79-2)+1</f>
        <v>50222</v>
      </c>
      <c r="FA80" s="5" t="n">
        <f aca="false">EOMONTH($G$7,FA79-2)+1</f>
        <v>50253</v>
      </c>
      <c r="FB80" s="5" t="n">
        <f aca="false">EOMONTH($G$7,FB79-2)+1</f>
        <v>50284</v>
      </c>
      <c r="FC80" s="5" t="n">
        <f aca="false">EOMONTH($G$7,FC79-2)+1</f>
        <v>50314</v>
      </c>
      <c r="FD80" s="5" t="n">
        <f aca="false">EOMONTH($G$7,FD79-2)+1</f>
        <v>50345</v>
      </c>
      <c r="FE80" s="5" t="n">
        <f aca="false">EOMONTH($G$7,FE79-2)+1</f>
        <v>50375</v>
      </c>
      <c r="FF80" s="5" t="n">
        <f aca="false">EOMONTH($G$7,FF79-2)+1</f>
        <v>50406</v>
      </c>
      <c r="FG80" s="5" t="n">
        <f aca="false">EOMONTH($G$7,FG79-2)+1</f>
        <v>50437</v>
      </c>
      <c r="FH80" s="5" t="n">
        <f aca="false">EOMONTH($G$7,FH79-2)+1</f>
        <v>50465</v>
      </c>
      <c r="FI80" s="5" t="n">
        <f aca="false">EOMONTH($G$7,FI79-2)+1</f>
        <v>50496</v>
      </c>
      <c r="FJ80" s="5" t="n">
        <f aca="false">EOMONTH($G$7,FJ79-2)+1</f>
        <v>50526</v>
      </c>
      <c r="FK80" s="5" t="n">
        <f aca="false">EOMONTH($G$7,FK79-2)+1</f>
        <v>50557</v>
      </c>
      <c r="FL80" s="5" t="n">
        <f aca="false">EOMONTH($G$7,FL79-2)+1</f>
        <v>50587</v>
      </c>
      <c r="FM80" s="5" t="n">
        <f aca="false">EOMONTH($G$7,FM79-2)+1</f>
        <v>50618</v>
      </c>
      <c r="FN80" s="5" t="n">
        <f aca="false">EOMONTH($G$7,FN79-2)+1</f>
        <v>50649</v>
      </c>
      <c r="FO80" s="5" t="n">
        <f aca="false">EOMONTH($G$7,FO79-2)+1</f>
        <v>50679</v>
      </c>
      <c r="FP80" s="5" t="n">
        <f aca="false">EOMONTH($G$7,FP79-2)+1</f>
        <v>50710</v>
      </c>
      <c r="FQ80" s="5" t="n">
        <f aca="false">EOMONTH($G$7,FQ79-2)+1</f>
        <v>50740</v>
      </c>
      <c r="FR80" s="5" t="n">
        <f aca="false">EOMONTH($G$7,FR79-2)+1</f>
        <v>50771</v>
      </c>
      <c r="FS80" s="5" t="n">
        <f aca="false">EOMONTH($G$7,FS79-2)+1</f>
        <v>50802</v>
      </c>
      <c r="FT80" s="5" t="n">
        <f aca="false">EOMONTH($G$7,FT79-2)+1</f>
        <v>50830</v>
      </c>
      <c r="FU80" s="5" t="n">
        <f aca="false">EOMONTH($G$7,FU79-2)+1</f>
        <v>50861</v>
      </c>
      <c r="FV80" s="5" t="n">
        <f aca="false">EOMONTH($G$7,FV79-2)+1</f>
        <v>50891</v>
      </c>
      <c r="FW80" s="5" t="n">
        <f aca="false">EOMONTH($G$7,FW79-2)+1</f>
        <v>50922</v>
      </c>
      <c r="FX80" s="5" t="n">
        <f aca="false">EOMONTH($G$7,FX79-2)+1</f>
        <v>50952</v>
      </c>
      <c r="FY80" s="5" t="n">
        <f aca="false">EOMONTH($G$7,FY79-2)+1</f>
        <v>50983</v>
      </c>
      <c r="FZ80" s="5" t="n">
        <f aca="false">EOMONTH($G$7,FZ79-2)+1</f>
        <v>51014</v>
      </c>
      <c r="GA80" s="5" t="n">
        <f aca="false">EOMONTH($G$7,GA79-2)+1</f>
        <v>51044</v>
      </c>
      <c r="GB80" s="5" t="n">
        <f aca="false">EOMONTH($G$7,GB79-2)+1</f>
        <v>51075</v>
      </c>
      <c r="GC80" s="5" t="n">
        <f aca="false">EOMONTH($G$7,GC79-2)+1</f>
        <v>51105</v>
      </c>
      <c r="GD80" s="5" t="n">
        <f aca="false">EOMONTH($G$7,GD79-2)+1</f>
        <v>51136</v>
      </c>
      <c r="GE80" s="5" t="n">
        <f aca="false">EOMONTH($G$7,GE79-2)+1</f>
        <v>51167</v>
      </c>
      <c r="GF80" s="5" t="n">
        <f aca="false">EOMONTH($G$7,GF79-2)+1</f>
        <v>51196</v>
      </c>
      <c r="GG80" s="5" t="n">
        <f aca="false">EOMONTH($G$7,GG79-2)+1</f>
        <v>51227</v>
      </c>
      <c r="GH80" s="5" t="n">
        <f aca="false">EOMONTH($G$7,GH79-2)+1</f>
        <v>51257</v>
      </c>
      <c r="GI80" s="5" t="n">
        <f aca="false">EOMONTH($G$7,GI79-2)+1</f>
        <v>51288</v>
      </c>
      <c r="GJ80" s="5" t="n">
        <f aca="false">EOMONTH($G$7,GJ79-2)+1</f>
        <v>51318</v>
      </c>
      <c r="GK80" s="5" t="n">
        <f aca="false">EOMONTH($G$7,GK79-2)+1</f>
        <v>51349</v>
      </c>
      <c r="GL80" s="5" t="n">
        <f aca="false">EOMONTH($G$7,GL79-2)+1</f>
        <v>51380</v>
      </c>
      <c r="GM80" s="5" t="n">
        <f aca="false">EOMONTH($G$7,GM79-2)+1</f>
        <v>51410</v>
      </c>
      <c r="GN80" s="5" t="n">
        <f aca="false">EOMONTH($G$7,GN79-2)+1</f>
        <v>51441</v>
      </c>
      <c r="GO80" s="5" t="n">
        <f aca="false">EOMONTH($G$7,GO79-2)+1</f>
        <v>51471</v>
      </c>
      <c r="GP80" s="5" t="n">
        <f aca="false">EOMONTH($G$7,GP79-2)+1</f>
        <v>51502</v>
      </c>
      <c r="GQ80" s="5" t="n">
        <f aca="false">EOMONTH($G$7,GQ79-2)+1</f>
        <v>51533</v>
      </c>
      <c r="GR80" s="5" t="n">
        <f aca="false">EOMONTH($G$7,GR79-2)+1</f>
        <v>51561</v>
      </c>
      <c r="GS80" s="5" t="n">
        <f aca="false">EOMONTH($G$7,GS79-2)+1</f>
        <v>51592</v>
      </c>
      <c r="GT80" s="5" t="n">
        <f aca="false">EOMONTH($G$7,GT79-2)+1</f>
        <v>51622</v>
      </c>
      <c r="GU80" s="5" t="n">
        <f aca="false">EOMONTH($G$7,GU79-2)+1</f>
        <v>51653</v>
      </c>
      <c r="GV80" s="5" t="n">
        <f aca="false">EOMONTH($G$7,GV79-2)+1</f>
        <v>51683</v>
      </c>
      <c r="GW80" s="5" t="n">
        <f aca="false">EOMONTH($G$7,GW79-2)+1</f>
        <v>51714</v>
      </c>
      <c r="GX80" s="5" t="n">
        <f aca="false">EOMONTH($G$7,GX79-2)+1</f>
        <v>51745</v>
      </c>
      <c r="GY80" s="5" t="n">
        <f aca="false">EOMONTH($G$7,GY79-2)+1</f>
        <v>51775</v>
      </c>
      <c r="GZ80" s="5" t="n">
        <f aca="false">EOMONTH($G$7,GZ79-2)+1</f>
        <v>51806</v>
      </c>
      <c r="HA80" s="5" t="n">
        <f aca="false">EOMONTH($G$7,HA79-2)+1</f>
        <v>51836</v>
      </c>
      <c r="HB80" s="5" t="n">
        <f aca="false">EOMONTH($G$7,HB79-2)+1</f>
        <v>51867</v>
      </c>
      <c r="HC80" s="5" t="n">
        <f aca="false">EOMONTH($G$7,HC79-2)+1</f>
        <v>51898</v>
      </c>
      <c r="HD80" s="5" t="n">
        <f aca="false">EOMONTH($G$7,HD79-2)+1</f>
        <v>51926</v>
      </c>
      <c r="HE80" s="5" t="n">
        <f aca="false">EOMONTH($G$7,HE79-2)+1</f>
        <v>51957</v>
      </c>
      <c r="HF80" s="5" t="n">
        <f aca="false">EOMONTH($G$7,HF79-2)+1</f>
        <v>51987</v>
      </c>
      <c r="HG80" s="5" t="n">
        <f aca="false">EOMONTH($G$7,HG79-2)+1</f>
        <v>52018</v>
      </c>
      <c r="HH80" s="5" t="n">
        <f aca="false">EOMONTH($G$7,HH79-2)+1</f>
        <v>52048</v>
      </c>
      <c r="HI80" s="5" t="n">
        <f aca="false">EOMONTH($G$7,HI79-2)+1</f>
        <v>52079</v>
      </c>
      <c r="HJ80" s="5" t="n">
        <f aca="false">EOMONTH($G$7,HJ79-2)+1</f>
        <v>52110</v>
      </c>
      <c r="HK80" s="5" t="n">
        <f aca="false">EOMONTH($G$7,HK79-2)+1</f>
        <v>52140</v>
      </c>
      <c r="HL80" s="5" t="n">
        <f aca="false">EOMONTH($G$7,HL79-2)+1</f>
        <v>52171</v>
      </c>
      <c r="HM80" s="5" t="n">
        <f aca="false">EOMONTH($G$7,HM79-2)+1</f>
        <v>52201</v>
      </c>
      <c r="HN80" s="5" t="n">
        <f aca="false">EOMONTH($G$7,HN79-2)+1</f>
        <v>52232</v>
      </c>
      <c r="HO80" s="5" t="n">
        <f aca="false">EOMONTH($G$7,HO79-2)+1</f>
        <v>52263</v>
      </c>
      <c r="HP80" s="5" t="n">
        <f aca="false">EOMONTH($G$7,HP79-2)+1</f>
        <v>52291</v>
      </c>
      <c r="HQ80" s="5" t="n">
        <f aca="false">EOMONTH($G$7,HQ79-2)+1</f>
        <v>52322</v>
      </c>
      <c r="HR80" s="5" t="n">
        <f aca="false">EOMONTH($G$7,HR79-2)+1</f>
        <v>52352</v>
      </c>
      <c r="HS80" s="5" t="n">
        <f aca="false">EOMONTH($G$7,HS79-2)+1</f>
        <v>52383</v>
      </c>
      <c r="HT80" s="5" t="n">
        <f aca="false">EOMONTH($G$7,HT79-2)+1</f>
        <v>52413</v>
      </c>
      <c r="HU80" s="5" t="n">
        <f aca="false">EOMONTH($G$7,HU79-2)+1</f>
        <v>52444</v>
      </c>
      <c r="HV80" s="5" t="n">
        <f aca="false">EOMONTH($G$7,HV79-2)+1</f>
        <v>52475</v>
      </c>
      <c r="HW80" s="5" t="n">
        <f aca="false">EOMONTH($G$7,HW79-2)+1</f>
        <v>52505</v>
      </c>
      <c r="HX80" s="5" t="n">
        <f aca="false">EOMONTH($G$7,HX79-2)+1</f>
        <v>52536</v>
      </c>
      <c r="HY80" s="5" t="n">
        <f aca="false">EOMONTH($G$7,HY79-2)+1</f>
        <v>52566</v>
      </c>
      <c r="HZ80" s="5" t="n">
        <f aca="false">EOMONTH($G$7,HZ79-2)+1</f>
        <v>52597</v>
      </c>
      <c r="IA80" s="5" t="n">
        <f aca="false">EOMONTH($G$7,IA79-2)+1</f>
        <v>52628</v>
      </c>
      <c r="IB80" s="5" t="n">
        <f aca="false">EOMONTH($G$7,IB79-2)+1</f>
        <v>52657</v>
      </c>
      <c r="IC80" s="5" t="n">
        <f aca="false">EOMONTH($G$7,IC79-2)+1</f>
        <v>52688</v>
      </c>
      <c r="ID80" s="5" t="n">
        <f aca="false">EOMONTH($G$7,ID79-2)+1</f>
        <v>52718</v>
      </c>
      <c r="IE80" s="5" t="n">
        <f aca="false">EOMONTH($G$7,IE79-2)+1</f>
        <v>52749</v>
      </c>
      <c r="IF80" s="5" t="n">
        <f aca="false">EOMONTH($G$7,IF79-2)+1</f>
        <v>52779</v>
      </c>
      <c r="IG80" s="5" t="n">
        <f aca="false">EOMONTH($G$7,IG79-2)+1</f>
        <v>52810</v>
      </c>
      <c r="IH80" s="5" t="n">
        <f aca="false">EOMONTH($G$7,IH79-2)+1</f>
        <v>52841</v>
      </c>
      <c r="II80" s="5" t="n">
        <f aca="false">EOMONTH($G$7,II79-2)+1</f>
        <v>52871</v>
      </c>
      <c r="IJ80" s="5" t="n">
        <f aca="false">EOMONTH($G$7,IJ79-2)+1</f>
        <v>52902</v>
      </c>
      <c r="IK80" s="5" t="n">
        <f aca="false">EOMONTH($G$7,IK79-2)+1</f>
        <v>52932</v>
      </c>
      <c r="IL80" s="5" t="n">
        <f aca="false">EOMONTH($G$7,IL79-2)+1</f>
        <v>52963</v>
      </c>
      <c r="IM80" s="5" t="n">
        <f aca="false">EOMONTH($G$7,IM79-2)+1</f>
        <v>52994</v>
      </c>
      <c r="IN80" s="5" t="n">
        <f aca="false">EOMONTH($G$7,IN79-2)+1</f>
        <v>53022</v>
      </c>
      <c r="IO80" s="5" t="n">
        <f aca="false">EOMONTH($G$7,IO79-2)+1</f>
        <v>53053</v>
      </c>
      <c r="IP80" s="5" t="n">
        <f aca="false">EOMONTH($G$7,IP79-2)+1</f>
        <v>53083</v>
      </c>
      <c r="IQ80" s="5" t="n">
        <f aca="false">EOMONTH($G$7,IQ79-2)+1</f>
        <v>53114</v>
      </c>
      <c r="IR80" s="5" t="n">
        <f aca="false">EOMONTH($G$7,IR79-2)+1</f>
        <v>53144</v>
      </c>
      <c r="IS80" s="5" t="n">
        <f aca="false">EOMONTH($G$7,IS79-2)+1</f>
        <v>53175</v>
      </c>
      <c r="IT80" s="5" t="n">
        <f aca="false">EOMONTH($G$7,IT79-2)+1</f>
        <v>53206</v>
      </c>
      <c r="IU80" s="5" t="n">
        <f aca="false">EOMONTH($G$7,IU79-2)+1</f>
        <v>53236</v>
      </c>
      <c r="IV80" s="5" t="n">
        <f aca="false">EOMONTH($G$7,IV79-2)+1</f>
        <v>53267</v>
      </c>
      <c r="IW80" s="5" t="n">
        <f aca="false">EOMONTH($G$7,IW79-2)+1</f>
        <v>53297</v>
      </c>
    </row>
    <row r="81" customFormat="false" ht="15" hidden="false" customHeight="false" outlineLevel="0" collapsed="false">
      <c r="P81" s="0" t="s">
        <v>89</v>
      </c>
      <c r="Q81" s="0" t="n">
        <v>0</v>
      </c>
      <c r="R81" s="0" t="n">
        <f aca="false">IF(AND(R79&gt;=1,R79&lt;=$L$28),Rent_Base*SF_NRA/12*(1+$M$32)^(R78-1),0)</f>
        <v>46520.8333333333</v>
      </c>
      <c r="S81" s="0" t="n">
        <f aca="false">IF(AND(S79&gt;=1,S79&lt;=$L$28),Rent_Base*SF_NRA/12*(1+$M$32)^(S78-1),0)</f>
        <v>46520.8333333333</v>
      </c>
      <c r="T81" s="0" t="n">
        <f aca="false">IF(AND(T79&gt;=1,T79&lt;=$L$28),Rent_Base*SF_NRA/12*(1+$M$32)^(T78-1),0)</f>
        <v>46520.8333333333</v>
      </c>
      <c r="U81" s="0" t="n">
        <f aca="false">IF(AND(U79&gt;=1,U79&lt;=$L$28),Rent_Base*SF_NRA/12*(1+$M$32)^(U78-1),0)</f>
        <v>46520.8333333333</v>
      </c>
      <c r="V81" s="0" t="n">
        <f aca="false">IF(AND(V79&gt;=1,V79&lt;=$L$28),Rent_Base*SF_NRA/12*(1+$M$32)^(V78-1),0)</f>
        <v>46520.8333333333</v>
      </c>
      <c r="W81" s="0" t="n">
        <f aca="false">IF(AND(W79&gt;=1,W79&lt;=$L$28),Rent_Base*SF_NRA/12*(1+$M$32)^(W78-1),0)</f>
        <v>46520.8333333333</v>
      </c>
      <c r="X81" s="0" t="n">
        <f aca="false">IF(AND(X79&gt;=1,X79&lt;=$L$28),Rent_Base*SF_NRA/12*(1+$M$32)^(X78-1),0)</f>
        <v>46520.8333333333</v>
      </c>
      <c r="Y81" s="0" t="n">
        <f aca="false">IF(AND(Y79&gt;=1,Y79&lt;=$L$28),Rent_Base*SF_NRA/12*(1+$M$32)^(Y78-1),0)</f>
        <v>46520.8333333333</v>
      </c>
      <c r="Z81" s="0" t="n">
        <f aca="false">IF(AND(Z79&gt;=1,Z79&lt;=$L$28),Rent_Base*SF_NRA/12*(1+$M$32)^(Z78-1),0)</f>
        <v>46520.8333333333</v>
      </c>
      <c r="AA81" s="0" t="n">
        <f aca="false">IF(AND(AA79&gt;=1,AA79&lt;=$L$28),Rent_Base*SF_NRA/12*(1+$M$32)^(AA78-1),0)</f>
        <v>46520.8333333333</v>
      </c>
      <c r="AB81" s="0" t="n">
        <f aca="false">IF(AND(AB79&gt;=1,AB79&lt;=$L$28),Rent_Base*SF_NRA/12*(1+$M$32)^(AB78-1),0)</f>
        <v>46520.8333333333</v>
      </c>
      <c r="AC81" s="0" t="n">
        <f aca="false">IF(AND(AC79&gt;=1,AC79&lt;=$L$28),Rent_Base*SF_NRA/12*(1+$M$32)^(AC78-1),0)</f>
        <v>46520.8333333333</v>
      </c>
      <c r="AD81" s="0" t="n">
        <f aca="false">IF(AND(AD79&gt;=1,AD79&lt;=$L$28),Rent_Base*SF_NRA/12*(1+$M$32)^(AD78-1),0)</f>
        <v>47451.25</v>
      </c>
      <c r="AE81" s="0" t="n">
        <f aca="false">IF(AND(AE79&gt;=1,AE79&lt;=$L$28),Rent_Base*SF_NRA/12*(1+$M$32)^(AE78-1),0)</f>
        <v>47451.25</v>
      </c>
      <c r="AF81" s="0" t="n">
        <f aca="false">IF(AND(AF79&gt;=1,AF79&lt;=$L$28),Rent_Base*SF_NRA/12*(1+$M$32)^(AF78-1),0)</f>
        <v>47451.25</v>
      </c>
      <c r="AG81" s="0" t="n">
        <f aca="false">IF(AND(AG79&gt;=1,AG79&lt;=$L$28),Rent_Base*SF_NRA/12*(1+$M$32)^(AG78-1),0)</f>
        <v>47451.25</v>
      </c>
      <c r="AH81" s="0" t="n">
        <f aca="false">IF(AND(AH79&gt;=1,AH79&lt;=$L$28),Rent_Base*SF_NRA/12*(1+$M$32)^(AH78-1),0)</f>
        <v>47451.25</v>
      </c>
      <c r="AI81" s="0" t="n">
        <f aca="false">IF(AND(AI79&gt;=1,AI79&lt;=$L$28),Rent_Base*SF_NRA/12*(1+$M$32)^(AI78-1),0)</f>
        <v>47451.25</v>
      </c>
      <c r="AJ81" s="0" t="n">
        <f aca="false">IF(AND(AJ79&gt;=1,AJ79&lt;=$L$28),Rent_Base*SF_NRA/12*(1+$M$32)^(AJ78-1),0)</f>
        <v>47451.25</v>
      </c>
      <c r="AK81" s="0" t="n">
        <f aca="false">IF(AND(AK79&gt;=1,AK79&lt;=$L$28),Rent_Base*SF_NRA/12*(1+$M$32)^(AK78-1),0)</f>
        <v>47451.25</v>
      </c>
      <c r="AL81" s="0" t="n">
        <f aca="false">IF(AND(AL79&gt;=1,AL79&lt;=$L$28),Rent_Base*SF_NRA/12*(1+$M$32)^(AL78-1),0)</f>
        <v>47451.25</v>
      </c>
      <c r="AM81" s="0" t="n">
        <f aca="false">IF(AND(AM79&gt;=1,AM79&lt;=$L$28),Rent_Base*SF_NRA/12*(1+$M$32)^(AM78-1),0)</f>
        <v>47451.25</v>
      </c>
      <c r="AN81" s="0" t="n">
        <f aca="false">IF(AND(AN79&gt;=1,AN79&lt;=$L$28),Rent_Base*SF_NRA/12*(1+$M$32)^(AN78-1),0)</f>
        <v>47451.25</v>
      </c>
      <c r="AO81" s="0" t="n">
        <f aca="false">IF(AND(AO79&gt;=1,AO79&lt;=$L$28),Rent_Base*SF_NRA/12*(1+$M$32)^(AO78-1),0)</f>
        <v>47451.25</v>
      </c>
      <c r="AP81" s="0" t="n">
        <f aca="false">IF(AND(AP79&gt;=1,AP79&lt;=$L$28),Rent_Base*SF_NRA/12*(1+$M$32)^(AP78-1),0)</f>
        <v>48400.275</v>
      </c>
      <c r="AQ81" s="0" t="n">
        <f aca="false">IF(AND(AQ79&gt;=1,AQ79&lt;=$L$28),Rent_Base*SF_NRA/12*(1+$M$32)^(AQ78-1),0)</f>
        <v>48400.275</v>
      </c>
      <c r="AR81" s="0" t="n">
        <f aca="false">IF(AND(AR79&gt;=1,AR79&lt;=$L$28),Rent_Base*SF_NRA/12*(1+$M$32)^(AR78-1),0)</f>
        <v>48400.275</v>
      </c>
      <c r="AS81" s="0" t="n">
        <f aca="false">IF(AND(AS79&gt;=1,AS79&lt;=$L$28),Rent_Base*SF_NRA/12*(1+$M$32)^(AS78-1),0)</f>
        <v>48400.275</v>
      </c>
      <c r="AT81" s="0" t="n">
        <f aca="false">IF(AND(AT79&gt;=1,AT79&lt;=$L$28),Rent_Base*SF_NRA/12*(1+$M$32)^(AT78-1),0)</f>
        <v>48400.275</v>
      </c>
      <c r="AU81" s="0" t="n">
        <f aca="false">IF(AND(AU79&gt;=1,AU79&lt;=$L$28),Rent_Base*SF_NRA/12*(1+$M$32)^(AU78-1),0)</f>
        <v>48400.275</v>
      </c>
      <c r="AV81" s="0" t="n">
        <f aca="false">IF(AND(AV79&gt;=1,AV79&lt;=$L$28),Rent_Base*SF_NRA/12*(1+$M$32)^(AV78-1),0)</f>
        <v>48400.275</v>
      </c>
      <c r="AW81" s="0" t="n">
        <f aca="false">IF(AND(AW79&gt;=1,AW79&lt;=$L$28),Rent_Base*SF_NRA/12*(1+$M$32)^(AW78-1),0)</f>
        <v>48400.275</v>
      </c>
      <c r="AX81" s="0" t="n">
        <f aca="false">IF(AND(AX79&gt;=1,AX79&lt;=$L$28),Rent_Base*SF_NRA/12*(1+$M$32)^(AX78-1),0)</f>
        <v>48400.275</v>
      </c>
      <c r="AY81" s="0" t="n">
        <f aca="false">IF(AND(AY79&gt;=1,AY79&lt;=$L$28),Rent_Base*SF_NRA/12*(1+$M$32)^(AY78-1),0)</f>
        <v>48400.275</v>
      </c>
      <c r="AZ81" s="0" t="n">
        <f aca="false">IF(AND(AZ79&gt;=1,AZ79&lt;=$L$28),Rent_Base*SF_NRA/12*(1+$M$32)^(AZ78-1),0)</f>
        <v>48400.275</v>
      </c>
      <c r="BA81" s="0" t="n">
        <f aca="false">IF(AND(BA79&gt;=1,BA79&lt;=$L$28),Rent_Base*SF_NRA/12*(1+$M$32)^(BA78-1),0)</f>
        <v>48400.275</v>
      </c>
      <c r="BB81" s="0" t="n">
        <f aca="false">IF(AND(BB79&gt;=1,BB79&lt;=$L$28),Rent_Base*SF_NRA/12*(1+$M$32)^(BB78-1),0)</f>
        <v>49368.2805</v>
      </c>
      <c r="BC81" s="0" t="n">
        <f aca="false">IF(AND(BC79&gt;=1,BC79&lt;=$L$28),Rent_Base*SF_NRA/12*(1+$M$32)^(BC78-1),0)</f>
        <v>49368.2805</v>
      </c>
      <c r="BD81" s="0" t="n">
        <f aca="false">IF(AND(BD79&gt;=1,BD79&lt;=$L$28),Rent_Base*SF_NRA/12*(1+$M$32)^(BD78-1),0)</f>
        <v>49368.2805</v>
      </c>
      <c r="BE81" s="0" t="n">
        <f aca="false">IF(AND(BE79&gt;=1,BE79&lt;=$L$28),Rent_Base*SF_NRA/12*(1+$M$32)^(BE78-1),0)</f>
        <v>49368.2805</v>
      </c>
      <c r="BF81" s="0" t="n">
        <f aca="false">IF(AND(BF79&gt;=1,BF79&lt;=$L$28),Rent_Base*SF_NRA/12*(1+$M$32)^(BF78-1),0)</f>
        <v>49368.2805</v>
      </c>
      <c r="BG81" s="0" t="n">
        <f aca="false">IF(AND(BG79&gt;=1,BG79&lt;=$L$28),Rent_Base*SF_NRA/12*(1+$M$32)^(BG78-1),0)</f>
        <v>49368.2805</v>
      </c>
      <c r="BH81" s="0" t="n">
        <f aca="false">IF(AND(BH79&gt;=1,BH79&lt;=$L$28),Rent_Base*SF_NRA/12*(1+$M$32)^(BH78-1),0)</f>
        <v>49368.2805</v>
      </c>
      <c r="BI81" s="0" t="n">
        <f aca="false">IF(AND(BI79&gt;=1,BI79&lt;=$L$28),Rent_Base*SF_NRA/12*(1+$M$32)^(BI78-1),0)</f>
        <v>49368.2805</v>
      </c>
      <c r="BJ81" s="0" t="n">
        <f aca="false">IF(AND(BJ79&gt;=1,BJ79&lt;=$L$28),Rent_Base*SF_NRA/12*(1+$M$32)^(BJ78-1),0)</f>
        <v>49368.2805</v>
      </c>
      <c r="BK81" s="0" t="n">
        <f aca="false">IF(AND(BK79&gt;=1,BK79&lt;=$L$28),Rent_Base*SF_NRA/12*(1+$M$32)^(BK78-1),0)</f>
        <v>49368.2805</v>
      </c>
      <c r="BL81" s="0" t="n">
        <f aca="false">IF(AND(BL79&gt;=1,BL79&lt;=$L$28),Rent_Base*SF_NRA/12*(1+$M$32)^(BL78-1),0)</f>
        <v>49368.2805</v>
      </c>
      <c r="BM81" s="0" t="n">
        <f aca="false">IF(AND(BM79&gt;=1,BM79&lt;=$L$28),Rent_Base*SF_NRA/12*(1+$M$32)^(BM78-1),0)</f>
        <v>49368.2805</v>
      </c>
      <c r="BN81" s="0" t="n">
        <f aca="false">IF(AND(BN79&gt;=1,BN79&lt;=$L$28),Rent_Base*SF_NRA/12*(1+$M$32)^(BN78-1),0)</f>
        <v>50355.64611</v>
      </c>
      <c r="BO81" s="0" t="n">
        <f aca="false">IF(AND(BO79&gt;=1,BO79&lt;=$L$28),Rent_Base*SF_NRA/12*(1+$M$32)^(BO78-1),0)</f>
        <v>50355.64611</v>
      </c>
      <c r="BP81" s="0" t="n">
        <f aca="false">IF(AND(BP79&gt;=1,BP79&lt;=$L$28),Rent_Base*SF_NRA/12*(1+$M$32)^(BP78-1),0)</f>
        <v>50355.64611</v>
      </c>
      <c r="BQ81" s="0" t="n">
        <f aca="false">IF(AND(BQ79&gt;=1,BQ79&lt;=$L$28),Rent_Base*SF_NRA/12*(1+$M$32)^(BQ78-1),0)</f>
        <v>50355.64611</v>
      </c>
      <c r="BR81" s="0" t="n">
        <f aca="false">IF(AND(BR79&gt;=1,BR79&lt;=$L$28),Rent_Base*SF_NRA/12*(1+$M$32)^(BR78-1),0)</f>
        <v>50355.64611</v>
      </c>
      <c r="BS81" s="0" t="n">
        <f aca="false">IF(AND(BS79&gt;=1,BS79&lt;=$L$28),Rent_Base*SF_NRA/12*(1+$M$32)^(BS78-1),0)</f>
        <v>50355.64611</v>
      </c>
      <c r="BT81" s="0" t="n">
        <f aca="false">IF(AND(BT79&gt;=1,BT79&lt;=$L$28),Rent_Base*SF_NRA/12*(1+$M$32)^(BT78-1),0)</f>
        <v>50355.64611</v>
      </c>
      <c r="BU81" s="0" t="n">
        <f aca="false">IF(AND(BU79&gt;=1,BU79&lt;=$L$28),Rent_Base*SF_NRA/12*(1+$M$32)^(BU78-1),0)</f>
        <v>50355.64611</v>
      </c>
      <c r="BV81" s="0" t="n">
        <f aca="false">IF(AND(BV79&gt;=1,BV79&lt;=$L$28),Rent_Base*SF_NRA/12*(1+$M$32)^(BV78-1),0)</f>
        <v>50355.64611</v>
      </c>
      <c r="BW81" s="0" t="n">
        <f aca="false">IF(AND(BW79&gt;=1,BW79&lt;=$L$28),Rent_Base*SF_NRA/12*(1+$M$32)^(BW78-1),0)</f>
        <v>50355.64611</v>
      </c>
      <c r="BX81" s="0" t="n">
        <f aca="false">IF(AND(BX79&gt;=1,BX79&lt;=$L$28),Rent_Base*SF_NRA/12*(1+$M$32)^(BX78-1),0)</f>
        <v>50355.64611</v>
      </c>
      <c r="BY81" s="0" t="n">
        <f aca="false">IF(AND(BY79&gt;=1,BY79&lt;=$L$28),Rent_Base*SF_NRA/12*(1+$M$32)^(BY78-1),0)</f>
        <v>50355.64611</v>
      </c>
      <c r="BZ81" s="0" t="n">
        <f aca="false">IF(AND(BZ79&gt;=1,BZ79&lt;=$L$28),Rent_Base*SF_NRA/12*(1+$M$32)^(BZ78-1),0)</f>
        <v>51362.7590322</v>
      </c>
      <c r="CA81" s="0" t="n">
        <f aca="false">IF(AND(CA79&gt;=1,CA79&lt;=$L$28),Rent_Base*SF_NRA/12*(1+$M$32)^(CA78-1),0)</f>
        <v>51362.7590322</v>
      </c>
      <c r="CB81" s="0" t="n">
        <f aca="false">IF(AND(CB79&gt;=1,CB79&lt;=$L$28),Rent_Base*SF_NRA/12*(1+$M$32)^(CB78-1),0)</f>
        <v>51362.7590322</v>
      </c>
      <c r="CC81" s="0" t="n">
        <f aca="false">IF(AND(CC79&gt;=1,CC79&lt;=$L$28),Rent_Base*SF_NRA/12*(1+$M$32)^(CC78-1),0)</f>
        <v>51362.7590322</v>
      </c>
      <c r="CD81" s="0" t="n">
        <f aca="false">IF(AND(CD79&gt;=1,CD79&lt;=$L$28),Rent_Base*SF_NRA/12*(1+$M$32)^(CD78-1),0)</f>
        <v>51362.7590322</v>
      </c>
      <c r="CE81" s="0" t="n">
        <f aca="false">IF(AND(CE79&gt;=1,CE79&lt;=$L$28),Rent_Base*SF_NRA/12*(1+$M$32)^(CE78-1),0)</f>
        <v>51362.7590322</v>
      </c>
      <c r="CF81" s="0" t="n">
        <f aca="false">IF(AND(CF79&gt;=1,CF79&lt;=$L$28),Rent_Base*SF_NRA/12*(1+$M$32)^(CF78-1),0)</f>
        <v>51362.7590322</v>
      </c>
      <c r="CG81" s="0" t="n">
        <f aca="false">IF(AND(CG79&gt;=1,CG79&lt;=$L$28),Rent_Base*SF_NRA/12*(1+$M$32)^(CG78-1),0)</f>
        <v>51362.7590322</v>
      </c>
      <c r="CH81" s="0" t="n">
        <f aca="false">IF(AND(CH79&gt;=1,CH79&lt;=$L$28),Rent_Base*SF_NRA/12*(1+$M$32)^(CH78-1),0)</f>
        <v>51362.7590322</v>
      </c>
      <c r="CI81" s="0" t="n">
        <f aca="false">IF(AND(CI79&gt;=1,CI79&lt;=$L$28),Rent_Base*SF_NRA/12*(1+$M$32)^(CI78-1),0)</f>
        <v>51362.7590322</v>
      </c>
      <c r="CJ81" s="0" t="n">
        <f aca="false">IF(AND(CJ79&gt;=1,CJ79&lt;=$L$28),Rent_Base*SF_NRA/12*(1+$M$32)^(CJ78-1),0)</f>
        <v>51362.7590322</v>
      </c>
      <c r="CK81" s="0" t="n">
        <f aca="false">IF(AND(CK79&gt;=1,CK79&lt;=$L$28),Rent_Base*SF_NRA/12*(1+$M$32)^(CK78-1),0)</f>
        <v>51362.7590322</v>
      </c>
      <c r="CL81" s="0" t="n">
        <f aca="false">IF(AND(CL79&gt;=1,CL79&lt;=$L$28),Rent_Base*SF_NRA/12*(1+$M$32)^(CL78-1),0)</f>
        <v>52390.014212844</v>
      </c>
      <c r="CM81" s="0" t="n">
        <f aca="false">IF(AND(CM79&gt;=1,CM79&lt;=$L$28),Rent_Base*SF_NRA/12*(1+$M$32)^(CM78-1),0)</f>
        <v>52390.014212844</v>
      </c>
      <c r="CN81" s="0" t="n">
        <f aca="false">IF(AND(CN79&gt;=1,CN79&lt;=$L$28),Rent_Base*SF_NRA/12*(1+$M$32)^(CN78-1),0)</f>
        <v>52390.014212844</v>
      </c>
      <c r="CO81" s="0" t="n">
        <f aca="false">IF(AND(CO79&gt;=1,CO79&lt;=$L$28),Rent_Base*SF_NRA/12*(1+$M$32)^(CO78-1),0)</f>
        <v>52390.014212844</v>
      </c>
      <c r="CP81" s="0" t="n">
        <f aca="false">IF(AND(CP79&gt;=1,CP79&lt;=$L$28),Rent_Base*SF_NRA/12*(1+$M$32)^(CP78-1),0)</f>
        <v>52390.014212844</v>
      </c>
      <c r="CQ81" s="0" t="n">
        <f aca="false">IF(AND(CQ79&gt;=1,CQ79&lt;=$L$28),Rent_Base*SF_NRA/12*(1+$M$32)^(CQ78-1),0)</f>
        <v>52390.014212844</v>
      </c>
      <c r="CR81" s="0" t="n">
        <f aca="false">IF(AND(CR79&gt;=1,CR79&lt;=$L$28),Rent_Base*SF_NRA/12*(1+$M$32)^(CR78-1),0)</f>
        <v>52390.014212844</v>
      </c>
      <c r="CS81" s="0" t="n">
        <f aca="false">IF(AND(CS79&gt;=1,CS79&lt;=$L$28),Rent_Base*SF_NRA/12*(1+$M$32)^(CS78-1),0)</f>
        <v>52390.014212844</v>
      </c>
      <c r="CT81" s="0" t="n">
        <f aca="false">IF(AND(CT79&gt;=1,CT79&lt;=$L$28),Rent_Base*SF_NRA/12*(1+$M$32)^(CT78-1),0)</f>
        <v>52390.014212844</v>
      </c>
      <c r="CU81" s="0" t="n">
        <f aca="false">IF(AND(CU79&gt;=1,CU79&lt;=$L$28),Rent_Base*SF_NRA/12*(1+$M$32)^(CU78-1),0)</f>
        <v>52390.014212844</v>
      </c>
      <c r="CV81" s="0" t="n">
        <f aca="false">IF(AND(CV79&gt;=1,CV79&lt;=$L$28),Rent_Base*SF_NRA/12*(1+$M$32)^(CV78-1),0)</f>
        <v>52390.014212844</v>
      </c>
      <c r="CW81" s="0" t="n">
        <f aca="false">IF(AND(CW79&gt;=1,CW79&lt;=$L$28),Rent_Base*SF_NRA/12*(1+$M$32)^(CW78-1),0)</f>
        <v>52390.014212844</v>
      </c>
      <c r="CX81" s="0" t="n">
        <f aca="false">IF(AND(CX79&gt;=1,CX79&lt;=$L$28),Rent_Base*SF_NRA/12*(1+$M$32)^(CX78-1),0)</f>
        <v>53437.8144971009</v>
      </c>
      <c r="CY81" s="0" t="n">
        <f aca="false">IF(AND(CY79&gt;=1,CY79&lt;=$L$28),Rent_Base*SF_NRA/12*(1+$M$32)^(CY78-1),0)</f>
        <v>53437.8144971009</v>
      </c>
      <c r="CZ81" s="0" t="n">
        <f aca="false">IF(AND(CZ79&gt;=1,CZ79&lt;=$L$28),Rent_Base*SF_NRA/12*(1+$M$32)^(CZ78-1),0)</f>
        <v>53437.8144971009</v>
      </c>
      <c r="DA81" s="0" t="n">
        <f aca="false">IF(AND(DA79&gt;=1,DA79&lt;=$L$28),Rent_Base*SF_NRA/12*(1+$M$32)^(DA78-1),0)</f>
        <v>53437.8144971009</v>
      </c>
      <c r="DB81" s="0" t="n">
        <f aca="false">IF(AND(DB79&gt;=1,DB79&lt;=$L$28),Rent_Base*SF_NRA/12*(1+$M$32)^(DB78-1),0)</f>
        <v>53437.8144971009</v>
      </c>
      <c r="DC81" s="0" t="n">
        <f aca="false">IF(AND(DC79&gt;=1,DC79&lt;=$L$28),Rent_Base*SF_NRA/12*(1+$M$32)^(DC78-1),0)</f>
        <v>53437.8144971009</v>
      </c>
      <c r="DD81" s="0" t="n">
        <f aca="false">IF(AND(DD79&gt;=1,DD79&lt;=$L$28),Rent_Base*SF_NRA/12*(1+$M$32)^(DD78-1),0)</f>
        <v>53437.8144971009</v>
      </c>
      <c r="DE81" s="0" t="n">
        <f aca="false">IF(AND(DE79&gt;=1,DE79&lt;=$L$28),Rent_Base*SF_NRA/12*(1+$M$32)^(DE78-1),0)</f>
        <v>53437.8144971009</v>
      </c>
      <c r="DF81" s="0" t="n">
        <f aca="false">IF(AND(DF79&gt;=1,DF79&lt;=$L$28),Rent_Base*SF_NRA/12*(1+$M$32)^(DF78-1),0)</f>
        <v>53437.8144971009</v>
      </c>
      <c r="DG81" s="0" t="n">
        <f aca="false">IF(AND(DG79&gt;=1,DG79&lt;=$L$28),Rent_Base*SF_NRA/12*(1+$M$32)^(DG78-1),0)</f>
        <v>53437.8144971009</v>
      </c>
      <c r="DH81" s="0" t="n">
        <f aca="false">IF(AND(DH79&gt;=1,DH79&lt;=$L$28),Rent_Base*SF_NRA/12*(1+$M$32)^(DH78-1),0)</f>
        <v>53437.8144971009</v>
      </c>
      <c r="DI81" s="0" t="n">
        <f aca="false">IF(AND(DI79&gt;=1,DI79&lt;=$L$28),Rent_Base*SF_NRA/12*(1+$M$32)^(DI78-1),0)</f>
        <v>53437.8144971009</v>
      </c>
      <c r="DJ81" s="0" t="n">
        <f aca="false">IF(AND(DJ79&gt;=1,DJ79&lt;=$L$28),Rent_Base*SF_NRA/12*(1+$M$32)^(DJ78-1),0)</f>
        <v>0</v>
      </c>
      <c r="DK81" s="0" t="n">
        <f aca="false">IF(AND(DK79&gt;=1,DK79&lt;=$L$28),Rent_Base*SF_NRA/12*(1+$M$32)^(DK78-1),0)</f>
        <v>0</v>
      </c>
      <c r="DL81" s="0" t="n">
        <f aca="false">IF(AND(DL79&gt;=1,DL79&lt;=$L$28),Rent_Base*SF_NRA/12*(1+$M$32)^(DL78-1),0)</f>
        <v>0</v>
      </c>
      <c r="DM81" s="0" t="n">
        <f aca="false">IF(AND(DM79&gt;=1,DM79&lt;=$L$28),Rent_Base*SF_NRA/12*(1+$M$32)^(DM78-1),0)</f>
        <v>0</v>
      </c>
      <c r="DN81" s="0" t="n">
        <f aca="false">IF(AND(DN79&gt;=1,DN79&lt;=$L$28),Rent_Base*SF_NRA/12*(1+$M$32)^(DN78-1),0)</f>
        <v>0</v>
      </c>
      <c r="DO81" s="0" t="n">
        <f aca="false">IF(AND(DO79&gt;=1,DO79&lt;=$L$28),Rent_Base*SF_NRA/12*(1+$M$32)^(DO78-1),0)</f>
        <v>0</v>
      </c>
      <c r="DP81" s="0" t="n">
        <f aca="false">IF(AND(DP79&gt;=1,DP79&lt;=$L$28),Rent_Base*SF_NRA/12*(1+$M$32)^(DP78-1),0)</f>
        <v>0</v>
      </c>
      <c r="DQ81" s="0" t="n">
        <f aca="false">IF(AND(DQ79&gt;=1,DQ79&lt;=$L$28),Rent_Base*SF_NRA/12*(1+$M$32)^(DQ78-1),0)</f>
        <v>0</v>
      </c>
      <c r="DR81" s="0" t="n">
        <f aca="false">IF(AND(DR79&gt;=1,DR79&lt;=$L$28),Rent_Base*SF_NRA/12*(1+$M$32)^(DR78-1),0)</f>
        <v>0</v>
      </c>
      <c r="DS81" s="0" t="n">
        <f aca="false">IF(AND(DS79&gt;=1,DS79&lt;=$L$28),Rent_Base*SF_NRA/12*(1+$M$32)^(DS78-1),0)</f>
        <v>0</v>
      </c>
      <c r="DT81" s="0" t="n">
        <f aca="false">IF(AND(DT79&gt;=1,DT79&lt;=$L$28),Rent_Base*SF_NRA/12*(1+$M$32)^(DT78-1),0)</f>
        <v>0</v>
      </c>
      <c r="DU81" s="0" t="n">
        <f aca="false">IF(AND(DU79&gt;=1,DU79&lt;=$L$28),Rent_Base*SF_NRA/12*(1+$M$32)^(DU78-1),0)</f>
        <v>0</v>
      </c>
      <c r="DV81" s="0" t="n">
        <f aca="false">IF(AND(DV79&gt;=1,DV79&lt;=$L$28),Rent_Base*SF_NRA/12*(1+$M$32)^(DV78-1),0)</f>
        <v>0</v>
      </c>
      <c r="DW81" s="0" t="n">
        <f aca="false">IF(AND(DW79&gt;=1,DW79&lt;=$L$28),Rent_Base*SF_NRA/12*(1+$M$32)^(DW78-1),0)</f>
        <v>0</v>
      </c>
      <c r="DX81" s="0" t="n">
        <f aca="false">IF(AND(DX79&gt;=1,DX79&lt;=$L$28),Rent_Base*SF_NRA/12*(1+$M$32)^(DX78-1),0)</f>
        <v>0</v>
      </c>
      <c r="DY81" s="0" t="n">
        <f aca="false">IF(AND(DY79&gt;=1,DY79&lt;=$L$28),Rent_Base*SF_NRA/12*(1+$M$32)^(DY78-1),0)</f>
        <v>0</v>
      </c>
      <c r="DZ81" s="0" t="n">
        <f aca="false">IF(AND(DZ79&gt;=1,DZ79&lt;=$L$28),Rent_Base*SF_NRA/12*(1+$M$32)^(DZ78-1),0)</f>
        <v>0</v>
      </c>
      <c r="EA81" s="0" t="n">
        <f aca="false">IF(AND(EA79&gt;=1,EA79&lt;=$L$28),Rent_Base*SF_NRA/12*(1+$M$32)^(EA78-1),0)</f>
        <v>0</v>
      </c>
      <c r="EB81" s="0" t="n">
        <f aca="false">IF(AND(EB79&gt;=1,EB79&lt;=$L$28),Rent_Base*SF_NRA/12*(1+$M$32)^(EB78-1),0)</f>
        <v>0</v>
      </c>
      <c r="EC81" s="0" t="n">
        <f aca="false">IF(AND(EC79&gt;=1,EC79&lt;=$L$28),Rent_Base*SF_NRA/12*(1+$M$32)^(EC78-1),0)</f>
        <v>0</v>
      </c>
      <c r="ED81" s="0" t="n">
        <f aca="false">IF(AND(ED79&gt;=1,ED79&lt;=$L$28),Rent_Base*SF_NRA/12*(1+$M$32)^(ED78-1),0)</f>
        <v>0</v>
      </c>
      <c r="EE81" s="0" t="n">
        <f aca="false">IF(AND(EE79&gt;=1,EE79&lt;=$L$28),Rent_Base*SF_NRA/12*(1+$M$32)^(EE78-1),0)</f>
        <v>0</v>
      </c>
      <c r="EF81" s="0" t="n">
        <f aca="false">IF(AND(EF79&gt;=1,EF79&lt;=$L$28),Rent_Base*SF_NRA/12*(1+$M$32)^(EF78-1),0)</f>
        <v>0</v>
      </c>
      <c r="EG81" s="0" t="n">
        <f aca="false">IF(AND(EG79&gt;=1,EG79&lt;=$L$28),Rent_Base*SF_NRA/12*(1+$M$32)^(EG78-1),0)</f>
        <v>0</v>
      </c>
      <c r="EH81" s="0" t="n">
        <f aca="false">IF(AND(EH79&gt;=1,EH79&lt;=$L$28),Rent_Base*SF_NRA/12*(1+$M$32)^(EH78-1),0)</f>
        <v>0</v>
      </c>
      <c r="EI81" s="0" t="n">
        <f aca="false">IF(AND(EI79&gt;=1,EI79&lt;=$L$28),Rent_Base*SF_NRA/12*(1+$M$32)^(EI78-1),0)</f>
        <v>0</v>
      </c>
      <c r="EJ81" s="0" t="n">
        <f aca="false">IF(AND(EJ79&gt;=1,EJ79&lt;=$L$28),Rent_Base*SF_NRA/12*(1+$M$32)^(EJ78-1),0)</f>
        <v>0</v>
      </c>
      <c r="EK81" s="0" t="n">
        <f aca="false">IF(AND(EK79&gt;=1,EK79&lt;=$L$28),Rent_Base*SF_NRA/12*(1+$M$32)^(EK78-1),0)</f>
        <v>0</v>
      </c>
      <c r="EL81" s="0" t="n">
        <f aca="false">IF(AND(EL79&gt;=1,EL79&lt;=$L$28),Rent_Base*SF_NRA/12*(1+$M$32)^(EL78-1),0)</f>
        <v>0</v>
      </c>
      <c r="EM81" s="0" t="n">
        <f aca="false">IF(AND(EM79&gt;=1,EM79&lt;=$L$28),Rent_Base*SF_NRA/12*(1+$M$32)^(EM78-1),0)</f>
        <v>0</v>
      </c>
      <c r="EN81" s="0" t="n">
        <f aca="false">IF(AND(EN79&gt;=1,EN79&lt;=$L$28),Rent_Base*SF_NRA/12*(1+$M$32)^(EN78-1),0)</f>
        <v>0</v>
      </c>
      <c r="EO81" s="0" t="n">
        <f aca="false">IF(AND(EO79&gt;=1,EO79&lt;=$L$28),Rent_Base*SF_NRA/12*(1+$M$32)^(EO78-1),0)</f>
        <v>0</v>
      </c>
      <c r="EP81" s="0" t="n">
        <f aca="false">IF(AND(EP79&gt;=1,EP79&lt;=$L$28),Rent_Base*SF_NRA/12*(1+$M$32)^(EP78-1),0)</f>
        <v>0</v>
      </c>
      <c r="EQ81" s="0" t="n">
        <f aca="false">IF(AND(EQ79&gt;=1,EQ79&lt;=$L$28),Rent_Base*SF_NRA/12*(1+$M$32)^(EQ78-1),0)</f>
        <v>0</v>
      </c>
      <c r="ER81" s="0" t="n">
        <f aca="false">IF(AND(ER79&gt;=1,ER79&lt;=$L$28),Rent_Base*SF_NRA/12*(1+$M$32)^(ER78-1),0)</f>
        <v>0</v>
      </c>
      <c r="ES81" s="0" t="n">
        <f aca="false">IF(AND(ES79&gt;=1,ES79&lt;=$L$28),Rent_Base*SF_NRA/12*(1+$M$32)^(ES78-1),0)</f>
        <v>0</v>
      </c>
      <c r="ET81" s="0" t="n">
        <f aca="false">IF(AND(ET79&gt;=1,ET79&lt;=$L$28),Rent_Base*SF_NRA/12*(1+$M$32)^(ET78-1),0)</f>
        <v>0</v>
      </c>
      <c r="EU81" s="0" t="n">
        <f aca="false">IF(AND(EU79&gt;=1,EU79&lt;=$L$28),Rent_Base*SF_NRA/12*(1+$M$32)^(EU78-1),0)</f>
        <v>0</v>
      </c>
      <c r="EV81" s="0" t="n">
        <f aca="false">IF(AND(EV79&gt;=1,EV79&lt;=$L$28),Rent_Base*SF_NRA/12*(1+$M$32)^(EV78-1),0)</f>
        <v>0</v>
      </c>
      <c r="EW81" s="0" t="n">
        <f aca="false">IF(AND(EW79&gt;=1,EW79&lt;=$L$28),Rent_Base*SF_NRA/12*(1+$M$32)^(EW78-1),0)</f>
        <v>0</v>
      </c>
      <c r="EX81" s="0" t="n">
        <f aca="false">IF(AND(EX79&gt;=1,EX79&lt;=$L$28),Rent_Base*SF_NRA/12*(1+$M$32)^(EX78-1),0)</f>
        <v>0</v>
      </c>
      <c r="EY81" s="0" t="n">
        <f aca="false">IF(AND(EY79&gt;=1,EY79&lt;=$L$28),Rent_Base*SF_NRA/12*(1+$M$32)^(EY78-1),0)</f>
        <v>0</v>
      </c>
      <c r="EZ81" s="0" t="n">
        <f aca="false">IF(AND(EZ79&gt;=1,EZ79&lt;=$L$28),Rent_Base*SF_NRA/12*(1+$M$32)^(EZ78-1),0)</f>
        <v>0</v>
      </c>
      <c r="FA81" s="0" t="n">
        <f aca="false">IF(AND(FA79&gt;=1,FA79&lt;=$L$28),Rent_Base*SF_NRA/12*(1+$M$32)^(FA78-1),0)</f>
        <v>0</v>
      </c>
      <c r="FB81" s="0" t="n">
        <f aca="false">IF(AND(FB79&gt;=1,FB79&lt;=$L$28),Rent_Base*SF_NRA/12*(1+$M$32)^(FB78-1),0)</f>
        <v>0</v>
      </c>
      <c r="FC81" s="0" t="n">
        <f aca="false">IF(AND(FC79&gt;=1,FC79&lt;=$L$28),Rent_Base*SF_NRA/12*(1+$M$32)^(FC78-1),0)</f>
        <v>0</v>
      </c>
      <c r="FD81" s="0" t="n">
        <f aca="false">IF(AND(FD79&gt;=1,FD79&lt;=$L$28),Rent_Base*SF_NRA/12*(1+$M$32)^(FD78-1),0)</f>
        <v>0</v>
      </c>
      <c r="FE81" s="0" t="n">
        <f aca="false">IF(AND(FE79&gt;=1,FE79&lt;=$L$28),Rent_Base*SF_NRA/12*(1+$M$32)^(FE78-1),0)</f>
        <v>0</v>
      </c>
      <c r="FF81" s="0" t="n">
        <f aca="false">IF(AND(FF79&gt;=1,FF79&lt;=$L$28),Rent_Base*SF_NRA/12*(1+$M$32)^(FF78-1),0)</f>
        <v>0</v>
      </c>
      <c r="FG81" s="0" t="n">
        <f aca="false">IF(AND(FG79&gt;=1,FG79&lt;=$L$28),Rent_Base*SF_NRA/12*(1+$M$32)^(FG78-1),0)</f>
        <v>0</v>
      </c>
      <c r="FH81" s="0" t="n">
        <f aca="false">IF(AND(FH79&gt;=1,FH79&lt;=$L$28),Rent_Base*SF_NRA/12*(1+$M$32)^(FH78-1),0)</f>
        <v>0</v>
      </c>
      <c r="FI81" s="0" t="n">
        <f aca="false">IF(AND(FI79&gt;=1,FI79&lt;=$L$28),Rent_Base*SF_NRA/12*(1+$M$32)^(FI78-1),0)</f>
        <v>0</v>
      </c>
      <c r="FJ81" s="0" t="n">
        <f aca="false">IF(AND(FJ79&gt;=1,FJ79&lt;=$L$28),Rent_Base*SF_NRA/12*(1+$M$32)^(FJ78-1),0)</f>
        <v>0</v>
      </c>
      <c r="FK81" s="0" t="n">
        <f aca="false">IF(AND(FK79&gt;=1,FK79&lt;=$L$28),Rent_Base*SF_NRA/12*(1+$M$32)^(FK78-1),0)</f>
        <v>0</v>
      </c>
      <c r="FL81" s="0" t="n">
        <f aca="false">IF(AND(FL79&gt;=1,FL79&lt;=$L$28),Rent_Base*SF_NRA/12*(1+$M$32)^(FL78-1),0)</f>
        <v>0</v>
      </c>
      <c r="FM81" s="0" t="n">
        <f aca="false">IF(AND(FM79&gt;=1,FM79&lt;=$L$28),Rent_Base*SF_NRA/12*(1+$M$32)^(FM78-1),0)</f>
        <v>0</v>
      </c>
      <c r="FN81" s="0" t="n">
        <f aca="false">IF(AND(FN79&gt;=1,FN79&lt;=$L$28),Rent_Base*SF_NRA/12*(1+$M$32)^(FN78-1),0)</f>
        <v>0</v>
      </c>
      <c r="FO81" s="0" t="n">
        <f aca="false">IF(AND(FO79&gt;=1,FO79&lt;=$L$28),Rent_Base*SF_NRA/12*(1+$M$32)^(FO78-1),0)</f>
        <v>0</v>
      </c>
      <c r="FP81" s="0" t="n">
        <f aca="false">IF(AND(FP79&gt;=1,FP79&lt;=$L$28),Rent_Base*SF_NRA/12*(1+$M$32)^(FP78-1),0)</f>
        <v>0</v>
      </c>
      <c r="FQ81" s="0" t="n">
        <f aca="false">IF(AND(FQ79&gt;=1,FQ79&lt;=$L$28),Rent_Base*SF_NRA/12*(1+$M$32)^(FQ78-1),0)</f>
        <v>0</v>
      </c>
      <c r="FR81" s="0" t="n">
        <f aca="false">IF(AND(FR79&gt;=1,FR79&lt;=$L$28),Rent_Base*SF_NRA/12*(1+$M$32)^(FR78-1),0)</f>
        <v>0</v>
      </c>
      <c r="FS81" s="0" t="n">
        <f aca="false">IF(AND(FS79&gt;=1,FS79&lt;=$L$28),Rent_Base*SF_NRA/12*(1+$M$32)^(FS78-1),0)</f>
        <v>0</v>
      </c>
      <c r="FT81" s="0" t="n">
        <f aca="false">IF(AND(FT79&gt;=1,FT79&lt;=$L$28),Rent_Base*SF_NRA/12*(1+$M$32)^(FT78-1),0)</f>
        <v>0</v>
      </c>
      <c r="FU81" s="0" t="n">
        <f aca="false">IF(AND(FU79&gt;=1,FU79&lt;=$L$28),Rent_Base*SF_NRA/12*(1+$M$32)^(FU78-1),0)</f>
        <v>0</v>
      </c>
      <c r="FV81" s="0" t="n">
        <f aca="false">IF(AND(FV79&gt;=1,FV79&lt;=$L$28),Rent_Base*SF_NRA/12*(1+$M$32)^(FV78-1),0)</f>
        <v>0</v>
      </c>
      <c r="FW81" s="0" t="n">
        <f aca="false">IF(AND(FW79&gt;=1,FW79&lt;=$L$28),Rent_Base*SF_NRA/12*(1+$M$32)^(FW78-1),0)</f>
        <v>0</v>
      </c>
      <c r="FX81" s="0" t="n">
        <f aca="false">IF(AND(FX79&gt;=1,FX79&lt;=$L$28),Rent_Base*SF_NRA/12*(1+$M$32)^(FX78-1),0)</f>
        <v>0</v>
      </c>
      <c r="FY81" s="0" t="n">
        <f aca="false">IF(AND(FY79&gt;=1,FY79&lt;=$L$28),Rent_Base*SF_NRA/12*(1+$M$32)^(FY78-1),0)</f>
        <v>0</v>
      </c>
      <c r="FZ81" s="0" t="n">
        <f aca="false">IF(AND(FZ79&gt;=1,FZ79&lt;=$L$28),Rent_Base*SF_NRA/12*(1+$M$32)^(FZ78-1),0)</f>
        <v>0</v>
      </c>
      <c r="GA81" s="0" t="n">
        <f aca="false">IF(AND(GA79&gt;=1,GA79&lt;=$L$28),Rent_Base*SF_NRA/12*(1+$M$32)^(GA78-1),0)</f>
        <v>0</v>
      </c>
      <c r="GB81" s="0" t="n">
        <f aca="false">IF(AND(GB79&gt;=1,GB79&lt;=$L$28),Rent_Base*SF_NRA/12*(1+$M$32)^(GB78-1),0)</f>
        <v>0</v>
      </c>
      <c r="GC81" s="0" t="n">
        <f aca="false">IF(AND(GC79&gt;=1,GC79&lt;=$L$28),Rent_Base*SF_NRA/12*(1+$M$32)^(GC78-1),0)</f>
        <v>0</v>
      </c>
      <c r="GD81" s="0" t="n">
        <f aca="false">IF(AND(GD79&gt;=1,GD79&lt;=$L$28),Rent_Base*SF_NRA/12*(1+$M$32)^(GD78-1),0)</f>
        <v>0</v>
      </c>
      <c r="GE81" s="0" t="n">
        <f aca="false">IF(AND(GE79&gt;=1,GE79&lt;=$L$28),Rent_Base*SF_NRA/12*(1+$M$32)^(GE78-1),0)</f>
        <v>0</v>
      </c>
      <c r="GF81" s="0" t="n">
        <f aca="false">IF(AND(GF79&gt;=1,GF79&lt;=$L$28),Rent_Base*SF_NRA/12*(1+$M$32)^(GF78-1),0)</f>
        <v>0</v>
      </c>
      <c r="GG81" s="0" t="n">
        <f aca="false">IF(AND(GG79&gt;=1,GG79&lt;=$L$28),Rent_Base*SF_NRA/12*(1+$M$32)^(GG78-1),0)</f>
        <v>0</v>
      </c>
      <c r="GH81" s="0" t="n">
        <f aca="false">IF(AND(GH79&gt;=1,GH79&lt;=$L$28),Rent_Base*SF_NRA/12*(1+$M$32)^(GH78-1),0)</f>
        <v>0</v>
      </c>
      <c r="GI81" s="0" t="n">
        <f aca="false">IF(AND(GI79&gt;=1,GI79&lt;=$L$28),Rent_Base*SF_NRA/12*(1+$M$32)^(GI78-1),0)</f>
        <v>0</v>
      </c>
      <c r="GJ81" s="0" t="n">
        <f aca="false">IF(AND(GJ79&gt;=1,GJ79&lt;=$L$28),Rent_Base*SF_NRA/12*(1+$M$32)^(GJ78-1),0)</f>
        <v>0</v>
      </c>
      <c r="GK81" s="0" t="n">
        <f aca="false">IF(AND(GK79&gt;=1,GK79&lt;=$L$28),Rent_Base*SF_NRA/12*(1+$M$32)^(GK78-1),0)</f>
        <v>0</v>
      </c>
      <c r="GL81" s="0" t="n">
        <f aca="false">IF(AND(GL79&gt;=1,GL79&lt;=$L$28),Rent_Base*SF_NRA/12*(1+$M$32)^(GL78-1),0)</f>
        <v>0</v>
      </c>
      <c r="GM81" s="0" t="n">
        <f aca="false">IF(AND(GM79&gt;=1,GM79&lt;=$L$28),Rent_Base*SF_NRA/12*(1+$M$32)^(GM78-1),0)</f>
        <v>0</v>
      </c>
      <c r="GN81" s="0" t="n">
        <f aca="false">IF(AND(GN79&gt;=1,GN79&lt;=$L$28),Rent_Base*SF_NRA/12*(1+$M$32)^(GN78-1),0)</f>
        <v>0</v>
      </c>
      <c r="GO81" s="0" t="n">
        <f aca="false">IF(AND(GO79&gt;=1,GO79&lt;=$L$28),Rent_Base*SF_NRA/12*(1+$M$32)^(GO78-1),0)</f>
        <v>0</v>
      </c>
      <c r="GP81" s="0" t="n">
        <f aca="false">IF(AND(GP79&gt;=1,GP79&lt;=$L$28),Rent_Base*SF_NRA/12*(1+$M$32)^(GP78-1),0)</f>
        <v>0</v>
      </c>
      <c r="GQ81" s="0" t="n">
        <f aca="false">IF(AND(GQ79&gt;=1,GQ79&lt;=$L$28),Rent_Base*SF_NRA/12*(1+$M$32)^(GQ78-1),0)</f>
        <v>0</v>
      </c>
      <c r="GR81" s="0" t="n">
        <f aca="false">IF(AND(GR79&gt;=1,GR79&lt;=$L$28),Rent_Base*SF_NRA/12*(1+$M$32)^(GR78-1),0)</f>
        <v>0</v>
      </c>
      <c r="GS81" s="0" t="n">
        <f aca="false">IF(AND(GS79&gt;=1,GS79&lt;=$L$28),Rent_Base*SF_NRA/12*(1+$M$32)^(GS78-1),0)</f>
        <v>0</v>
      </c>
      <c r="GT81" s="0" t="n">
        <f aca="false">IF(AND(GT79&gt;=1,GT79&lt;=$L$28),Rent_Base*SF_NRA/12*(1+$M$32)^(GT78-1),0)</f>
        <v>0</v>
      </c>
      <c r="GU81" s="0" t="n">
        <f aca="false">IF(AND(GU79&gt;=1,GU79&lt;=$L$28),Rent_Base*SF_NRA/12*(1+$M$32)^(GU78-1),0)</f>
        <v>0</v>
      </c>
      <c r="GV81" s="0" t="n">
        <f aca="false">IF(AND(GV79&gt;=1,GV79&lt;=$L$28),Rent_Base*SF_NRA/12*(1+$M$32)^(GV78-1),0)</f>
        <v>0</v>
      </c>
      <c r="GW81" s="0" t="n">
        <f aca="false">IF(AND(GW79&gt;=1,GW79&lt;=$L$28),Rent_Base*SF_NRA/12*(1+$M$32)^(GW78-1),0)</f>
        <v>0</v>
      </c>
      <c r="GX81" s="0" t="n">
        <f aca="false">IF(AND(GX79&gt;=1,GX79&lt;=$L$28),Rent_Base*SF_NRA/12*(1+$M$32)^(GX78-1),0)</f>
        <v>0</v>
      </c>
      <c r="GY81" s="0" t="n">
        <f aca="false">IF(AND(GY79&gt;=1,GY79&lt;=$L$28),Rent_Base*SF_NRA/12*(1+$M$32)^(GY78-1),0)</f>
        <v>0</v>
      </c>
      <c r="GZ81" s="0" t="n">
        <f aca="false">IF(AND(GZ79&gt;=1,GZ79&lt;=$L$28),Rent_Base*SF_NRA/12*(1+$M$32)^(GZ78-1),0)</f>
        <v>0</v>
      </c>
      <c r="HA81" s="0" t="n">
        <f aca="false">IF(AND(HA79&gt;=1,HA79&lt;=$L$28),Rent_Base*SF_NRA/12*(1+$M$32)^(HA78-1),0)</f>
        <v>0</v>
      </c>
      <c r="HB81" s="0" t="n">
        <f aca="false">IF(AND(HB79&gt;=1,HB79&lt;=$L$28),Rent_Base*SF_NRA/12*(1+$M$32)^(HB78-1),0)</f>
        <v>0</v>
      </c>
      <c r="HC81" s="0" t="n">
        <f aca="false">IF(AND(HC79&gt;=1,HC79&lt;=$L$28),Rent_Base*SF_NRA/12*(1+$M$32)^(HC78-1),0)</f>
        <v>0</v>
      </c>
      <c r="HD81" s="0" t="n">
        <f aca="false">IF(AND(HD79&gt;=1,HD79&lt;=$L$28),Rent_Base*SF_NRA/12*(1+$M$32)^(HD78-1),0)</f>
        <v>0</v>
      </c>
      <c r="HE81" s="0" t="n">
        <f aca="false">IF(AND(HE79&gt;=1,HE79&lt;=$L$28),Rent_Base*SF_NRA/12*(1+$M$32)^(HE78-1),0)</f>
        <v>0</v>
      </c>
      <c r="HF81" s="0" t="n">
        <f aca="false">IF(AND(HF79&gt;=1,HF79&lt;=$L$28),Rent_Base*SF_NRA/12*(1+$M$32)^(HF78-1),0)</f>
        <v>0</v>
      </c>
      <c r="HG81" s="0" t="n">
        <f aca="false">IF(AND(HG79&gt;=1,HG79&lt;=$L$28),Rent_Base*SF_NRA/12*(1+$M$32)^(HG78-1),0)</f>
        <v>0</v>
      </c>
      <c r="HH81" s="0" t="n">
        <f aca="false">IF(AND(HH79&gt;=1,HH79&lt;=$L$28),Rent_Base*SF_NRA/12*(1+$M$32)^(HH78-1),0)</f>
        <v>0</v>
      </c>
      <c r="HI81" s="0" t="n">
        <f aca="false">IF(AND(HI79&gt;=1,HI79&lt;=$L$28),Rent_Base*SF_NRA/12*(1+$M$32)^(HI78-1),0)</f>
        <v>0</v>
      </c>
      <c r="HJ81" s="0" t="n">
        <f aca="false">IF(AND(HJ79&gt;=1,HJ79&lt;=$L$28),Rent_Base*SF_NRA/12*(1+$M$32)^(HJ78-1),0)</f>
        <v>0</v>
      </c>
      <c r="HK81" s="0" t="n">
        <f aca="false">IF(AND(HK79&gt;=1,HK79&lt;=$L$28),Rent_Base*SF_NRA/12*(1+$M$32)^(HK78-1),0)</f>
        <v>0</v>
      </c>
      <c r="HL81" s="0" t="n">
        <f aca="false">IF(AND(HL79&gt;=1,HL79&lt;=$L$28),Rent_Base*SF_NRA/12*(1+$M$32)^(HL78-1),0)</f>
        <v>0</v>
      </c>
      <c r="HM81" s="0" t="n">
        <f aca="false">IF(AND(HM79&gt;=1,HM79&lt;=$L$28),Rent_Base*SF_NRA/12*(1+$M$32)^(HM78-1),0)</f>
        <v>0</v>
      </c>
      <c r="HN81" s="0" t="n">
        <f aca="false">IF(AND(HN79&gt;=1,HN79&lt;=$L$28),Rent_Base*SF_NRA/12*(1+$M$32)^(HN78-1),0)</f>
        <v>0</v>
      </c>
      <c r="HO81" s="0" t="n">
        <f aca="false">IF(AND(HO79&gt;=1,HO79&lt;=$L$28),Rent_Base*SF_NRA/12*(1+$M$32)^(HO78-1),0)</f>
        <v>0</v>
      </c>
      <c r="HP81" s="0" t="n">
        <f aca="false">IF(AND(HP79&gt;=1,HP79&lt;=$L$28),Rent_Base*SF_NRA/12*(1+$M$32)^(HP78-1),0)</f>
        <v>0</v>
      </c>
      <c r="HQ81" s="0" t="n">
        <f aca="false">IF(AND(HQ79&gt;=1,HQ79&lt;=$L$28),Rent_Base*SF_NRA/12*(1+$M$32)^(HQ78-1),0)</f>
        <v>0</v>
      </c>
      <c r="HR81" s="0" t="n">
        <f aca="false">IF(AND(HR79&gt;=1,HR79&lt;=$L$28),Rent_Base*SF_NRA/12*(1+$M$32)^(HR78-1),0)</f>
        <v>0</v>
      </c>
      <c r="HS81" s="0" t="n">
        <f aca="false">IF(AND(HS79&gt;=1,HS79&lt;=$L$28),Rent_Base*SF_NRA/12*(1+$M$32)^(HS78-1),0)</f>
        <v>0</v>
      </c>
      <c r="HT81" s="0" t="n">
        <f aca="false">IF(AND(HT79&gt;=1,HT79&lt;=$L$28),Rent_Base*SF_NRA/12*(1+$M$32)^(HT78-1),0)</f>
        <v>0</v>
      </c>
      <c r="HU81" s="0" t="n">
        <f aca="false">IF(AND(HU79&gt;=1,HU79&lt;=$L$28),Rent_Base*SF_NRA/12*(1+$M$32)^(HU78-1),0)</f>
        <v>0</v>
      </c>
      <c r="HV81" s="0" t="n">
        <f aca="false">IF(AND(HV79&gt;=1,HV79&lt;=$L$28),Rent_Base*SF_NRA/12*(1+$M$32)^(HV78-1),0)</f>
        <v>0</v>
      </c>
      <c r="HW81" s="0" t="n">
        <f aca="false">IF(AND(HW79&gt;=1,HW79&lt;=$L$28),Rent_Base*SF_NRA/12*(1+$M$32)^(HW78-1),0)</f>
        <v>0</v>
      </c>
      <c r="HX81" s="0" t="n">
        <f aca="false">IF(AND(HX79&gt;=1,HX79&lt;=$L$28),Rent_Base*SF_NRA/12*(1+$M$32)^(HX78-1),0)</f>
        <v>0</v>
      </c>
      <c r="HY81" s="0" t="n">
        <f aca="false">IF(AND(HY79&gt;=1,HY79&lt;=$L$28),Rent_Base*SF_NRA/12*(1+$M$32)^(HY78-1),0)</f>
        <v>0</v>
      </c>
      <c r="HZ81" s="0" t="n">
        <f aca="false">IF(AND(HZ79&gt;=1,HZ79&lt;=$L$28),Rent_Base*SF_NRA/12*(1+$M$32)^(HZ78-1),0)</f>
        <v>0</v>
      </c>
      <c r="IA81" s="0" t="n">
        <f aca="false">IF(AND(IA79&gt;=1,IA79&lt;=$L$28),Rent_Base*SF_NRA/12*(1+$M$32)^(IA78-1),0)</f>
        <v>0</v>
      </c>
      <c r="IB81" s="0" t="n">
        <f aca="false">IF(AND(IB79&gt;=1,IB79&lt;=$L$28),Rent_Base*SF_NRA/12*(1+$M$32)^(IB78-1),0)</f>
        <v>0</v>
      </c>
      <c r="IC81" s="0" t="n">
        <f aca="false">IF(AND(IC79&gt;=1,IC79&lt;=$L$28),Rent_Base*SF_NRA/12*(1+$M$32)^(IC78-1),0)</f>
        <v>0</v>
      </c>
      <c r="ID81" s="0" t="n">
        <f aca="false">IF(AND(ID79&gt;=1,ID79&lt;=$L$28),Rent_Base*SF_NRA/12*(1+$M$32)^(ID78-1),0)</f>
        <v>0</v>
      </c>
      <c r="IE81" s="0" t="n">
        <f aca="false">IF(AND(IE79&gt;=1,IE79&lt;=$L$28),Rent_Base*SF_NRA/12*(1+$M$32)^(IE78-1),0)</f>
        <v>0</v>
      </c>
      <c r="IF81" s="0" t="n">
        <f aca="false">IF(AND(IF79&gt;=1,IF79&lt;=$L$28),Rent_Base*SF_NRA/12*(1+$M$32)^(IF78-1),0)</f>
        <v>0</v>
      </c>
      <c r="IG81" s="0" t="n">
        <f aca="false">IF(AND(IG79&gt;=1,IG79&lt;=$L$28),Rent_Base*SF_NRA/12*(1+$M$32)^(IG78-1),0)</f>
        <v>0</v>
      </c>
      <c r="IH81" s="0" t="n">
        <f aca="false">IF(AND(IH79&gt;=1,IH79&lt;=$L$28),Rent_Base*SF_NRA/12*(1+$M$32)^(IH78-1),0)</f>
        <v>0</v>
      </c>
      <c r="II81" s="0" t="n">
        <f aca="false">IF(AND(II79&gt;=1,II79&lt;=$L$28),Rent_Base*SF_NRA/12*(1+$M$32)^(II78-1),0)</f>
        <v>0</v>
      </c>
      <c r="IJ81" s="0" t="n">
        <f aca="false">IF(AND(IJ79&gt;=1,IJ79&lt;=$L$28),Rent_Base*SF_NRA/12*(1+$M$32)^(IJ78-1),0)</f>
        <v>0</v>
      </c>
      <c r="IK81" s="0" t="n">
        <f aca="false">IF(AND(IK79&gt;=1,IK79&lt;=$L$28),Rent_Base*SF_NRA/12*(1+$M$32)^(IK78-1),0)</f>
        <v>0</v>
      </c>
      <c r="IL81" s="0" t="n">
        <f aca="false">IF(AND(IL79&gt;=1,IL79&lt;=$L$28),Rent_Base*SF_NRA/12*(1+$M$32)^(IL78-1),0)</f>
        <v>0</v>
      </c>
      <c r="IM81" s="0" t="n">
        <f aca="false">IF(AND(IM79&gt;=1,IM79&lt;=$L$28),Rent_Base*SF_NRA/12*(1+$M$32)^(IM78-1),0)</f>
        <v>0</v>
      </c>
      <c r="IN81" s="0" t="n">
        <f aca="false">IF(AND(IN79&gt;=1,IN79&lt;=$L$28),Rent_Base*SF_NRA/12*(1+$M$32)^(IN78-1),0)</f>
        <v>0</v>
      </c>
      <c r="IO81" s="0" t="n">
        <f aca="false">IF(AND(IO79&gt;=1,IO79&lt;=$L$28),Rent_Base*SF_NRA/12*(1+$M$32)^(IO78-1),0)</f>
        <v>0</v>
      </c>
      <c r="IP81" s="0" t="n">
        <f aca="false">IF(AND(IP79&gt;=1,IP79&lt;=$L$28),Rent_Base*SF_NRA/12*(1+$M$32)^(IP78-1),0)</f>
        <v>0</v>
      </c>
      <c r="IQ81" s="0" t="n">
        <f aca="false">IF(AND(IQ79&gt;=1,IQ79&lt;=$L$28),Rent_Base*SF_NRA/12*(1+$M$32)^(IQ78-1),0)</f>
        <v>0</v>
      </c>
      <c r="IR81" s="0" t="n">
        <f aca="false">IF(AND(IR79&gt;=1,IR79&lt;=$L$28),Rent_Base*SF_NRA/12*(1+$M$32)^(IR78-1),0)</f>
        <v>0</v>
      </c>
      <c r="IS81" s="0" t="n">
        <f aca="false">IF(AND(IS79&gt;=1,IS79&lt;=$L$28),Rent_Base*SF_NRA/12*(1+$M$32)^(IS78-1),0)</f>
        <v>0</v>
      </c>
      <c r="IT81" s="0" t="n">
        <f aca="false">IF(AND(IT79&gt;=1,IT79&lt;=$L$28),Rent_Base*SF_NRA/12*(1+$M$32)^(IT78-1),0)</f>
        <v>0</v>
      </c>
      <c r="IU81" s="0" t="n">
        <f aca="false">IF(AND(IU79&gt;=1,IU79&lt;=$L$28),Rent_Base*SF_NRA/12*(1+$M$32)^(IU78-1),0)</f>
        <v>0</v>
      </c>
      <c r="IV81" s="0" t="n">
        <f aca="false">IF(AND(IV79&gt;=1,IV79&lt;=$L$28),Rent_Base*SF_NRA/12*(1+$M$32)^(IV78-1),0)</f>
        <v>0</v>
      </c>
      <c r="IW81" s="0" t="n">
        <f aca="false">IF(AND(IW79&gt;=1,IW79&lt;=$L$28),Rent_Base*SF_NRA/12*(1+$M$32)^(IW78-1),0)</f>
        <v>0</v>
      </c>
    </row>
    <row r="82" customFormat="false" ht="15" hidden="false" customHeight="false" outlineLevel="0" collapsed="false">
      <c r="P82" s="0" t="s">
        <v>90</v>
      </c>
      <c r="Q82" s="0" t="n">
        <v>0</v>
      </c>
      <c r="R82" s="0" t="n">
        <f aca="false">IF(AND($M$33="Yes",R79&gt;=$L$34,R79&lt;=$L$35),$M$34*$M$36*SF_NRA/12*(1+$M$37)^(ROUNDUP((R79-$L$34+1)/12,0)-1),0)</f>
        <v>0</v>
      </c>
      <c r="S82" s="0" t="n">
        <f aca="false">IF(AND($M$33="Yes",S79&gt;=$L$34,S79&lt;=$L$35),$M$34*$M$36*SF_NRA/12*(1+$M$37)^(ROUNDUP((S79-$L$34+1)/12,0)-1),0)</f>
        <v>0</v>
      </c>
      <c r="T82" s="0" t="n">
        <f aca="false">IF(AND($M$33="Yes",T79&gt;=$L$34,T79&lt;=$L$35),$M$34*$M$36*SF_NRA/12*(1+$M$37)^(ROUNDUP((T79-$L$34+1)/12,0)-1),0)</f>
        <v>0</v>
      </c>
      <c r="U82" s="0" t="n">
        <f aca="false">IF(AND($M$33="Yes",U79&gt;=$L$34,U79&lt;=$L$35),$M$34*$M$36*SF_NRA/12*(1+$M$37)^(ROUNDUP((U79-$L$34+1)/12,0)-1),0)</f>
        <v>0</v>
      </c>
      <c r="V82" s="0" t="n">
        <f aca="false">IF(AND($M$33="Yes",V79&gt;=$L$34,V79&lt;=$L$35),$M$34*$M$36*SF_NRA/12*(1+$M$37)^(ROUNDUP((V79-$L$34+1)/12,0)-1),0)</f>
        <v>0</v>
      </c>
      <c r="W82" s="0" t="n">
        <f aca="false">IF(AND($M$33="Yes",W79&gt;=$L$34,W79&lt;=$L$35),$M$34*$M$36*SF_NRA/12*(1+$M$37)^(ROUNDUP((W79-$L$34+1)/12,0)-1),0)</f>
        <v>0</v>
      </c>
      <c r="X82" s="0" t="n">
        <f aca="false">IF(AND($M$33="Yes",X79&gt;=$L$34,X79&lt;=$L$35),$M$34*$M$36*SF_NRA/12*(1+$M$37)^(ROUNDUP((X79-$L$34+1)/12,0)-1),0)</f>
        <v>0</v>
      </c>
      <c r="Y82" s="0" t="n">
        <f aca="false">IF(AND($M$33="Yes",Y79&gt;=$L$34,Y79&lt;=$L$35),$M$34*$M$36*SF_NRA/12*(1+$M$37)^(ROUNDUP((Y79-$L$34+1)/12,0)-1),0)</f>
        <v>0</v>
      </c>
      <c r="Z82" s="0" t="n">
        <f aca="false">IF(AND($M$33="Yes",Z79&gt;=$L$34,Z79&lt;=$L$35),$M$34*$M$36*SF_NRA/12*(1+$M$37)^(ROUNDUP((Z79-$L$34+1)/12,0)-1),0)</f>
        <v>0</v>
      </c>
      <c r="AA82" s="0" t="n">
        <f aca="false">IF(AND($M$33="Yes",AA79&gt;=$L$34,AA79&lt;=$L$35),$M$34*$M$36*SF_NRA/12*(1+$M$37)^(ROUNDUP((AA79-$L$34+1)/12,0)-1),0)</f>
        <v>0</v>
      </c>
      <c r="AB82" s="0" t="n">
        <f aca="false">IF(AND($M$33="Yes",AB79&gt;=$L$34,AB79&lt;=$L$35),$M$34*$M$36*SF_NRA/12*(1+$M$37)^(ROUNDUP((AB79-$L$34+1)/12,0)-1),0)</f>
        <v>0</v>
      </c>
      <c r="AC82" s="0" t="n">
        <f aca="false">IF(AND($M$33="Yes",AC79&gt;=$L$34,AC79&lt;=$L$35),$M$34*$M$36*SF_NRA/12*(1+$M$37)^(ROUNDUP((AC79-$L$34+1)/12,0)-1),0)</f>
        <v>0</v>
      </c>
      <c r="AD82" s="0" t="n">
        <f aca="false">IF(AND($M$33="Yes",AD79&gt;=$L$34,AD79&lt;=$L$35),$M$34*$M$36*SF_NRA/12*(1+$M$37)^(ROUNDUP((AD79-$L$34+1)/12,0)-1),0)</f>
        <v>0</v>
      </c>
      <c r="AE82" s="0" t="n">
        <f aca="false">IF(AND($M$33="Yes",AE79&gt;=$L$34,AE79&lt;=$L$35),$M$34*$M$36*SF_NRA/12*(1+$M$37)^(ROUNDUP((AE79-$L$34+1)/12,0)-1),0)</f>
        <v>0</v>
      </c>
      <c r="AF82" s="0" t="n">
        <f aca="false">IF(AND($M$33="Yes",AF79&gt;=$L$34,AF79&lt;=$L$35),$M$34*$M$36*SF_NRA/12*(1+$M$37)^(ROUNDUP((AF79-$L$34+1)/12,0)-1),0)</f>
        <v>0</v>
      </c>
      <c r="AG82" s="0" t="n">
        <f aca="false">IF(AND($M$33="Yes",AG79&gt;=$L$34,AG79&lt;=$L$35),$M$34*$M$36*SF_NRA/12*(1+$M$37)^(ROUNDUP((AG79-$L$34+1)/12,0)-1),0)</f>
        <v>0</v>
      </c>
      <c r="AH82" s="0" t="n">
        <f aca="false">IF(AND($M$33="Yes",AH79&gt;=$L$34,AH79&lt;=$L$35),$M$34*$M$36*SF_NRA/12*(1+$M$37)^(ROUNDUP((AH79-$L$34+1)/12,0)-1),0)</f>
        <v>0</v>
      </c>
      <c r="AI82" s="0" t="n">
        <f aca="false">IF(AND($M$33="Yes",AI79&gt;=$L$34,AI79&lt;=$L$35),$M$34*$M$36*SF_NRA/12*(1+$M$37)^(ROUNDUP((AI79-$L$34+1)/12,0)-1),0)</f>
        <v>0</v>
      </c>
      <c r="AJ82" s="0" t="n">
        <f aca="false">IF(AND($M$33="Yes",AJ79&gt;=$L$34,AJ79&lt;=$L$35),$M$34*$M$36*SF_NRA/12*(1+$M$37)^(ROUNDUP((AJ79-$L$34+1)/12,0)-1),0)</f>
        <v>0</v>
      </c>
      <c r="AK82" s="0" t="n">
        <f aca="false">IF(AND($M$33="Yes",AK79&gt;=$L$34,AK79&lt;=$L$35),$M$34*$M$36*SF_NRA/12*(1+$M$37)^(ROUNDUP((AK79-$L$34+1)/12,0)-1),0)</f>
        <v>0</v>
      </c>
      <c r="AL82" s="0" t="n">
        <f aca="false">IF(AND($M$33="Yes",AL79&gt;=$L$34,AL79&lt;=$L$35),$M$34*$M$36*SF_NRA/12*(1+$M$37)^(ROUNDUP((AL79-$L$34+1)/12,0)-1),0)</f>
        <v>0</v>
      </c>
      <c r="AM82" s="0" t="n">
        <f aca="false">IF(AND($M$33="Yes",AM79&gt;=$L$34,AM79&lt;=$L$35),$M$34*$M$36*SF_NRA/12*(1+$M$37)^(ROUNDUP((AM79-$L$34+1)/12,0)-1),0)</f>
        <v>0</v>
      </c>
      <c r="AN82" s="0" t="n">
        <f aca="false">IF(AND($M$33="Yes",AN79&gt;=$L$34,AN79&lt;=$L$35),$M$34*$M$36*SF_NRA/12*(1+$M$37)^(ROUNDUP((AN79-$L$34+1)/12,0)-1),0)</f>
        <v>0</v>
      </c>
      <c r="AO82" s="0" t="n">
        <f aca="false">IF(AND($M$33="Yes",AO79&gt;=$L$34,AO79&lt;=$L$35),$M$34*$M$36*SF_NRA/12*(1+$M$37)^(ROUNDUP((AO79-$L$34+1)/12,0)-1),0)</f>
        <v>0</v>
      </c>
      <c r="AP82" s="0" t="n">
        <f aca="false">IF(AND($M$33="Yes",AP79&gt;=$L$34,AP79&lt;=$L$35),$M$34*$M$36*SF_NRA/12*(1+$M$37)^(ROUNDUP((AP79-$L$34+1)/12,0)-1),0)</f>
        <v>0</v>
      </c>
      <c r="AQ82" s="0" t="n">
        <f aca="false">IF(AND($M$33="Yes",AQ79&gt;=$L$34,AQ79&lt;=$L$35),$M$34*$M$36*SF_NRA/12*(1+$M$37)^(ROUNDUP((AQ79-$L$34+1)/12,0)-1),0)</f>
        <v>0</v>
      </c>
      <c r="AR82" s="0" t="n">
        <f aca="false">IF(AND($M$33="Yes",AR79&gt;=$L$34,AR79&lt;=$L$35),$M$34*$M$36*SF_NRA/12*(1+$M$37)^(ROUNDUP((AR79-$L$34+1)/12,0)-1),0)</f>
        <v>0</v>
      </c>
      <c r="AS82" s="0" t="n">
        <f aca="false">IF(AND($M$33="Yes",AS79&gt;=$L$34,AS79&lt;=$L$35),$M$34*$M$36*SF_NRA/12*(1+$M$37)^(ROUNDUP((AS79-$L$34+1)/12,0)-1),0)</f>
        <v>0</v>
      </c>
      <c r="AT82" s="0" t="n">
        <f aca="false">IF(AND($M$33="Yes",AT79&gt;=$L$34,AT79&lt;=$L$35),$M$34*$M$36*SF_NRA/12*(1+$M$37)^(ROUNDUP((AT79-$L$34+1)/12,0)-1),0)</f>
        <v>0</v>
      </c>
      <c r="AU82" s="0" t="n">
        <f aca="false">IF(AND($M$33="Yes",AU79&gt;=$L$34,AU79&lt;=$L$35),$M$34*$M$36*SF_NRA/12*(1+$M$37)^(ROUNDUP((AU79-$L$34+1)/12,0)-1),0)</f>
        <v>0</v>
      </c>
      <c r="AV82" s="0" t="n">
        <f aca="false">IF(AND($M$33="Yes",AV79&gt;=$L$34,AV79&lt;=$L$35),$M$34*$M$36*SF_NRA/12*(1+$M$37)^(ROUNDUP((AV79-$L$34+1)/12,0)-1),0)</f>
        <v>0</v>
      </c>
      <c r="AW82" s="0" t="n">
        <f aca="false">IF(AND($M$33="Yes",AW79&gt;=$L$34,AW79&lt;=$L$35),$M$34*$M$36*SF_NRA/12*(1+$M$37)^(ROUNDUP((AW79-$L$34+1)/12,0)-1),0)</f>
        <v>0</v>
      </c>
      <c r="AX82" s="0" t="n">
        <f aca="false">IF(AND($M$33="Yes",AX79&gt;=$L$34,AX79&lt;=$L$35),$M$34*$M$36*SF_NRA/12*(1+$M$37)^(ROUNDUP((AX79-$L$34+1)/12,0)-1),0)</f>
        <v>0</v>
      </c>
      <c r="AY82" s="0" t="n">
        <f aca="false">IF(AND($M$33="Yes",AY79&gt;=$L$34,AY79&lt;=$L$35),$M$34*$M$36*SF_NRA/12*(1+$M$37)^(ROUNDUP((AY79-$L$34+1)/12,0)-1),0)</f>
        <v>0</v>
      </c>
      <c r="AZ82" s="0" t="n">
        <f aca="false">IF(AND($M$33="Yes",AZ79&gt;=$L$34,AZ79&lt;=$L$35),$M$34*$M$36*SF_NRA/12*(1+$M$37)^(ROUNDUP((AZ79-$L$34+1)/12,0)-1),0)</f>
        <v>0</v>
      </c>
      <c r="BA82" s="0" t="n">
        <f aca="false">IF(AND($M$33="Yes",BA79&gt;=$L$34,BA79&lt;=$L$35),$M$34*$M$36*SF_NRA/12*(1+$M$37)^(ROUNDUP((BA79-$L$34+1)/12,0)-1),0)</f>
        <v>0</v>
      </c>
      <c r="BB82" s="0" t="n">
        <f aca="false">IF(AND($M$33="Yes",BB79&gt;=$L$34,BB79&lt;=$L$35),$M$34*$M$36*SF_NRA/12*(1+$M$37)^(ROUNDUP((BB79-$L$34+1)/12,0)-1),0)</f>
        <v>0</v>
      </c>
      <c r="BC82" s="0" t="n">
        <f aca="false">IF(AND($M$33="Yes",BC79&gt;=$L$34,BC79&lt;=$L$35),$M$34*$M$36*SF_NRA/12*(1+$M$37)^(ROUNDUP((BC79-$L$34+1)/12,0)-1),0)</f>
        <v>0</v>
      </c>
      <c r="BD82" s="0" t="n">
        <f aca="false">IF(AND($M$33="Yes",BD79&gt;=$L$34,BD79&lt;=$L$35),$M$34*$M$36*SF_NRA/12*(1+$M$37)^(ROUNDUP((BD79-$L$34+1)/12,0)-1),0)</f>
        <v>0</v>
      </c>
      <c r="BE82" s="0" t="n">
        <f aca="false">IF(AND($M$33="Yes",BE79&gt;=$L$34,BE79&lt;=$L$35),$M$34*$M$36*SF_NRA/12*(1+$M$37)^(ROUNDUP((BE79-$L$34+1)/12,0)-1),0)</f>
        <v>0</v>
      </c>
      <c r="BF82" s="0" t="n">
        <f aca="false">IF(AND($M$33="Yes",BF79&gt;=$L$34,BF79&lt;=$L$35),$M$34*$M$36*SF_NRA/12*(1+$M$37)^(ROUNDUP((BF79-$L$34+1)/12,0)-1),0)</f>
        <v>0</v>
      </c>
      <c r="BG82" s="0" t="n">
        <f aca="false">IF(AND($M$33="Yes",BG79&gt;=$L$34,BG79&lt;=$L$35),$M$34*$M$36*SF_NRA/12*(1+$M$37)^(ROUNDUP((BG79-$L$34+1)/12,0)-1),0)</f>
        <v>0</v>
      </c>
      <c r="BH82" s="0" t="n">
        <f aca="false">IF(AND($M$33="Yes",BH79&gt;=$L$34,BH79&lt;=$L$35),$M$34*$M$36*SF_NRA/12*(1+$M$37)^(ROUNDUP((BH79-$L$34+1)/12,0)-1),0)</f>
        <v>0</v>
      </c>
      <c r="BI82" s="0" t="n">
        <f aca="false">IF(AND($M$33="Yes",BI79&gt;=$L$34,BI79&lt;=$L$35),$M$34*$M$36*SF_NRA/12*(1+$M$37)^(ROUNDUP((BI79-$L$34+1)/12,0)-1),0)</f>
        <v>0</v>
      </c>
      <c r="BJ82" s="0" t="n">
        <f aca="false">IF(AND($M$33="Yes",BJ79&gt;=$L$34,BJ79&lt;=$L$35),$M$34*$M$36*SF_NRA/12*(1+$M$37)^(ROUNDUP((BJ79-$L$34+1)/12,0)-1),0)</f>
        <v>0</v>
      </c>
      <c r="BK82" s="0" t="n">
        <f aca="false">IF(AND($M$33="Yes",BK79&gt;=$L$34,BK79&lt;=$L$35),$M$34*$M$36*SF_NRA/12*(1+$M$37)^(ROUNDUP((BK79-$L$34+1)/12,0)-1),0)</f>
        <v>0</v>
      </c>
      <c r="BL82" s="0" t="n">
        <f aca="false">IF(AND($M$33="Yes",BL79&gt;=$L$34,BL79&lt;=$L$35),$M$34*$M$36*SF_NRA/12*(1+$M$37)^(ROUNDUP((BL79-$L$34+1)/12,0)-1),0)</f>
        <v>0</v>
      </c>
      <c r="BM82" s="0" t="n">
        <f aca="false">IF(AND($M$33="Yes",BM79&gt;=$L$34,BM79&lt;=$L$35),$M$34*$M$36*SF_NRA/12*(1+$M$37)^(ROUNDUP((BM79-$L$34+1)/12,0)-1),0)</f>
        <v>0</v>
      </c>
      <c r="BN82" s="0" t="n">
        <f aca="false">IF(AND($M$33="Yes",BN79&gt;=$L$34,BN79&lt;=$L$35),$M$34*$M$36*SF_NRA/12*(1+$M$37)^(ROUNDUP((BN79-$L$34+1)/12,0)-1),0)</f>
        <v>0</v>
      </c>
      <c r="BO82" s="0" t="n">
        <f aca="false">IF(AND($M$33="Yes",BO79&gt;=$L$34,BO79&lt;=$L$35),$M$34*$M$36*SF_NRA/12*(1+$M$37)^(ROUNDUP((BO79-$L$34+1)/12,0)-1),0)</f>
        <v>0</v>
      </c>
      <c r="BP82" s="0" t="n">
        <f aca="false">IF(AND($M$33="Yes",BP79&gt;=$L$34,BP79&lt;=$L$35),$M$34*$M$36*SF_NRA/12*(1+$M$37)^(ROUNDUP((BP79-$L$34+1)/12,0)-1),0)</f>
        <v>0</v>
      </c>
      <c r="BQ82" s="0" t="n">
        <f aca="false">IF(AND($M$33="Yes",BQ79&gt;=$L$34,BQ79&lt;=$L$35),$M$34*$M$36*SF_NRA/12*(1+$M$37)^(ROUNDUP((BQ79-$L$34+1)/12,0)-1),0)</f>
        <v>0</v>
      </c>
      <c r="BR82" s="0" t="n">
        <f aca="false">IF(AND($M$33="Yes",BR79&gt;=$L$34,BR79&lt;=$L$35),$M$34*$M$36*SF_NRA/12*(1+$M$37)^(ROUNDUP((BR79-$L$34+1)/12,0)-1),0)</f>
        <v>0</v>
      </c>
      <c r="BS82" s="0" t="n">
        <f aca="false">IF(AND($M$33="Yes",BS79&gt;=$L$34,BS79&lt;=$L$35),$M$34*$M$36*SF_NRA/12*(1+$M$37)^(ROUNDUP((BS79-$L$34+1)/12,0)-1),0)</f>
        <v>0</v>
      </c>
      <c r="BT82" s="0" t="n">
        <f aca="false">IF(AND($M$33="Yes",BT79&gt;=$L$34,BT79&lt;=$L$35),$M$34*$M$36*SF_NRA/12*(1+$M$37)^(ROUNDUP((BT79-$L$34+1)/12,0)-1),0)</f>
        <v>0</v>
      </c>
      <c r="BU82" s="0" t="n">
        <f aca="false">IF(AND($M$33="Yes",BU79&gt;=$L$34,BU79&lt;=$L$35),$M$34*$M$36*SF_NRA/12*(1+$M$37)^(ROUNDUP((BU79-$L$34+1)/12,0)-1),0)</f>
        <v>0</v>
      </c>
      <c r="BV82" s="0" t="n">
        <f aca="false">IF(AND($M$33="Yes",BV79&gt;=$L$34,BV79&lt;=$L$35),$M$34*$M$36*SF_NRA/12*(1+$M$37)^(ROUNDUP((BV79-$L$34+1)/12,0)-1),0)</f>
        <v>0</v>
      </c>
      <c r="BW82" s="0" t="n">
        <f aca="false">IF(AND($M$33="Yes",BW79&gt;=$L$34,BW79&lt;=$L$35),$M$34*$M$36*SF_NRA/12*(1+$M$37)^(ROUNDUP((BW79-$L$34+1)/12,0)-1),0)</f>
        <v>0</v>
      </c>
      <c r="BX82" s="0" t="n">
        <f aca="false">IF(AND($M$33="Yes",BX79&gt;=$L$34,BX79&lt;=$L$35),$M$34*$M$36*SF_NRA/12*(1+$M$37)^(ROUNDUP((BX79-$L$34+1)/12,0)-1),0)</f>
        <v>0</v>
      </c>
      <c r="BY82" s="0" t="n">
        <f aca="false">IF(AND($M$33="Yes",BY79&gt;=$L$34,BY79&lt;=$L$35),$M$34*$M$36*SF_NRA/12*(1+$M$37)^(ROUNDUP((BY79-$L$34+1)/12,0)-1),0)</f>
        <v>0</v>
      </c>
      <c r="BZ82" s="0" t="n">
        <f aca="false">IF(AND($M$33="Yes",BZ79&gt;=$L$34,BZ79&lt;=$L$35),$M$34*$M$36*SF_NRA/12*(1+$M$37)^(ROUNDUP((BZ79-$L$34+1)/12,0)-1),0)</f>
        <v>0</v>
      </c>
      <c r="CA82" s="0" t="n">
        <f aca="false">IF(AND($M$33="Yes",CA79&gt;=$L$34,CA79&lt;=$L$35),$M$34*$M$36*SF_NRA/12*(1+$M$37)^(ROUNDUP((CA79-$L$34+1)/12,0)-1),0)</f>
        <v>0</v>
      </c>
      <c r="CB82" s="0" t="n">
        <f aca="false">IF(AND($M$33="Yes",CB79&gt;=$L$34,CB79&lt;=$L$35),$M$34*$M$36*SF_NRA/12*(1+$M$37)^(ROUNDUP((CB79-$L$34+1)/12,0)-1),0)</f>
        <v>0</v>
      </c>
      <c r="CC82" s="0" t="n">
        <f aca="false">IF(AND($M$33="Yes",CC79&gt;=$L$34,CC79&lt;=$L$35),$M$34*$M$36*SF_NRA/12*(1+$M$37)^(ROUNDUP((CC79-$L$34+1)/12,0)-1),0)</f>
        <v>0</v>
      </c>
      <c r="CD82" s="0" t="n">
        <f aca="false">IF(AND($M$33="Yes",CD79&gt;=$L$34,CD79&lt;=$L$35),$M$34*$M$36*SF_NRA/12*(1+$M$37)^(ROUNDUP((CD79-$L$34+1)/12,0)-1),0)</f>
        <v>0</v>
      </c>
      <c r="CE82" s="0" t="n">
        <f aca="false">IF(AND($M$33="Yes",CE79&gt;=$L$34,CE79&lt;=$L$35),$M$34*$M$36*SF_NRA/12*(1+$M$37)^(ROUNDUP((CE79-$L$34+1)/12,0)-1),0)</f>
        <v>0</v>
      </c>
      <c r="CF82" s="0" t="n">
        <f aca="false">IF(AND($M$33="Yes",CF79&gt;=$L$34,CF79&lt;=$L$35),$M$34*$M$36*SF_NRA/12*(1+$M$37)^(ROUNDUP((CF79-$L$34+1)/12,0)-1),0)</f>
        <v>0</v>
      </c>
      <c r="CG82" s="0" t="n">
        <f aca="false">IF(AND($M$33="Yes",CG79&gt;=$L$34,CG79&lt;=$L$35),$M$34*$M$36*SF_NRA/12*(1+$M$37)^(ROUNDUP((CG79-$L$34+1)/12,0)-1),0)</f>
        <v>0</v>
      </c>
      <c r="CH82" s="0" t="n">
        <f aca="false">IF(AND($M$33="Yes",CH79&gt;=$L$34,CH79&lt;=$L$35),$M$34*$M$36*SF_NRA/12*(1+$M$37)^(ROUNDUP((CH79-$L$34+1)/12,0)-1),0)</f>
        <v>0</v>
      </c>
      <c r="CI82" s="0" t="n">
        <f aca="false">IF(AND($M$33="Yes",CI79&gt;=$L$34,CI79&lt;=$L$35),$M$34*$M$36*SF_NRA/12*(1+$M$37)^(ROUNDUP((CI79-$L$34+1)/12,0)-1),0)</f>
        <v>0</v>
      </c>
      <c r="CJ82" s="0" t="n">
        <f aca="false">IF(AND($M$33="Yes",CJ79&gt;=$L$34,CJ79&lt;=$L$35),$M$34*$M$36*SF_NRA/12*(1+$M$37)^(ROUNDUP((CJ79-$L$34+1)/12,0)-1),0)</f>
        <v>0</v>
      </c>
      <c r="CK82" s="0" t="n">
        <f aca="false">IF(AND($M$33="Yes",CK79&gt;=$L$34,CK79&lt;=$L$35),$M$34*$M$36*SF_NRA/12*(1+$M$37)^(ROUNDUP((CK79-$L$34+1)/12,0)-1),0)</f>
        <v>0</v>
      </c>
      <c r="CL82" s="0" t="n">
        <f aca="false">IF(AND($M$33="Yes",CL79&gt;=$L$34,CL79&lt;=$L$35),$M$34*$M$36*SF_NRA/12*(1+$M$37)^(ROUNDUP((CL79-$L$34+1)/12,0)-1),0)</f>
        <v>0</v>
      </c>
      <c r="CM82" s="0" t="n">
        <f aca="false">IF(AND($M$33="Yes",CM79&gt;=$L$34,CM79&lt;=$L$35),$M$34*$M$36*SF_NRA/12*(1+$M$37)^(ROUNDUP((CM79-$L$34+1)/12,0)-1),0)</f>
        <v>0</v>
      </c>
      <c r="CN82" s="0" t="n">
        <f aca="false">IF(AND($M$33="Yes",CN79&gt;=$L$34,CN79&lt;=$L$35),$M$34*$M$36*SF_NRA/12*(1+$M$37)^(ROUNDUP((CN79-$L$34+1)/12,0)-1),0)</f>
        <v>0</v>
      </c>
      <c r="CO82" s="0" t="n">
        <f aca="false">IF(AND($M$33="Yes",CO79&gt;=$L$34,CO79&lt;=$L$35),$M$34*$M$36*SF_NRA/12*(1+$M$37)^(ROUNDUP((CO79-$L$34+1)/12,0)-1),0)</f>
        <v>0</v>
      </c>
      <c r="CP82" s="0" t="n">
        <f aca="false">IF(AND($M$33="Yes",CP79&gt;=$L$34,CP79&lt;=$L$35),$M$34*$M$36*SF_NRA/12*(1+$M$37)^(ROUNDUP((CP79-$L$34+1)/12,0)-1),0)</f>
        <v>0</v>
      </c>
      <c r="CQ82" s="0" t="n">
        <f aca="false">IF(AND($M$33="Yes",CQ79&gt;=$L$34,CQ79&lt;=$L$35),$M$34*$M$36*SF_NRA/12*(1+$M$37)^(ROUNDUP((CQ79-$L$34+1)/12,0)-1),0)</f>
        <v>0</v>
      </c>
      <c r="CR82" s="0" t="n">
        <f aca="false">IF(AND($M$33="Yes",CR79&gt;=$L$34,CR79&lt;=$L$35),$M$34*$M$36*SF_NRA/12*(1+$M$37)^(ROUNDUP((CR79-$L$34+1)/12,0)-1),0)</f>
        <v>0</v>
      </c>
      <c r="CS82" s="0" t="n">
        <f aca="false">IF(AND($M$33="Yes",CS79&gt;=$L$34,CS79&lt;=$L$35),$M$34*$M$36*SF_NRA/12*(1+$M$37)^(ROUNDUP((CS79-$L$34+1)/12,0)-1),0)</f>
        <v>0</v>
      </c>
      <c r="CT82" s="0" t="n">
        <f aca="false">IF(AND($M$33="Yes",CT79&gt;=$L$34,CT79&lt;=$L$35),$M$34*$M$36*SF_NRA/12*(1+$M$37)^(ROUNDUP((CT79-$L$34+1)/12,0)-1),0)</f>
        <v>0</v>
      </c>
      <c r="CU82" s="0" t="n">
        <f aca="false">IF(AND($M$33="Yes",CU79&gt;=$L$34,CU79&lt;=$L$35),$M$34*$M$36*SF_NRA/12*(1+$M$37)^(ROUNDUP((CU79-$L$34+1)/12,0)-1),0)</f>
        <v>0</v>
      </c>
      <c r="CV82" s="0" t="n">
        <f aca="false">IF(AND($M$33="Yes",CV79&gt;=$L$34,CV79&lt;=$L$35),$M$34*$M$36*SF_NRA/12*(1+$M$37)^(ROUNDUP((CV79-$L$34+1)/12,0)-1),0)</f>
        <v>0</v>
      </c>
      <c r="CW82" s="0" t="n">
        <f aca="false">IF(AND($M$33="Yes",CW79&gt;=$L$34,CW79&lt;=$L$35),$M$34*$M$36*SF_NRA/12*(1+$M$37)^(ROUNDUP((CW79-$L$34+1)/12,0)-1),0)</f>
        <v>0</v>
      </c>
      <c r="CX82" s="0" t="n">
        <f aca="false">IF(AND($M$33="Yes",CX79&gt;=$L$34,CX79&lt;=$L$35),$M$34*$M$36*SF_NRA/12*(1+$M$37)^(ROUNDUP((CX79-$L$34+1)/12,0)-1),0)</f>
        <v>0</v>
      </c>
      <c r="CY82" s="0" t="n">
        <f aca="false">IF(AND($M$33="Yes",CY79&gt;=$L$34,CY79&lt;=$L$35),$M$34*$M$36*SF_NRA/12*(1+$M$37)^(ROUNDUP((CY79-$L$34+1)/12,0)-1),0)</f>
        <v>0</v>
      </c>
      <c r="CZ82" s="0" t="n">
        <f aca="false">IF(AND($M$33="Yes",CZ79&gt;=$L$34,CZ79&lt;=$L$35),$M$34*$M$36*SF_NRA/12*(1+$M$37)^(ROUNDUP((CZ79-$L$34+1)/12,0)-1),0)</f>
        <v>0</v>
      </c>
      <c r="DA82" s="0" t="n">
        <f aca="false">IF(AND($M$33="Yes",DA79&gt;=$L$34,DA79&lt;=$L$35),$M$34*$M$36*SF_NRA/12*(1+$M$37)^(ROUNDUP((DA79-$L$34+1)/12,0)-1),0)</f>
        <v>0</v>
      </c>
      <c r="DB82" s="0" t="n">
        <f aca="false">IF(AND($M$33="Yes",DB79&gt;=$L$34,DB79&lt;=$L$35),$M$34*$M$36*SF_NRA/12*(1+$M$37)^(ROUNDUP((DB79-$L$34+1)/12,0)-1),0)</f>
        <v>0</v>
      </c>
      <c r="DC82" s="0" t="n">
        <f aca="false">IF(AND($M$33="Yes",DC79&gt;=$L$34,DC79&lt;=$L$35),$M$34*$M$36*SF_NRA/12*(1+$M$37)^(ROUNDUP((DC79-$L$34+1)/12,0)-1),0)</f>
        <v>0</v>
      </c>
      <c r="DD82" s="0" t="n">
        <f aca="false">IF(AND($M$33="Yes",DD79&gt;=$L$34,DD79&lt;=$L$35),$M$34*$M$36*SF_NRA/12*(1+$M$37)^(ROUNDUP((DD79-$L$34+1)/12,0)-1),0)</f>
        <v>0</v>
      </c>
      <c r="DE82" s="0" t="n">
        <f aca="false">IF(AND($M$33="Yes",DE79&gt;=$L$34,DE79&lt;=$L$35),$M$34*$M$36*SF_NRA/12*(1+$M$37)^(ROUNDUP((DE79-$L$34+1)/12,0)-1),0)</f>
        <v>0</v>
      </c>
      <c r="DF82" s="0" t="n">
        <f aca="false">IF(AND($M$33="Yes",DF79&gt;=$L$34,DF79&lt;=$L$35),$M$34*$M$36*SF_NRA/12*(1+$M$37)^(ROUNDUP((DF79-$L$34+1)/12,0)-1),0)</f>
        <v>0</v>
      </c>
      <c r="DG82" s="0" t="n">
        <f aca="false">IF(AND($M$33="Yes",DG79&gt;=$L$34,DG79&lt;=$L$35),$M$34*$M$36*SF_NRA/12*(1+$M$37)^(ROUNDUP((DG79-$L$34+1)/12,0)-1),0)</f>
        <v>0</v>
      </c>
      <c r="DH82" s="0" t="n">
        <f aca="false">IF(AND($M$33="Yes",DH79&gt;=$L$34,DH79&lt;=$L$35),$M$34*$M$36*SF_NRA/12*(1+$M$37)^(ROUNDUP((DH79-$L$34+1)/12,0)-1),0)</f>
        <v>0</v>
      </c>
      <c r="DI82" s="0" t="n">
        <f aca="false">IF(AND($M$33="Yes",DI79&gt;=$L$34,DI79&lt;=$L$35),$M$34*$M$36*SF_NRA/12*(1+$M$37)^(ROUNDUP((DI79-$L$34+1)/12,0)-1),0)</f>
        <v>0</v>
      </c>
      <c r="DJ82" s="0" t="n">
        <f aca="false">IF(AND($M$33="Yes",DJ79&gt;=$L$34,DJ79&lt;=$L$35),$M$34*$M$36*SF_NRA/12*(1+$M$37)^(ROUNDUP((DJ79-$L$34+1)/12,0)-1),0)</f>
        <v>38154.59955093</v>
      </c>
      <c r="DK82" s="0" t="n">
        <f aca="false">IF(AND($M$33="Yes",DK79&gt;=$L$34,DK79&lt;=$L$35),$M$34*$M$36*SF_NRA/12*(1+$M$37)^(ROUNDUP((DK79-$L$34+1)/12,0)-1),0)</f>
        <v>38154.59955093</v>
      </c>
      <c r="DL82" s="0" t="n">
        <f aca="false">IF(AND($M$33="Yes",DL79&gt;=$L$34,DL79&lt;=$L$35),$M$34*$M$36*SF_NRA/12*(1+$M$37)^(ROUNDUP((DL79-$L$34+1)/12,0)-1),0)</f>
        <v>38154.59955093</v>
      </c>
      <c r="DM82" s="0" t="n">
        <f aca="false">IF(AND($M$33="Yes",DM79&gt;=$L$34,DM79&lt;=$L$35),$M$34*$M$36*SF_NRA/12*(1+$M$37)^(ROUNDUP((DM79-$L$34+1)/12,0)-1),0)</f>
        <v>38154.59955093</v>
      </c>
      <c r="DN82" s="0" t="n">
        <f aca="false">IF(AND($M$33="Yes",DN79&gt;=$L$34,DN79&lt;=$L$35),$M$34*$M$36*SF_NRA/12*(1+$M$37)^(ROUNDUP((DN79-$L$34+1)/12,0)-1),0)</f>
        <v>38154.59955093</v>
      </c>
      <c r="DO82" s="0" t="n">
        <f aca="false">IF(AND($M$33="Yes",DO79&gt;=$L$34,DO79&lt;=$L$35),$M$34*$M$36*SF_NRA/12*(1+$M$37)^(ROUNDUP((DO79-$L$34+1)/12,0)-1),0)</f>
        <v>38154.59955093</v>
      </c>
      <c r="DP82" s="0" t="n">
        <f aca="false">IF(AND($M$33="Yes",DP79&gt;=$L$34,DP79&lt;=$L$35),$M$34*$M$36*SF_NRA/12*(1+$M$37)^(ROUNDUP((DP79-$L$34+1)/12,0)-1),0)</f>
        <v>38154.59955093</v>
      </c>
      <c r="DQ82" s="0" t="n">
        <f aca="false">IF(AND($M$33="Yes",DQ79&gt;=$L$34,DQ79&lt;=$L$35),$M$34*$M$36*SF_NRA/12*(1+$M$37)^(ROUNDUP((DQ79-$L$34+1)/12,0)-1),0)</f>
        <v>38154.59955093</v>
      </c>
      <c r="DR82" s="0" t="n">
        <f aca="false">IF(AND($M$33="Yes",DR79&gt;=$L$34,DR79&lt;=$L$35),$M$34*$M$36*SF_NRA/12*(1+$M$37)^(ROUNDUP((DR79-$L$34+1)/12,0)-1),0)</f>
        <v>38154.59955093</v>
      </c>
      <c r="DS82" s="0" t="n">
        <f aca="false">IF(AND($M$33="Yes",DS79&gt;=$L$34,DS79&lt;=$L$35),$M$34*$M$36*SF_NRA/12*(1+$M$37)^(ROUNDUP((DS79-$L$34+1)/12,0)-1),0)</f>
        <v>38154.59955093</v>
      </c>
      <c r="DT82" s="0" t="n">
        <f aca="false">IF(AND($M$33="Yes",DT79&gt;=$L$34,DT79&lt;=$L$35),$M$34*$M$36*SF_NRA/12*(1+$M$37)^(ROUNDUP((DT79-$L$34+1)/12,0)-1),0)</f>
        <v>38154.59955093</v>
      </c>
      <c r="DU82" s="0" t="n">
        <f aca="false">IF(AND($M$33="Yes",DU79&gt;=$L$34,DU79&lt;=$L$35),$M$34*$M$36*SF_NRA/12*(1+$M$37)^(ROUNDUP((DU79-$L$34+1)/12,0)-1),0)</f>
        <v>38154.59955093</v>
      </c>
      <c r="DV82" s="0" t="n">
        <f aca="false">IF(AND($M$33="Yes",DV79&gt;=$L$34,DV79&lt;=$L$35),$M$34*$M$36*SF_NRA/12*(1+$M$37)^(ROUNDUP((DV79-$L$34+1)/12,0)-1),0)</f>
        <v>38154.59955093</v>
      </c>
      <c r="DW82" s="0" t="n">
        <f aca="false">IF(AND($M$33="Yes",DW79&gt;=$L$34,DW79&lt;=$L$35),$M$34*$M$36*SF_NRA/12*(1+$M$37)^(ROUNDUP((DW79-$L$34+1)/12,0)-1),0)</f>
        <v>38154.59955093</v>
      </c>
      <c r="DX82" s="0" t="n">
        <f aca="false">IF(AND($M$33="Yes",DX79&gt;=$L$34,DX79&lt;=$L$35),$M$34*$M$36*SF_NRA/12*(1+$M$37)^(ROUNDUP((DX79-$L$34+1)/12,0)-1),0)</f>
        <v>38154.59955093</v>
      </c>
      <c r="DY82" s="0" t="n">
        <f aca="false">IF(AND($M$33="Yes",DY79&gt;=$L$34,DY79&lt;=$L$35),$M$34*$M$36*SF_NRA/12*(1+$M$37)^(ROUNDUP((DY79-$L$34+1)/12,0)-1),0)</f>
        <v>38154.59955093</v>
      </c>
      <c r="DZ82" s="0" t="n">
        <f aca="false">IF(AND($M$33="Yes",DZ79&gt;=$L$34,DZ79&lt;=$L$35),$M$34*$M$36*SF_NRA/12*(1+$M$37)^(ROUNDUP((DZ79-$L$34+1)/12,0)-1),0)</f>
        <v>38154.59955093</v>
      </c>
      <c r="EA82" s="0" t="n">
        <f aca="false">IF(AND($M$33="Yes",EA79&gt;=$L$34,EA79&lt;=$L$35),$M$34*$M$36*SF_NRA/12*(1+$M$37)^(ROUNDUP((EA79-$L$34+1)/12,0)-1),0)</f>
        <v>38154.59955093</v>
      </c>
      <c r="EB82" s="0" t="n">
        <f aca="false">IF(AND($M$33="Yes",EB79&gt;=$L$34,EB79&lt;=$L$35),$M$34*$M$36*SF_NRA/12*(1+$M$37)^(ROUNDUP((EB79-$L$34+1)/12,0)-1),0)</f>
        <v>38154.59955093</v>
      </c>
      <c r="EC82" s="0" t="n">
        <f aca="false">IF(AND($M$33="Yes",EC79&gt;=$L$34,EC79&lt;=$L$35),$M$34*$M$36*SF_NRA/12*(1+$M$37)^(ROUNDUP((EC79-$L$34+1)/12,0)-1),0)</f>
        <v>38154.59955093</v>
      </c>
      <c r="ED82" s="0" t="n">
        <f aca="false">IF(AND($M$33="Yes",ED79&gt;=$L$34,ED79&lt;=$L$35),$M$34*$M$36*SF_NRA/12*(1+$M$37)^(ROUNDUP((ED79-$L$34+1)/12,0)-1),0)</f>
        <v>38154.59955093</v>
      </c>
      <c r="EE82" s="0" t="n">
        <f aca="false">IF(AND($M$33="Yes",EE79&gt;=$L$34,EE79&lt;=$L$35),$M$34*$M$36*SF_NRA/12*(1+$M$37)^(ROUNDUP((EE79-$L$34+1)/12,0)-1),0)</f>
        <v>38154.59955093</v>
      </c>
      <c r="EF82" s="0" t="n">
        <f aca="false">IF(AND($M$33="Yes",EF79&gt;=$L$34,EF79&lt;=$L$35),$M$34*$M$36*SF_NRA/12*(1+$M$37)^(ROUNDUP((EF79-$L$34+1)/12,0)-1),0)</f>
        <v>38154.59955093</v>
      </c>
      <c r="EG82" s="0" t="n">
        <f aca="false">IF(AND($M$33="Yes",EG79&gt;=$L$34,EG79&lt;=$L$35),$M$34*$M$36*SF_NRA/12*(1+$M$37)^(ROUNDUP((EG79-$L$34+1)/12,0)-1),0)</f>
        <v>38154.59955093</v>
      </c>
      <c r="EH82" s="0" t="n">
        <f aca="false">IF(AND($M$33="Yes",EH79&gt;=$L$34,EH79&lt;=$L$35),$M$34*$M$36*SF_NRA/12*(1+$M$37)^(ROUNDUP((EH79-$L$34+1)/12,0)-1),0)</f>
        <v>38154.59955093</v>
      </c>
      <c r="EI82" s="0" t="n">
        <f aca="false">IF(AND($M$33="Yes",EI79&gt;=$L$34,EI79&lt;=$L$35),$M$34*$M$36*SF_NRA/12*(1+$M$37)^(ROUNDUP((EI79-$L$34+1)/12,0)-1),0)</f>
        <v>38154.59955093</v>
      </c>
      <c r="EJ82" s="0" t="n">
        <f aca="false">IF(AND($M$33="Yes",EJ79&gt;=$L$34,EJ79&lt;=$L$35),$M$34*$M$36*SF_NRA/12*(1+$M$37)^(ROUNDUP((EJ79-$L$34+1)/12,0)-1),0)</f>
        <v>38154.59955093</v>
      </c>
      <c r="EK82" s="0" t="n">
        <f aca="false">IF(AND($M$33="Yes",EK79&gt;=$L$34,EK79&lt;=$L$35),$M$34*$M$36*SF_NRA/12*(1+$M$37)^(ROUNDUP((EK79-$L$34+1)/12,0)-1),0)</f>
        <v>38154.59955093</v>
      </c>
      <c r="EL82" s="0" t="n">
        <f aca="false">IF(AND($M$33="Yes",EL79&gt;=$L$34,EL79&lt;=$L$35),$M$34*$M$36*SF_NRA/12*(1+$M$37)^(ROUNDUP((EL79-$L$34+1)/12,0)-1),0)</f>
        <v>38154.59955093</v>
      </c>
      <c r="EM82" s="0" t="n">
        <f aca="false">IF(AND($M$33="Yes",EM79&gt;=$L$34,EM79&lt;=$L$35),$M$34*$M$36*SF_NRA/12*(1+$M$37)^(ROUNDUP((EM79-$L$34+1)/12,0)-1),0)</f>
        <v>38154.59955093</v>
      </c>
      <c r="EN82" s="0" t="n">
        <f aca="false">IF(AND($M$33="Yes",EN79&gt;=$L$34,EN79&lt;=$L$35),$M$34*$M$36*SF_NRA/12*(1+$M$37)^(ROUNDUP((EN79-$L$34+1)/12,0)-1),0)</f>
        <v>38154.59955093</v>
      </c>
      <c r="EO82" s="0" t="n">
        <f aca="false">IF(AND($M$33="Yes",EO79&gt;=$L$34,EO79&lt;=$L$35),$M$34*$M$36*SF_NRA/12*(1+$M$37)^(ROUNDUP((EO79-$L$34+1)/12,0)-1),0)</f>
        <v>38154.59955093</v>
      </c>
      <c r="EP82" s="0" t="n">
        <f aca="false">IF(AND($M$33="Yes",EP79&gt;=$L$34,EP79&lt;=$L$35),$M$34*$M$36*SF_NRA/12*(1+$M$37)^(ROUNDUP((EP79-$L$34+1)/12,0)-1),0)</f>
        <v>38154.59955093</v>
      </c>
      <c r="EQ82" s="0" t="n">
        <f aca="false">IF(AND($M$33="Yes",EQ79&gt;=$L$34,EQ79&lt;=$L$35),$M$34*$M$36*SF_NRA/12*(1+$M$37)^(ROUNDUP((EQ79-$L$34+1)/12,0)-1),0)</f>
        <v>38154.59955093</v>
      </c>
      <c r="ER82" s="0" t="n">
        <f aca="false">IF(AND($M$33="Yes",ER79&gt;=$L$34,ER79&lt;=$L$35),$M$34*$M$36*SF_NRA/12*(1+$M$37)^(ROUNDUP((ER79-$L$34+1)/12,0)-1),0)</f>
        <v>38154.59955093</v>
      </c>
      <c r="ES82" s="0" t="n">
        <f aca="false">IF(AND($M$33="Yes",ES79&gt;=$L$34,ES79&lt;=$L$35),$M$34*$M$36*SF_NRA/12*(1+$M$37)^(ROUNDUP((ES79-$L$34+1)/12,0)-1),0)</f>
        <v>38154.59955093</v>
      </c>
      <c r="ET82" s="0" t="n">
        <f aca="false">IF(AND($M$33="Yes",ET79&gt;=$L$34,ET79&lt;=$L$35),$M$34*$M$36*SF_NRA/12*(1+$M$37)^(ROUNDUP((ET79-$L$34+1)/12,0)-1),0)</f>
        <v>38154.59955093</v>
      </c>
      <c r="EU82" s="0" t="n">
        <f aca="false">IF(AND($M$33="Yes",EU79&gt;=$L$34,EU79&lt;=$L$35),$M$34*$M$36*SF_NRA/12*(1+$M$37)^(ROUNDUP((EU79-$L$34+1)/12,0)-1),0)</f>
        <v>38154.59955093</v>
      </c>
      <c r="EV82" s="0" t="n">
        <f aca="false">IF(AND($M$33="Yes",EV79&gt;=$L$34,EV79&lt;=$L$35),$M$34*$M$36*SF_NRA/12*(1+$M$37)^(ROUNDUP((EV79-$L$34+1)/12,0)-1),0)</f>
        <v>38154.59955093</v>
      </c>
      <c r="EW82" s="0" t="n">
        <f aca="false">IF(AND($M$33="Yes",EW79&gt;=$L$34,EW79&lt;=$L$35),$M$34*$M$36*SF_NRA/12*(1+$M$37)^(ROUNDUP((EW79-$L$34+1)/12,0)-1),0)</f>
        <v>38154.59955093</v>
      </c>
      <c r="EX82" s="0" t="n">
        <f aca="false">IF(AND($M$33="Yes",EX79&gt;=$L$34,EX79&lt;=$L$35),$M$34*$M$36*SF_NRA/12*(1+$M$37)^(ROUNDUP((EX79-$L$34+1)/12,0)-1),0)</f>
        <v>38154.59955093</v>
      </c>
      <c r="EY82" s="0" t="n">
        <f aca="false">IF(AND($M$33="Yes",EY79&gt;=$L$34,EY79&lt;=$L$35),$M$34*$M$36*SF_NRA/12*(1+$M$37)^(ROUNDUP((EY79-$L$34+1)/12,0)-1),0)</f>
        <v>38154.59955093</v>
      </c>
      <c r="EZ82" s="0" t="n">
        <f aca="false">IF(AND($M$33="Yes",EZ79&gt;=$L$34,EZ79&lt;=$L$35),$M$34*$M$36*SF_NRA/12*(1+$M$37)^(ROUNDUP((EZ79-$L$34+1)/12,0)-1),0)</f>
        <v>38154.59955093</v>
      </c>
      <c r="FA82" s="0" t="n">
        <f aca="false">IF(AND($M$33="Yes",FA79&gt;=$L$34,FA79&lt;=$L$35),$M$34*$M$36*SF_NRA/12*(1+$M$37)^(ROUNDUP((FA79-$L$34+1)/12,0)-1),0)</f>
        <v>38154.59955093</v>
      </c>
      <c r="FB82" s="0" t="n">
        <f aca="false">IF(AND($M$33="Yes",FB79&gt;=$L$34,FB79&lt;=$L$35),$M$34*$M$36*SF_NRA/12*(1+$M$37)^(ROUNDUP((FB79-$L$34+1)/12,0)-1),0)</f>
        <v>38154.59955093</v>
      </c>
      <c r="FC82" s="0" t="n">
        <f aca="false">IF(AND($M$33="Yes",FC79&gt;=$L$34,FC79&lt;=$L$35),$M$34*$M$36*SF_NRA/12*(1+$M$37)^(ROUNDUP((FC79-$L$34+1)/12,0)-1),0)</f>
        <v>38154.59955093</v>
      </c>
      <c r="FD82" s="0" t="n">
        <f aca="false">IF(AND($M$33="Yes",FD79&gt;=$L$34,FD79&lt;=$L$35),$M$34*$M$36*SF_NRA/12*(1+$M$37)^(ROUNDUP((FD79-$L$34+1)/12,0)-1),0)</f>
        <v>38154.59955093</v>
      </c>
      <c r="FE82" s="0" t="n">
        <f aca="false">IF(AND($M$33="Yes",FE79&gt;=$L$34,FE79&lt;=$L$35),$M$34*$M$36*SF_NRA/12*(1+$M$37)^(ROUNDUP((FE79-$L$34+1)/12,0)-1),0)</f>
        <v>38154.59955093</v>
      </c>
      <c r="FF82" s="0" t="n">
        <f aca="false">IF(AND($M$33="Yes",FF79&gt;=$L$34,FF79&lt;=$L$35),$M$34*$M$36*SF_NRA/12*(1+$M$37)^(ROUNDUP((FF79-$L$34+1)/12,0)-1),0)</f>
        <v>38154.59955093</v>
      </c>
      <c r="FG82" s="0" t="n">
        <f aca="false">IF(AND($M$33="Yes",FG79&gt;=$L$34,FG79&lt;=$L$35),$M$34*$M$36*SF_NRA/12*(1+$M$37)^(ROUNDUP((FG79-$L$34+1)/12,0)-1),0)</f>
        <v>38154.59955093</v>
      </c>
      <c r="FH82" s="0" t="n">
        <f aca="false">IF(AND($M$33="Yes",FH79&gt;=$L$34,FH79&lt;=$L$35),$M$34*$M$36*SF_NRA/12*(1+$M$37)^(ROUNDUP((FH79-$L$34+1)/12,0)-1),0)</f>
        <v>38154.59955093</v>
      </c>
      <c r="FI82" s="0" t="n">
        <f aca="false">IF(AND($M$33="Yes",FI79&gt;=$L$34,FI79&lt;=$L$35),$M$34*$M$36*SF_NRA/12*(1+$M$37)^(ROUNDUP((FI79-$L$34+1)/12,0)-1),0)</f>
        <v>38154.59955093</v>
      </c>
      <c r="FJ82" s="0" t="n">
        <f aca="false">IF(AND($M$33="Yes",FJ79&gt;=$L$34,FJ79&lt;=$L$35),$M$34*$M$36*SF_NRA/12*(1+$M$37)^(ROUNDUP((FJ79-$L$34+1)/12,0)-1),0)</f>
        <v>38154.59955093</v>
      </c>
      <c r="FK82" s="0" t="n">
        <f aca="false">IF(AND($M$33="Yes",FK79&gt;=$L$34,FK79&lt;=$L$35),$M$34*$M$36*SF_NRA/12*(1+$M$37)^(ROUNDUP((FK79-$L$34+1)/12,0)-1),0)</f>
        <v>38154.59955093</v>
      </c>
      <c r="FL82" s="0" t="n">
        <f aca="false">IF(AND($M$33="Yes",FL79&gt;=$L$34,FL79&lt;=$L$35),$M$34*$M$36*SF_NRA/12*(1+$M$37)^(ROUNDUP((FL79-$L$34+1)/12,0)-1),0)</f>
        <v>38154.59955093</v>
      </c>
      <c r="FM82" s="0" t="n">
        <f aca="false">IF(AND($M$33="Yes",FM79&gt;=$L$34,FM79&lt;=$L$35),$M$34*$M$36*SF_NRA/12*(1+$M$37)^(ROUNDUP((FM79-$L$34+1)/12,0)-1),0)</f>
        <v>38154.59955093</v>
      </c>
      <c r="FN82" s="0" t="n">
        <f aca="false">IF(AND($M$33="Yes",FN79&gt;=$L$34,FN79&lt;=$L$35),$M$34*$M$36*SF_NRA/12*(1+$M$37)^(ROUNDUP((FN79-$L$34+1)/12,0)-1),0)</f>
        <v>38154.59955093</v>
      </c>
      <c r="FO82" s="0" t="n">
        <f aca="false">IF(AND($M$33="Yes",FO79&gt;=$L$34,FO79&lt;=$L$35),$M$34*$M$36*SF_NRA/12*(1+$M$37)^(ROUNDUP((FO79-$L$34+1)/12,0)-1),0)</f>
        <v>38154.59955093</v>
      </c>
      <c r="FP82" s="0" t="n">
        <f aca="false">IF(AND($M$33="Yes",FP79&gt;=$L$34,FP79&lt;=$L$35),$M$34*$M$36*SF_NRA/12*(1+$M$37)^(ROUNDUP((FP79-$L$34+1)/12,0)-1),0)</f>
        <v>38154.59955093</v>
      </c>
      <c r="FQ82" s="0" t="n">
        <f aca="false">IF(AND($M$33="Yes",FQ79&gt;=$L$34,FQ79&lt;=$L$35),$M$34*$M$36*SF_NRA/12*(1+$M$37)^(ROUNDUP((FQ79-$L$34+1)/12,0)-1),0)</f>
        <v>38154.59955093</v>
      </c>
      <c r="FR82" s="0" t="n">
        <f aca="false">IF(AND($M$33="Yes",FR79&gt;=$L$34,FR79&lt;=$L$35),$M$34*$M$36*SF_NRA/12*(1+$M$37)^(ROUNDUP((FR79-$L$34+1)/12,0)-1),0)</f>
        <v>0</v>
      </c>
      <c r="FS82" s="0" t="n">
        <f aca="false">IF(AND($M$33="Yes",FS79&gt;=$L$34,FS79&lt;=$L$35),$M$34*$M$36*SF_NRA/12*(1+$M$37)^(ROUNDUP((FS79-$L$34+1)/12,0)-1),0)</f>
        <v>0</v>
      </c>
      <c r="FT82" s="0" t="n">
        <f aca="false">IF(AND($M$33="Yes",FT79&gt;=$L$34,FT79&lt;=$L$35),$M$34*$M$36*SF_NRA/12*(1+$M$37)^(ROUNDUP((FT79-$L$34+1)/12,0)-1),0)</f>
        <v>0</v>
      </c>
      <c r="FU82" s="0" t="n">
        <f aca="false">IF(AND($M$33="Yes",FU79&gt;=$L$34,FU79&lt;=$L$35),$M$34*$M$36*SF_NRA/12*(1+$M$37)^(ROUNDUP((FU79-$L$34+1)/12,0)-1),0)</f>
        <v>0</v>
      </c>
      <c r="FV82" s="0" t="n">
        <f aca="false">IF(AND($M$33="Yes",FV79&gt;=$L$34,FV79&lt;=$L$35),$M$34*$M$36*SF_NRA/12*(1+$M$37)^(ROUNDUP((FV79-$L$34+1)/12,0)-1),0)</f>
        <v>0</v>
      </c>
      <c r="FW82" s="0" t="n">
        <f aca="false">IF(AND($M$33="Yes",FW79&gt;=$L$34,FW79&lt;=$L$35),$M$34*$M$36*SF_NRA/12*(1+$M$37)^(ROUNDUP((FW79-$L$34+1)/12,0)-1),0)</f>
        <v>0</v>
      </c>
      <c r="FX82" s="0" t="n">
        <f aca="false">IF(AND($M$33="Yes",FX79&gt;=$L$34,FX79&lt;=$L$35),$M$34*$M$36*SF_NRA/12*(1+$M$37)^(ROUNDUP((FX79-$L$34+1)/12,0)-1),0)</f>
        <v>0</v>
      </c>
      <c r="FY82" s="0" t="n">
        <f aca="false">IF(AND($M$33="Yes",FY79&gt;=$L$34,FY79&lt;=$L$35),$M$34*$M$36*SF_NRA/12*(1+$M$37)^(ROUNDUP((FY79-$L$34+1)/12,0)-1),0)</f>
        <v>0</v>
      </c>
      <c r="FZ82" s="0" t="n">
        <f aca="false">IF(AND($M$33="Yes",FZ79&gt;=$L$34,FZ79&lt;=$L$35),$M$34*$M$36*SF_NRA/12*(1+$M$37)^(ROUNDUP((FZ79-$L$34+1)/12,0)-1),0)</f>
        <v>0</v>
      </c>
      <c r="GA82" s="0" t="n">
        <f aca="false">IF(AND($M$33="Yes",GA79&gt;=$L$34,GA79&lt;=$L$35),$M$34*$M$36*SF_NRA/12*(1+$M$37)^(ROUNDUP((GA79-$L$34+1)/12,0)-1),0)</f>
        <v>0</v>
      </c>
      <c r="GB82" s="0" t="n">
        <f aca="false">IF(AND($M$33="Yes",GB79&gt;=$L$34,GB79&lt;=$L$35),$M$34*$M$36*SF_NRA/12*(1+$M$37)^(ROUNDUP((GB79-$L$34+1)/12,0)-1),0)</f>
        <v>0</v>
      </c>
      <c r="GC82" s="0" t="n">
        <f aca="false">IF(AND($M$33="Yes",GC79&gt;=$L$34,GC79&lt;=$L$35),$M$34*$M$36*SF_NRA/12*(1+$M$37)^(ROUNDUP((GC79-$L$34+1)/12,0)-1),0)</f>
        <v>0</v>
      </c>
      <c r="GD82" s="0" t="n">
        <f aca="false">IF(AND($M$33="Yes",GD79&gt;=$L$34,GD79&lt;=$L$35),$M$34*$M$36*SF_NRA/12*(1+$M$37)^(ROUNDUP((GD79-$L$34+1)/12,0)-1),0)</f>
        <v>0</v>
      </c>
      <c r="GE82" s="0" t="n">
        <f aca="false">IF(AND($M$33="Yes",GE79&gt;=$L$34,GE79&lt;=$L$35),$M$34*$M$36*SF_NRA/12*(1+$M$37)^(ROUNDUP((GE79-$L$34+1)/12,0)-1),0)</f>
        <v>0</v>
      </c>
      <c r="GF82" s="0" t="n">
        <f aca="false">IF(AND($M$33="Yes",GF79&gt;=$L$34,GF79&lt;=$L$35),$M$34*$M$36*SF_NRA/12*(1+$M$37)^(ROUNDUP((GF79-$L$34+1)/12,0)-1),0)</f>
        <v>0</v>
      </c>
      <c r="GG82" s="0" t="n">
        <f aca="false">IF(AND($M$33="Yes",GG79&gt;=$L$34,GG79&lt;=$L$35),$M$34*$M$36*SF_NRA/12*(1+$M$37)^(ROUNDUP((GG79-$L$34+1)/12,0)-1),0)</f>
        <v>0</v>
      </c>
      <c r="GH82" s="0" t="n">
        <f aca="false">IF(AND($M$33="Yes",GH79&gt;=$L$34,GH79&lt;=$L$35),$M$34*$M$36*SF_NRA/12*(1+$M$37)^(ROUNDUP((GH79-$L$34+1)/12,0)-1),0)</f>
        <v>0</v>
      </c>
      <c r="GI82" s="0" t="n">
        <f aca="false">IF(AND($M$33="Yes",GI79&gt;=$L$34,GI79&lt;=$L$35),$M$34*$M$36*SF_NRA/12*(1+$M$37)^(ROUNDUP((GI79-$L$34+1)/12,0)-1),0)</f>
        <v>0</v>
      </c>
      <c r="GJ82" s="0" t="n">
        <f aca="false">IF(AND($M$33="Yes",GJ79&gt;=$L$34,GJ79&lt;=$L$35),$M$34*$M$36*SF_NRA/12*(1+$M$37)^(ROUNDUP((GJ79-$L$34+1)/12,0)-1),0)</f>
        <v>0</v>
      </c>
      <c r="GK82" s="0" t="n">
        <f aca="false">IF(AND($M$33="Yes",GK79&gt;=$L$34,GK79&lt;=$L$35),$M$34*$M$36*SF_NRA/12*(1+$M$37)^(ROUNDUP((GK79-$L$34+1)/12,0)-1),0)</f>
        <v>0</v>
      </c>
      <c r="GL82" s="0" t="n">
        <f aca="false">IF(AND($M$33="Yes",GL79&gt;=$L$34,GL79&lt;=$L$35),$M$34*$M$36*SF_NRA/12*(1+$M$37)^(ROUNDUP((GL79-$L$34+1)/12,0)-1),0)</f>
        <v>0</v>
      </c>
      <c r="GM82" s="0" t="n">
        <f aca="false">IF(AND($M$33="Yes",GM79&gt;=$L$34,GM79&lt;=$L$35),$M$34*$M$36*SF_NRA/12*(1+$M$37)^(ROUNDUP((GM79-$L$34+1)/12,0)-1),0)</f>
        <v>0</v>
      </c>
      <c r="GN82" s="0" t="n">
        <f aca="false">IF(AND($M$33="Yes",GN79&gt;=$L$34,GN79&lt;=$L$35),$M$34*$M$36*SF_NRA/12*(1+$M$37)^(ROUNDUP((GN79-$L$34+1)/12,0)-1),0)</f>
        <v>0</v>
      </c>
      <c r="GO82" s="0" t="n">
        <f aca="false">IF(AND($M$33="Yes",GO79&gt;=$L$34,GO79&lt;=$L$35),$M$34*$M$36*SF_NRA/12*(1+$M$37)^(ROUNDUP((GO79-$L$34+1)/12,0)-1),0)</f>
        <v>0</v>
      </c>
      <c r="GP82" s="0" t="n">
        <f aca="false">IF(AND($M$33="Yes",GP79&gt;=$L$34,GP79&lt;=$L$35),$M$34*$M$36*SF_NRA/12*(1+$M$37)^(ROUNDUP((GP79-$L$34+1)/12,0)-1),0)</f>
        <v>0</v>
      </c>
      <c r="GQ82" s="0" t="n">
        <f aca="false">IF(AND($M$33="Yes",GQ79&gt;=$L$34,GQ79&lt;=$L$35),$M$34*$M$36*SF_NRA/12*(1+$M$37)^(ROUNDUP((GQ79-$L$34+1)/12,0)-1),0)</f>
        <v>0</v>
      </c>
      <c r="GR82" s="0" t="n">
        <f aca="false">IF(AND($M$33="Yes",GR79&gt;=$L$34,GR79&lt;=$L$35),$M$34*$M$36*SF_NRA/12*(1+$M$37)^(ROUNDUP((GR79-$L$34+1)/12,0)-1),0)</f>
        <v>0</v>
      </c>
      <c r="GS82" s="0" t="n">
        <f aca="false">IF(AND($M$33="Yes",GS79&gt;=$L$34,GS79&lt;=$L$35),$M$34*$M$36*SF_NRA/12*(1+$M$37)^(ROUNDUP((GS79-$L$34+1)/12,0)-1),0)</f>
        <v>0</v>
      </c>
      <c r="GT82" s="0" t="n">
        <f aca="false">IF(AND($M$33="Yes",GT79&gt;=$L$34,GT79&lt;=$L$35),$M$34*$M$36*SF_NRA/12*(1+$M$37)^(ROUNDUP((GT79-$L$34+1)/12,0)-1),0)</f>
        <v>0</v>
      </c>
      <c r="GU82" s="0" t="n">
        <f aca="false">IF(AND($M$33="Yes",GU79&gt;=$L$34,GU79&lt;=$L$35),$M$34*$M$36*SF_NRA/12*(1+$M$37)^(ROUNDUP((GU79-$L$34+1)/12,0)-1),0)</f>
        <v>0</v>
      </c>
      <c r="GV82" s="0" t="n">
        <f aca="false">IF(AND($M$33="Yes",GV79&gt;=$L$34,GV79&lt;=$L$35),$M$34*$M$36*SF_NRA/12*(1+$M$37)^(ROUNDUP((GV79-$L$34+1)/12,0)-1),0)</f>
        <v>0</v>
      </c>
      <c r="GW82" s="0" t="n">
        <f aca="false">IF(AND($M$33="Yes",GW79&gt;=$L$34,GW79&lt;=$L$35),$M$34*$M$36*SF_NRA/12*(1+$M$37)^(ROUNDUP((GW79-$L$34+1)/12,0)-1),0)</f>
        <v>0</v>
      </c>
      <c r="GX82" s="0" t="n">
        <f aca="false">IF(AND($M$33="Yes",GX79&gt;=$L$34,GX79&lt;=$L$35),$M$34*$M$36*SF_NRA/12*(1+$M$37)^(ROUNDUP((GX79-$L$34+1)/12,0)-1),0)</f>
        <v>0</v>
      </c>
      <c r="GY82" s="0" t="n">
        <f aca="false">IF(AND($M$33="Yes",GY79&gt;=$L$34,GY79&lt;=$L$35),$M$34*$M$36*SF_NRA/12*(1+$M$37)^(ROUNDUP((GY79-$L$34+1)/12,0)-1),0)</f>
        <v>0</v>
      </c>
      <c r="GZ82" s="0" t="n">
        <f aca="false">IF(AND($M$33="Yes",GZ79&gt;=$L$34,GZ79&lt;=$L$35),$M$34*$M$36*SF_NRA/12*(1+$M$37)^(ROUNDUP((GZ79-$L$34+1)/12,0)-1),0)</f>
        <v>0</v>
      </c>
      <c r="HA82" s="0" t="n">
        <f aca="false">IF(AND($M$33="Yes",HA79&gt;=$L$34,HA79&lt;=$L$35),$M$34*$M$36*SF_NRA/12*(1+$M$37)^(ROUNDUP((HA79-$L$34+1)/12,0)-1),0)</f>
        <v>0</v>
      </c>
      <c r="HB82" s="0" t="n">
        <f aca="false">IF(AND($M$33="Yes",HB79&gt;=$L$34,HB79&lt;=$L$35),$M$34*$M$36*SF_NRA/12*(1+$M$37)^(ROUNDUP((HB79-$L$34+1)/12,0)-1),0)</f>
        <v>0</v>
      </c>
      <c r="HC82" s="0" t="n">
        <f aca="false">IF(AND($M$33="Yes",HC79&gt;=$L$34,HC79&lt;=$L$35),$M$34*$M$36*SF_NRA/12*(1+$M$37)^(ROUNDUP((HC79-$L$34+1)/12,0)-1),0)</f>
        <v>0</v>
      </c>
      <c r="HD82" s="0" t="n">
        <f aca="false">IF(AND($M$33="Yes",HD79&gt;=$L$34,HD79&lt;=$L$35),$M$34*$M$36*SF_NRA/12*(1+$M$37)^(ROUNDUP((HD79-$L$34+1)/12,0)-1),0)</f>
        <v>0</v>
      </c>
      <c r="HE82" s="0" t="n">
        <f aca="false">IF(AND($M$33="Yes",HE79&gt;=$L$34,HE79&lt;=$L$35),$M$34*$M$36*SF_NRA/12*(1+$M$37)^(ROUNDUP((HE79-$L$34+1)/12,0)-1),0)</f>
        <v>0</v>
      </c>
      <c r="HF82" s="0" t="n">
        <f aca="false">IF(AND($M$33="Yes",HF79&gt;=$L$34,HF79&lt;=$L$35),$M$34*$M$36*SF_NRA/12*(1+$M$37)^(ROUNDUP((HF79-$L$34+1)/12,0)-1),0)</f>
        <v>0</v>
      </c>
      <c r="HG82" s="0" t="n">
        <f aca="false">IF(AND($M$33="Yes",HG79&gt;=$L$34,HG79&lt;=$L$35),$M$34*$M$36*SF_NRA/12*(1+$M$37)^(ROUNDUP((HG79-$L$34+1)/12,0)-1),0)</f>
        <v>0</v>
      </c>
      <c r="HH82" s="0" t="n">
        <f aca="false">IF(AND($M$33="Yes",HH79&gt;=$L$34,HH79&lt;=$L$35),$M$34*$M$36*SF_NRA/12*(1+$M$37)^(ROUNDUP((HH79-$L$34+1)/12,0)-1),0)</f>
        <v>0</v>
      </c>
      <c r="HI82" s="0" t="n">
        <f aca="false">IF(AND($M$33="Yes",HI79&gt;=$L$34,HI79&lt;=$L$35),$M$34*$M$36*SF_NRA/12*(1+$M$37)^(ROUNDUP((HI79-$L$34+1)/12,0)-1),0)</f>
        <v>0</v>
      </c>
      <c r="HJ82" s="0" t="n">
        <f aca="false">IF(AND($M$33="Yes",HJ79&gt;=$L$34,HJ79&lt;=$L$35),$M$34*$M$36*SF_NRA/12*(1+$M$37)^(ROUNDUP((HJ79-$L$34+1)/12,0)-1),0)</f>
        <v>0</v>
      </c>
      <c r="HK82" s="0" t="n">
        <f aca="false">IF(AND($M$33="Yes",HK79&gt;=$L$34,HK79&lt;=$L$35),$M$34*$M$36*SF_NRA/12*(1+$M$37)^(ROUNDUP((HK79-$L$34+1)/12,0)-1),0)</f>
        <v>0</v>
      </c>
      <c r="HL82" s="0" t="n">
        <f aca="false">IF(AND($M$33="Yes",HL79&gt;=$L$34,HL79&lt;=$L$35),$M$34*$M$36*SF_NRA/12*(1+$M$37)^(ROUNDUP((HL79-$L$34+1)/12,0)-1),0)</f>
        <v>0</v>
      </c>
      <c r="HM82" s="0" t="n">
        <f aca="false">IF(AND($M$33="Yes",HM79&gt;=$L$34,HM79&lt;=$L$35),$M$34*$M$36*SF_NRA/12*(1+$M$37)^(ROUNDUP((HM79-$L$34+1)/12,0)-1),0)</f>
        <v>0</v>
      </c>
      <c r="HN82" s="0" t="n">
        <f aca="false">IF(AND($M$33="Yes",HN79&gt;=$L$34,HN79&lt;=$L$35),$M$34*$M$36*SF_NRA/12*(1+$M$37)^(ROUNDUP((HN79-$L$34+1)/12,0)-1),0)</f>
        <v>0</v>
      </c>
      <c r="HO82" s="0" t="n">
        <f aca="false">IF(AND($M$33="Yes",HO79&gt;=$L$34,HO79&lt;=$L$35),$M$34*$M$36*SF_NRA/12*(1+$M$37)^(ROUNDUP((HO79-$L$34+1)/12,0)-1),0)</f>
        <v>0</v>
      </c>
      <c r="HP82" s="0" t="n">
        <f aca="false">IF(AND($M$33="Yes",HP79&gt;=$L$34,HP79&lt;=$L$35),$M$34*$M$36*SF_NRA/12*(1+$M$37)^(ROUNDUP((HP79-$L$34+1)/12,0)-1),0)</f>
        <v>0</v>
      </c>
      <c r="HQ82" s="0" t="n">
        <f aca="false">IF(AND($M$33="Yes",HQ79&gt;=$L$34,HQ79&lt;=$L$35),$M$34*$M$36*SF_NRA/12*(1+$M$37)^(ROUNDUP((HQ79-$L$34+1)/12,0)-1),0)</f>
        <v>0</v>
      </c>
      <c r="HR82" s="0" t="n">
        <f aca="false">IF(AND($M$33="Yes",HR79&gt;=$L$34,HR79&lt;=$L$35),$M$34*$M$36*SF_NRA/12*(1+$M$37)^(ROUNDUP((HR79-$L$34+1)/12,0)-1),0)</f>
        <v>0</v>
      </c>
      <c r="HS82" s="0" t="n">
        <f aca="false">IF(AND($M$33="Yes",HS79&gt;=$L$34,HS79&lt;=$L$35),$M$34*$M$36*SF_NRA/12*(1+$M$37)^(ROUNDUP((HS79-$L$34+1)/12,0)-1),0)</f>
        <v>0</v>
      </c>
      <c r="HT82" s="0" t="n">
        <f aca="false">IF(AND($M$33="Yes",HT79&gt;=$L$34,HT79&lt;=$L$35),$M$34*$M$36*SF_NRA/12*(1+$M$37)^(ROUNDUP((HT79-$L$34+1)/12,0)-1),0)</f>
        <v>0</v>
      </c>
      <c r="HU82" s="0" t="n">
        <f aca="false">IF(AND($M$33="Yes",HU79&gt;=$L$34,HU79&lt;=$L$35),$M$34*$M$36*SF_NRA/12*(1+$M$37)^(ROUNDUP((HU79-$L$34+1)/12,0)-1),0)</f>
        <v>0</v>
      </c>
      <c r="HV82" s="0" t="n">
        <f aca="false">IF(AND($M$33="Yes",HV79&gt;=$L$34,HV79&lt;=$L$35),$M$34*$M$36*SF_NRA/12*(1+$M$37)^(ROUNDUP((HV79-$L$34+1)/12,0)-1),0)</f>
        <v>0</v>
      </c>
      <c r="HW82" s="0" t="n">
        <f aca="false">IF(AND($M$33="Yes",HW79&gt;=$L$34,HW79&lt;=$L$35),$M$34*$M$36*SF_NRA/12*(1+$M$37)^(ROUNDUP((HW79-$L$34+1)/12,0)-1),0)</f>
        <v>0</v>
      </c>
      <c r="HX82" s="0" t="n">
        <f aca="false">IF(AND($M$33="Yes",HX79&gt;=$L$34,HX79&lt;=$L$35),$M$34*$M$36*SF_NRA/12*(1+$M$37)^(ROUNDUP((HX79-$L$34+1)/12,0)-1),0)</f>
        <v>0</v>
      </c>
      <c r="HY82" s="0" t="n">
        <f aca="false">IF(AND($M$33="Yes",HY79&gt;=$L$34,HY79&lt;=$L$35),$M$34*$M$36*SF_NRA/12*(1+$M$37)^(ROUNDUP((HY79-$L$34+1)/12,0)-1),0)</f>
        <v>0</v>
      </c>
      <c r="HZ82" s="0" t="n">
        <f aca="false">IF(AND($M$33="Yes",HZ79&gt;=$L$34,HZ79&lt;=$L$35),$M$34*$M$36*SF_NRA/12*(1+$M$37)^(ROUNDUP((HZ79-$L$34+1)/12,0)-1),0)</f>
        <v>0</v>
      </c>
      <c r="IA82" s="0" t="n">
        <f aca="false">IF(AND($M$33="Yes",IA79&gt;=$L$34,IA79&lt;=$L$35),$M$34*$M$36*SF_NRA/12*(1+$M$37)^(ROUNDUP((IA79-$L$34+1)/12,0)-1),0)</f>
        <v>0</v>
      </c>
      <c r="IB82" s="0" t="n">
        <f aca="false">IF(AND($M$33="Yes",IB79&gt;=$L$34,IB79&lt;=$L$35),$M$34*$M$36*SF_NRA/12*(1+$M$37)^(ROUNDUP((IB79-$L$34+1)/12,0)-1),0)</f>
        <v>0</v>
      </c>
      <c r="IC82" s="0" t="n">
        <f aca="false">IF(AND($M$33="Yes",IC79&gt;=$L$34,IC79&lt;=$L$35),$M$34*$M$36*SF_NRA/12*(1+$M$37)^(ROUNDUP((IC79-$L$34+1)/12,0)-1),0)</f>
        <v>0</v>
      </c>
      <c r="ID82" s="0" t="n">
        <f aca="false">IF(AND($M$33="Yes",ID79&gt;=$L$34,ID79&lt;=$L$35),$M$34*$M$36*SF_NRA/12*(1+$M$37)^(ROUNDUP((ID79-$L$34+1)/12,0)-1),0)</f>
        <v>0</v>
      </c>
      <c r="IE82" s="0" t="n">
        <f aca="false">IF(AND($M$33="Yes",IE79&gt;=$L$34,IE79&lt;=$L$35),$M$34*$M$36*SF_NRA/12*(1+$M$37)^(ROUNDUP((IE79-$L$34+1)/12,0)-1),0)</f>
        <v>0</v>
      </c>
      <c r="IF82" s="0" t="n">
        <f aca="false">IF(AND($M$33="Yes",IF79&gt;=$L$34,IF79&lt;=$L$35),$M$34*$M$36*SF_NRA/12*(1+$M$37)^(ROUNDUP((IF79-$L$34+1)/12,0)-1),0)</f>
        <v>0</v>
      </c>
      <c r="IG82" s="0" t="n">
        <f aca="false">IF(AND($M$33="Yes",IG79&gt;=$L$34,IG79&lt;=$L$35),$M$34*$M$36*SF_NRA/12*(1+$M$37)^(ROUNDUP((IG79-$L$34+1)/12,0)-1),0)</f>
        <v>0</v>
      </c>
      <c r="IH82" s="0" t="n">
        <f aca="false">IF(AND($M$33="Yes",IH79&gt;=$L$34,IH79&lt;=$L$35),$M$34*$M$36*SF_NRA/12*(1+$M$37)^(ROUNDUP((IH79-$L$34+1)/12,0)-1),0)</f>
        <v>0</v>
      </c>
      <c r="II82" s="0" t="n">
        <f aca="false">IF(AND($M$33="Yes",II79&gt;=$L$34,II79&lt;=$L$35),$M$34*$M$36*SF_NRA/12*(1+$M$37)^(ROUNDUP((II79-$L$34+1)/12,0)-1),0)</f>
        <v>0</v>
      </c>
      <c r="IJ82" s="0" t="n">
        <f aca="false">IF(AND($M$33="Yes",IJ79&gt;=$L$34,IJ79&lt;=$L$35),$M$34*$M$36*SF_NRA/12*(1+$M$37)^(ROUNDUP((IJ79-$L$34+1)/12,0)-1),0)</f>
        <v>0</v>
      </c>
      <c r="IK82" s="0" t="n">
        <f aca="false">IF(AND($M$33="Yes",IK79&gt;=$L$34,IK79&lt;=$L$35),$M$34*$M$36*SF_NRA/12*(1+$M$37)^(ROUNDUP((IK79-$L$34+1)/12,0)-1),0)</f>
        <v>0</v>
      </c>
      <c r="IL82" s="0" t="n">
        <f aca="false">IF(AND($M$33="Yes",IL79&gt;=$L$34,IL79&lt;=$L$35),$M$34*$M$36*SF_NRA/12*(1+$M$37)^(ROUNDUP((IL79-$L$34+1)/12,0)-1),0)</f>
        <v>0</v>
      </c>
      <c r="IM82" s="0" t="n">
        <f aca="false">IF(AND($M$33="Yes",IM79&gt;=$L$34,IM79&lt;=$L$35),$M$34*$M$36*SF_NRA/12*(1+$M$37)^(ROUNDUP((IM79-$L$34+1)/12,0)-1),0)</f>
        <v>0</v>
      </c>
      <c r="IN82" s="0" t="n">
        <f aca="false">IF(AND($M$33="Yes",IN79&gt;=$L$34,IN79&lt;=$L$35),$M$34*$M$36*SF_NRA/12*(1+$M$37)^(ROUNDUP((IN79-$L$34+1)/12,0)-1),0)</f>
        <v>0</v>
      </c>
      <c r="IO82" s="0" t="n">
        <f aca="false">IF(AND($M$33="Yes",IO79&gt;=$L$34,IO79&lt;=$L$35),$M$34*$M$36*SF_NRA/12*(1+$M$37)^(ROUNDUP((IO79-$L$34+1)/12,0)-1),0)</f>
        <v>0</v>
      </c>
      <c r="IP82" s="0" t="n">
        <f aca="false">IF(AND($M$33="Yes",IP79&gt;=$L$34,IP79&lt;=$L$35),$M$34*$M$36*SF_NRA/12*(1+$M$37)^(ROUNDUP((IP79-$L$34+1)/12,0)-1),0)</f>
        <v>0</v>
      </c>
      <c r="IQ82" s="0" t="n">
        <f aca="false">IF(AND($M$33="Yes",IQ79&gt;=$L$34,IQ79&lt;=$L$35),$M$34*$M$36*SF_NRA/12*(1+$M$37)^(ROUNDUP((IQ79-$L$34+1)/12,0)-1),0)</f>
        <v>0</v>
      </c>
      <c r="IR82" s="0" t="n">
        <f aca="false">IF(AND($M$33="Yes",IR79&gt;=$L$34,IR79&lt;=$L$35),$M$34*$M$36*SF_NRA/12*(1+$M$37)^(ROUNDUP((IR79-$L$34+1)/12,0)-1),0)</f>
        <v>0</v>
      </c>
      <c r="IS82" s="0" t="n">
        <f aca="false">IF(AND($M$33="Yes",IS79&gt;=$L$34,IS79&lt;=$L$35),$M$34*$M$36*SF_NRA/12*(1+$M$37)^(ROUNDUP((IS79-$L$34+1)/12,0)-1),0)</f>
        <v>0</v>
      </c>
      <c r="IT82" s="0" t="n">
        <f aca="false">IF(AND($M$33="Yes",IT79&gt;=$L$34,IT79&lt;=$L$35),$M$34*$M$36*SF_NRA/12*(1+$M$37)^(ROUNDUP((IT79-$L$34+1)/12,0)-1),0)</f>
        <v>0</v>
      </c>
      <c r="IU82" s="0" t="n">
        <f aca="false">IF(AND($M$33="Yes",IU79&gt;=$L$34,IU79&lt;=$L$35),$M$34*$M$36*SF_NRA/12*(1+$M$37)^(ROUNDUP((IU79-$L$34+1)/12,0)-1),0)</f>
        <v>0</v>
      </c>
      <c r="IV82" s="0" t="n">
        <f aca="false">IF(AND($M$33="Yes",IV79&gt;=$L$34,IV79&lt;=$L$35),$M$34*$M$36*SF_NRA/12*(1+$M$37)^(ROUNDUP((IV79-$L$34+1)/12,0)-1),0)</f>
        <v>0</v>
      </c>
      <c r="IW82" s="0" t="n">
        <f aca="false">IF(AND($M$33="Yes",IW79&gt;=$L$34,IW79&lt;=$L$35),$M$34*$M$36*SF_NRA/12*(1+$M$37)^(ROUNDUP((IW79-$L$34+1)/12,0)-1),0)</f>
        <v>0</v>
      </c>
    </row>
    <row r="83" customFormat="false" ht="15" hidden="false" customHeight="false" outlineLevel="0" collapsed="false">
      <c r="P83" s="0" t="s">
        <v>91</v>
      </c>
      <c r="Q83" s="0" t="n">
        <v>0</v>
      </c>
      <c r="R83" s="0" t="n">
        <f aca="false">IF(AND($M$33="Yes",R79&gt;=$L$34+ROUND($M$44,0),R79&lt;=$L$35),(1-$M$34)*$M$43*SF_NRA/12,0)</f>
        <v>0</v>
      </c>
      <c r="S83" s="0" t="n">
        <f aca="false">IF(AND($M$33="Yes",S79&gt;=$L$34+ROUND($M$44,0),S79&lt;=$L$35),(1-$M$34)*$M$43*SF_NRA/12,0)</f>
        <v>0</v>
      </c>
      <c r="T83" s="0" t="n">
        <f aca="false">IF(AND($M$33="Yes",T79&gt;=$L$34+ROUND($M$44,0),T79&lt;=$L$35),(1-$M$34)*$M$43*SF_NRA/12,0)</f>
        <v>0</v>
      </c>
      <c r="U83" s="0" t="n">
        <f aca="false">IF(AND($M$33="Yes",U79&gt;=$L$34+ROUND($M$44,0),U79&lt;=$L$35),(1-$M$34)*$M$43*SF_NRA/12,0)</f>
        <v>0</v>
      </c>
      <c r="V83" s="0" t="n">
        <f aca="false">IF(AND($M$33="Yes",V79&gt;=$L$34+ROUND($M$44,0),V79&lt;=$L$35),(1-$M$34)*$M$43*SF_NRA/12,0)</f>
        <v>0</v>
      </c>
      <c r="W83" s="0" t="n">
        <f aca="false">IF(AND($M$33="Yes",W79&gt;=$L$34+ROUND($M$44,0),W79&lt;=$L$35),(1-$M$34)*$M$43*SF_NRA/12,0)</f>
        <v>0</v>
      </c>
      <c r="X83" s="0" t="n">
        <f aca="false">IF(AND($M$33="Yes",X79&gt;=$L$34+ROUND($M$44,0),X79&lt;=$L$35),(1-$M$34)*$M$43*SF_NRA/12,0)</f>
        <v>0</v>
      </c>
      <c r="Y83" s="0" t="n">
        <f aca="false">IF(AND($M$33="Yes",Y79&gt;=$L$34+ROUND($M$44,0),Y79&lt;=$L$35),(1-$M$34)*$M$43*SF_NRA/12,0)</f>
        <v>0</v>
      </c>
      <c r="Z83" s="0" t="n">
        <f aca="false">IF(AND($M$33="Yes",Z79&gt;=$L$34+ROUND($M$44,0),Z79&lt;=$L$35),(1-$M$34)*$M$43*SF_NRA/12,0)</f>
        <v>0</v>
      </c>
      <c r="AA83" s="0" t="n">
        <f aca="false">IF(AND($M$33="Yes",AA79&gt;=$L$34+ROUND($M$44,0),AA79&lt;=$L$35),(1-$M$34)*$M$43*SF_NRA/12,0)</f>
        <v>0</v>
      </c>
      <c r="AB83" s="0" t="n">
        <f aca="false">IF(AND($M$33="Yes",AB79&gt;=$L$34+ROUND($M$44,0),AB79&lt;=$L$35),(1-$M$34)*$M$43*SF_NRA/12,0)</f>
        <v>0</v>
      </c>
      <c r="AC83" s="0" t="n">
        <f aca="false">IF(AND($M$33="Yes",AC79&gt;=$L$34+ROUND($M$44,0),AC79&lt;=$L$35),(1-$M$34)*$M$43*SF_NRA/12,0)</f>
        <v>0</v>
      </c>
      <c r="AD83" s="0" t="n">
        <f aca="false">IF(AND($M$33="Yes",AD79&gt;=$L$34+ROUND($M$44,0),AD79&lt;=$L$35),(1-$M$34)*$M$43*SF_NRA/12,0)</f>
        <v>0</v>
      </c>
      <c r="AE83" s="0" t="n">
        <f aca="false">IF(AND($M$33="Yes",AE79&gt;=$L$34+ROUND($M$44,0),AE79&lt;=$L$35),(1-$M$34)*$M$43*SF_NRA/12,0)</f>
        <v>0</v>
      </c>
      <c r="AF83" s="0" t="n">
        <f aca="false">IF(AND($M$33="Yes",AF79&gt;=$L$34+ROUND($M$44,0),AF79&lt;=$L$35),(1-$M$34)*$M$43*SF_NRA/12,0)</f>
        <v>0</v>
      </c>
      <c r="AG83" s="0" t="n">
        <f aca="false">IF(AND($M$33="Yes",AG79&gt;=$L$34+ROUND($M$44,0),AG79&lt;=$L$35),(1-$M$34)*$M$43*SF_NRA/12,0)</f>
        <v>0</v>
      </c>
      <c r="AH83" s="0" t="n">
        <f aca="false">IF(AND($M$33="Yes",AH79&gt;=$L$34+ROUND($M$44,0),AH79&lt;=$L$35),(1-$M$34)*$M$43*SF_NRA/12,0)</f>
        <v>0</v>
      </c>
      <c r="AI83" s="0" t="n">
        <f aca="false">IF(AND($M$33="Yes",AI79&gt;=$L$34+ROUND($M$44,0),AI79&lt;=$L$35),(1-$M$34)*$M$43*SF_NRA/12,0)</f>
        <v>0</v>
      </c>
      <c r="AJ83" s="0" t="n">
        <f aca="false">IF(AND($M$33="Yes",AJ79&gt;=$L$34+ROUND($M$44,0),AJ79&lt;=$L$35),(1-$M$34)*$M$43*SF_NRA/12,0)</f>
        <v>0</v>
      </c>
      <c r="AK83" s="0" t="n">
        <f aca="false">IF(AND($M$33="Yes",AK79&gt;=$L$34+ROUND($M$44,0),AK79&lt;=$L$35),(1-$M$34)*$M$43*SF_NRA/12,0)</f>
        <v>0</v>
      </c>
      <c r="AL83" s="0" t="n">
        <f aca="false">IF(AND($M$33="Yes",AL79&gt;=$L$34+ROUND($M$44,0),AL79&lt;=$L$35),(1-$M$34)*$M$43*SF_NRA/12,0)</f>
        <v>0</v>
      </c>
      <c r="AM83" s="0" t="n">
        <f aca="false">IF(AND($M$33="Yes",AM79&gt;=$L$34+ROUND($M$44,0),AM79&lt;=$L$35),(1-$M$34)*$M$43*SF_NRA/12,0)</f>
        <v>0</v>
      </c>
      <c r="AN83" s="0" t="n">
        <f aca="false">IF(AND($M$33="Yes",AN79&gt;=$L$34+ROUND($M$44,0),AN79&lt;=$L$35),(1-$M$34)*$M$43*SF_NRA/12,0)</f>
        <v>0</v>
      </c>
      <c r="AO83" s="0" t="n">
        <f aca="false">IF(AND($M$33="Yes",AO79&gt;=$L$34+ROUND($M$44,0),AO79&lt;=$L$35),(1-$M$34)*$M$43*SF_NRA/12,0)</f>
        <v>0</v>
      </c>
      <c r="AP83" s="0" t="n">
        <f aca="false">IF(AND($M$33="Yes",AP79&gt;=$L$34+ROUND($M$44,0),AP79&lt;=$L$35),(1-$M$34)*$M$43*SF_NRA/12,0)</f>
        <v>0</v>
      </c>
      <c r="AQ83" s="0" t="n">
        <f aca="false">IF(AND($M$33="Yes",AQ79&gt;=$L$34+ROUND($M$44,0),AQ79&lt;=$L$35),(1-$M$34)*$M$43*SF_NRA/12,0)</f>
        <v>0</v>
      </c>
      <c r="AR83" s="0" t="n">
        <f aca="false">IF(AND($M$33="Yes",AR79&gt;=$L$34+ROUND($M$44,0),AR79&lt;=$L$35),(1-$M$34)*$M$43*SF_NRA/12,0)</f>
        <v>0</v>
      </c>
      <c r="AS83" s="0" t="n">
        <f aca="false">IF(AND($M$33="Yes",AS79&gt;=$L$34+ROUND($M$44,0),AS79&lt;=$L$35),(1-$M$34)*$M$43*SF_NRA/12,0)</f>
        <v>0</v>
      </c>
      <c r="AT83" s="0" t="n">
        <f aca="false">IF(AND($M$33="Yes",AT79&gt;=$L$34+ROUND($M$44,0),AT79&lt;=$L$35),(1-$M$34)*$M$43*SF_NRA/12,0)</f>
        <v>0</v>
      </c>
      <c r="AU83" s="0" t="n">
        <f aca="false">IF(AND($M$33="Yes",AU79&gt;=$L$34+ROUND($M$44,0),AU79&lt;=$L$35),(1-$M$34)*$M$43*SF_NRA/12,0)</f>
        <v>0</v>
      </c>
      <c r="AV83" s="0" t="n">
        <f aca="false">IF(AND($M$33="Yes",AV79&gt;=$L$34+ROUND($M$44,0),AV79&lt;=$L$35),(1-$M$34)*$M$43*SF_NRA/12,0)</f>
        <v>0</v>
      </c>
      <c r="AW83" s="0" t="n">
        <f aca="false">IF(AND($M$33="Yes",AW79&gt;=$L$34+ROUND($M$44,0),AW79&lt;=$L$35),(1-$M$34)*$M$43*SF_NRA/12,0)</f>
        <v>0</v>
      </c>
      <c r="AX83" s="0" t="n">
        <f aca="false">IF(AND($M$33="Yes",AX79&gt;=$L$34+ROUND($M$44,0),AX79&lt;=$L$35),(1-$M$34)*$M$43*SF_NRA/12,0)</f>
        <v>0</v>
      </c>
      <c r="AY83" s="0" t="n">
        <f aca="false">IF(AND($M$33="Yes",AY79&gt;=$L$34+ROUND($M$44,0),AY79&lt;=$L$35),(1-$M$34)*$M$43*SF_NRA/12,0)</f>
        <v>0</v>
      </c>
      <c r="AZ83" s="0" t="n">
        <f aca="false">IF(AND($M$33="Yes",AZ79&gt;=$L$34+ROUND($M$44,0),AZ79&lt;=$L$35),(1-$M$34)*$M$43*SF_NRA/12,0)</f>
        <v>0</v>
      </c>
      <c r="BA83" s="0" t="n">
        <f aca="false">IF(AND($M$33="Yes",BA79&gt;=$L$34+ROUND($M$44,0),BA79&lt;=$L$35),(1-$M$34)*$M$43*SF_NRA/12,0)</f>
        <v>0</v>
      </c>
      <c r="BB83" s="0" t="n">
        <f aca="false">IF(AND($M$33="Yes",BB79&gt;=$L$34+ROUND($M$44,0),BB79&lt;=$L$35),(1-$M$34)*$M$43*SF_NRA/12,0)</f>
        <v>0</v>
      </c>
      <c r="BC83" s="0" t="n">
        <f aca="false">IF(AND($M$33="Yes",BC79&gt;=$L$34+ROUND($M$44,0),BC79&lt;=$L$35),(1-$M$34)*$M$43*SF_NRA/12,0)</f>
        <v>0</v>
      </c>
      <c r="BD83" s="0" t="n">
        <f aca="false">IF(AND($M$33="Yes",BD79&gt;=$L$34+ROUND($M$44,0),BD79&lt;=$L$35),(1-$M$34)*$M$43*SF_NRA/12,0)</f>
        <v>0</v>
      </c>
      <c r="BE83" s="0" t="n">
        <f aca="false">IF(AND($M$33="Yes",BE79&gt;=$L$34+ROUND($M$44,0),BE79&lt;=$L$35),(1-$M$34)*$M$43*SF_NRA/12,0)</f>
        <v>0</v>
      </c>
      <c r="BF83" s="0" t="n">
        <f aca="false">IF(AND($M$33="Yes",BF79&gt;=$L$34+ROUND($M$44,0),BF79&lt;=$L$35),(1-$M$34)*$M$43*SF_NRA/12,0)</f>
        <v>0</v>
      </c>
      <c r="BG83" s="0" t="n">
        <f aca="false">IF(AND($M$33="Yes",BG79&gt;=$L$34+ROUND($M$44,0),BG79&lt;=$L$35),(1-$M$34)*$M$43*SF_NRA/12,0)</f>
        <v>0</v>
      </c>
      <c r="BH83" s="0" t="n">
        <f aca="false">IF(AND($M$33="Yes",BH79&gt;=$L$34+ROUND($M$44,0),BH79&lt;=$L$35),(1-$M$34)*$M$43*SF_NRA/12,0)</f>
        <v>0</v>
      </c>
      <c r="BI83" s="0" t="n">
        <f aca="false">IF(AND($M$33="Yes",BI79&gt;=$L$34+ROUND($M$44,0),BI79&lt;=$L$35),(1-$M$34)*$M$43*SF_NRA/12,0)</f>
        <v>0</v>
      </c>
      <c r="BJ83" s="0" t="n">
        <f aca="false">IF(AND($M$33="Yes",BJ79&gt;=$L$34+ROUND($M$44,0),BJ79&lt;=$L$35),(1-$M$34)*$M$43*SF_NRA/12,0)</f>
        <v>0</v>
      </c>
      <c r="BK83" s="0" t="n">
        <f aca="false">IF(AND($M$33="Yes",BK79&gt;=$L$34+ROUND($M$44,0),BK79&lt;=$L$35),(1-$M$34)*$M$43*SF_NRA/12,0)</f>
        <v>0</v>
      </c>
      <c r="BL83" s="0" t="n">
        <f aca="false">IF(AND($M$33="Yes",BL79&gt;=$L$34+ROUND($M$44,0),BL79&lt;=$L$35),(1-$M$34)*$M$43*SF_NRA/12,0)</f>
        <v>0</v>
      </c>
      <c r="BM83" s="0" t="n">
        <f aca="false">IF(AND($M$33="Yes",BM79&gt;=$L$34+ROUND($M$44,0),BM79&lt;=$L$35),(1-$M$34)*$M$43*SF_NRA/12,0)</f>
        <v>0</v>
      </c>
      <c r="BN83" s="0" t="n">
        <f aca="false">IF(AND($M$33="Yes",BN79&gt;=$L$34+ROUND($M$44,0),BN79&lt;=$L$35),(1-$M$34)*$M$43*SF_NRA/12,0)</f>
        <v>0</v>
      </c>
      <c r="BO83" s="0" t="n">
        <f aca="false">IF(AND($M$33="Yes",BO79&gt;=$L$34+ROUND($M$44,0),BO79&lt;=$L$35),(1-$M$34)*$M$43*SF_NRA/12,0)</f>
        <v>0</v>
      </c>
      <c r="BP83" s="0" t="n">
        <f aca="false">IF(AND($M$33="Yes",BP79&gt;=$L$34+ROUND($M$44,0),BP79&lt;=$L$35),(1-$M$34)*$M$43*SF_NRA/12,0)</f>
        <v>0</v>
      </c>
      <c r="BQ83" s="0" t="n">
        <f aca="false">IF(AND($M$33="Yes",BQ79&gt;=$L$34+ROUND($M$44,0),BQ79&lt;=$L$35),(1-$M$34)*$M$43*SF_NRA/12,0)</f>
        <v>0</v>
      </c>
      <c r="BR83" s="0" t="n">
        <f aca="false">IF(AND($M$33="Yes",BR79&gt;=$L$34+ROUND($M$44,0),BR79&lt;=$L$35),(1-$M$34)*$M$43*SF_NRA/12,0)</f>
        <v>0</v>
      </c>
      <c r="BS83" s="0" t="n">
        <f aca="false">IF(AND($M$33="Yes",BS79&gt;=$L$34+ROUND($M$44,0),BS79&lt;=$L$35),(1-$M$34)*$M$43*SF_NRA/12,0)</f>
        <v>0</v>
      </c>
      <c r="BT83" s="0" t="n">
        <f aca="false">IF(AND($M$33="Yes",BT79&gt;=$L$34+ROUND($M$44,0),BT79&lt;=$L$35),(1-$M$34)*$M$43*SF_NRA/12,0)</f>
        <v>0</v>
      </c>
      <c r="BU83" s="0" t="n">
        <f aca="false">IF(AND($M$33="Yes",BU79&gt;=$L$34+ROUND($M$44,0),BU79&lt;=$L$35),(1-$M$34)*$M$43*SF_NRA/12,0)</f>
        <v>0</v>
      </c>
      <c r="BV83" s="0" t="n">
        <f aca="false">IF(AND($M$33="Yes",BV79&gt;=$L$34+ROUND($M$44,0),BV79&lt;=$L$35),(1-$M$34)*$M$43*SF_NRA/12,0)</f>
        <v>0</v>
      </c>
      <c r="BW83" s="0" t="n">
        <f aca="false">IF(AND($M$33="Yes",BW79&gt;=$L$34+ROUND($M$44,0),BW79&lt;=$L$35),(1-$M$34)*$M$43*SF_NRA/12,0)</f>
        <v>0</v>
      </c>
      <c r="BX83" s="0" t="n">
        <f aca="false">IF(AND($M$33="Yes",BX79&gt;=$L$34+ROUND($M$44,0),BX79&lt;=$L$35),(1-$M$34)*$M$43*SF_NRA/12,0)</f>
        <v>0</v>
      </c>
      <c r="BY83" s="0" t="n">
        <f aca="false">IF(AND($M$33="Yes",BY79&gt;=$L$34+ROUND($M$44,0),BY79&lt;=$L$35),(1-$M$34)*$M$43*SF_NRA/12,0)</f>
        <v>0</v>
      </c>
      <c r="BZ83" s="0" t="n">
        <f aca="false">IF(AND($M$33="Yes",BZ79&gt;=$L$34+ROUND($M$44,0),BZ79&lt;=$L$35),(1-$M$34)*$M$43*SF_NRA/12,0)</f>
        <v>0</v>
      </c>
      <c r="CA83" s="0" t="n">
        <f aca="false">IF(AND($M$33="Yes",CA79&gt;=$L$34+ROUND($M$44,0),CA79&lt;=$L$35),(1-$M$34)*$M$43*SF_NRA/12,0)</f>
        <v>0</v>
      </c>
      <c r="CB83" s="0" t="n">
        <f aca="false">IF(AND($M$33="Yes",CB79&gt;=$L$34+ROUND($M$44,0),CB79&lt;=$L$35),(1-$M$34)*$M$43*SF_NRA/12,0)</f>
        <v>0</v>
      </c>
      <c r="CC83" s="0" t="n">
        <f aca="false">IF(AND($M$33="Yes",CC79&gt;=$L$34+ROUND($M$44,0),CC79&lt;=$L$35),(1-$M$34)*$M$43*SF_NRA/12,0)</f>
        <v>0</v>
      </c>
      <c r="CD83" s="0" t="n">
        <f aca="false">IF(AND($M$33="Yes",CD79&gt;=$L$34+ROUND($M$44,0),CD79&lt;=$L$35),(1-$M$34)*$M$43*SF_NRA/12,0)</f>
        <v>0</v>
      </c>
      <c r="CE83" s="0" t="n">
        <f aca="false">IF(AND($M$33="Yes",CE79&gt;=$L$34+ROUND($M$44,0),CE79&lt;=$L$35),(1-$M$34)*$M$43*SF_NRA/12,0)</f>
        <v>0</v>
      </c>
      <c r="CF83" s="0" t="n">
        <f aca="false">IF(AND($M$33="Yes",CF79&gt;=$L$34+ROUND($M$44,0),CF79&lt;=$L$35),(1-$M$34)*$M$43*SF_NRA/12,0)</f>
        <v>0</v>
      </c>
      <c r="CG83" s="0" t="n">
        <f aca="false">IF(AND($M$33="Yes",CG79&gt;=$L$34+ROUND($M$44,0),CG79&lt;=$L$35),(1-$M$34)*$M$43*SF_NRA/12,0)</f>
        <v>0</v>
      </c>
      <c r="CH83" s="0" t="n">
        <f aca="false">IF(AND($M$33="Yes",CH79&gt;=$L$34+ROUND($M$44,0),CH79&lt;=$L$35),(1-$M$34)*$M$43*SF_NRA/12,0)</f>
        <v>0</v>
      </c>
      <c r="CI83" s="0" t="n">
        <f aca="false">IF(AND($M$33="Yes",CI79&gt;=$L$34+ROUND($M$44,0),CI79&lt;=$L$35),(1-$M$34)*$M$43*SF_NRA/12,0)</f>
        <v>0</v>
      </c>
      <c r="CJ83" s="0" t="n">
        <f aca="false">IF(AND($M$33="Yes",CJ79&gt;=$L$34+ROUND($M$44,0),CJ79&lt;=$L$35),(1-$M$34)*$M$43*SF_NRA/12,0)</f>
        <v>0</v>
      </c>
      <c r="CK83" s="0" t="n">
        <f aca="false">IF(AND($M$33="Yes",CK79&gt;=$L$34+ROUND($M$44,0),CK79&lt;=$L$35),(1-$M$34)*$M$43*SF_NRA/12,0)</f>
        <v>0</v>
      </c>
      <c r="CL83" s="0" t="n">
        <f aca="false">IF(AND($M$33="Yes",CL79&gt;=$L$34+ROUND($M$44,0),CL79&lt;=$L$35),(1-$M$34)*$M$43*SF_NRA/12,0)</f>
        <v>0</v>
      </c>
      <c r="CM83" s="0" t="n">
        <f aca="false">IF(AND($M$33="Yes",CM79&gt;=$L$34+ROUND($M$44,0),CM79&lt;=$L$35),(1-$M$34)*$M$43*SF_NRA/12,0)</f>
        <v>0</v>
      </c>
      <c r="CN83" s="0" t="n">
        <f aca="false">IF(AND($M$33="Yes",CN79&gt;=$L$34+ROUND($M$44,0),CN79&lt;=$L$35),(1-$M$34)*$M$43*SF_NRA/12,0)</f>
        <v>0</v>
      </c>
      <c r="CO83" s="0" t="n">
        <f aca="false">IF(AND($M$33="Yes",CO79&gt;=$L$34+ROUND($M$44,0),CO79&lt;=$L$35),(1-$M$34)*$M$43*SF_NRA/12,0)</f>
        <v>0</v>
      </c>
      <c r="CP83" s="0" t="n">
        <f aca="false">IF(AND($M$33="Yes",CP79&gt;=$L$34+ROUND($M$44,0),CP79&lt;=$L$35),(1-$M$34)*$M$43*SF_NRA/12,0)</f>
        <v>0</v>
      </c>
      <c r="CQ83" s="0" t="n">
        <f aca="false">IF(AND($M$33="Yes",CQ79&gt;=$L$34+ROUND($M$44,0),CQ79&lt;=$L$35),(1-$M$34)*$M$43*SF_NRA/12,0)</f>
        <v>0</v>
      </c>
      <c r="CR83" s="0" t="n">
        <f aca="false">IF(AND($M$33="Yes",CR79&gt;=$L$34+ROUND($M$44,0),CR79&lt;=$L$35),(1-$M$34)*$M$43*SF_NRA/12,0)</f>
        <v>0</v>
      </c>
      <c r="CS83" s="0" t="n">
        <f aca="false">IF(AND($M$33="Yes",CS79&gt;=$L$34+ROUND($M$44,0),CS79&lt;=$L$35),(1-$M$34)*$M$43*SF_NRA/12,0)</f>
        <v>0</v>
      </c>
      <c r="CT83" s="0" t="n">
        <f aca="false">IF(AND($M$33="Yes",CT79&gt;=$L$34+ROUND($M$44,0),CT79&lt;=$L$35),(1-$M$34)*$M$43*SF_NRA/12,0)</f>
        <v>0</v>
      </c>
      <c r="CU83" s="0" t="n">
        <f aca="false">IF(AND($M$33="Yes",CU79&gt;=$L$34+ROUND($M$44,0),CU79&lt;=$L$35),(1-$M$34)*$M$43*SF_NRA/12,0)</f>
        <v>0</v>
      </c>
      <c r="CV83" s="0" t="n">
        <f aca="false">IF(AND($M$33="Yes",CV79&gt;=$L$34+ROUND($M$44,0),CV79&lt;=$L$35),(1-$M$34)*$M$43*SF_NRA/12,0)</f>
        <v>0</v>
      </c>
      <c r="CW83" s="0" t="n">
        <f aca="false">IF(AND($M$33="Yes",CW79&gt;=$L$34+ROUND($M$44,0),CW79&lt;=$L$35),(1-$M$34)*$M$43*SF_NRA/12,0)</f>
        <v>0</v>
      </c>
      <c r="CX83" s="0" t="n">
        <f aca="false">IF(AND($M$33="Yes",CX79&gt;=$L$34+ROUND($M$44,0),CX79&lt;=$L$35),(1-$M$34)*$M$43*SF_NRA/12,0)</f>
        <v>0</v>
      </c>
      <c r="CY83" s="0" t="n">
        <f aca="false">IF(AND($M$33="Yes",CY79&gt;=$L$34+ROUND($M$44,0),CY79&lt;=$L$35),(1-$M$34)*$M$43*SF_NRA/12,0)</f>
        <v>0</v>
      </c>
      <c r="CZ83" s="0" t="n">
        <f aca="false">IF(AND($M$33="Yes",CZ79&gt;=$L$34+ROUND($M$44,0),CZ79&lt;=$L$35),(1-$M$34)*$M$43*SF_NRA/12,0)</f>
        <v>0</v>
      </c>
      <c r="DA83" s="0" t="n">
        <f aca="false">IF(AND($M$33="Yes",DA79&gt;=$L$34+ROUND($M$44,0),DA79&lt;=$L$35),(1-$M$34)*$M$43*SF_NRA/12,0)</f>
        <v>0</v>
      </c>
      <c r="DB83" s="0" t="n">
        <f aca="false">IF(AND($M$33="Yes",DB79&gt;=$L$34+ROUND($M$44,0),DB79&lt;=$L$35),(1-$M$34)*$M$43*SF_NRA/12,0)</f>
        <v>0</v>
      </c>
      <c r="DC83" s="0" t="n">
        <f aca="false">IF(AND($M$33="Yes",DC79&gt;=$L$34+ROUND($M$44,0),DC79&lt;=$L$35),(1-$M$34)*$M$43*SF_NRA/12,0)</f>
        <v>0</v>
      </c>
      <c r="DD83" s="0" t="n">
        <f aca="false">IF(AND($M$33="Yes",DD79&gt;=$L$34+ROUND($M$44,0),DD79&lt;=$L$35),(1-$M$34)*$M$43*SF_NRA/12,0)</f>
        <v>0</v>
      </c>
      <c r="DE83" s="0" t="n">
        <f aca="false">IF(AND($M$33="Yes",DE79&gt;=$L$34+ROUND($M$44,0),DE79&lt;=$L$35),(1-$M$34)*$M$43*SF_NRA/12,0)</f>
        <v>0</v>
      </c>
      <c r="DF83" s="0" t="n">
        <f aca="false">IF(AND($M$33="Yes",DF79&gt;=$L$34+ROUND($M$44,0),DF79&lt;=$L$35),(1-$M$34)*$M$43*SF_NRA/12,0)</f>
        <v>0</v>
      </c>
      <c r="DG83" s="0" t="n">
        <f aca="false">IF(AND($M$33="Yes",DG79&gt;=$L$34+ROUND($M$44,0),DG79&lt;=$L$35),(1-$M$34)*$M$43*SF_NRA/12,0)</f>
        <v>0</v>
      </c>
      <c r="DH83" s="0" t="n">
        <f aca="false">IF(AND($M$33="Yes",DH79&gt;=$L$34+ROUND($M$44,0),DH79&lt;=$L$35),(1-$M$34)*$M$43*SF_NRA/12,0)</f>
        <v>0</v>
      </c>
      <c r="DI83" s="0" t="n">
        <f aca="false">IF(AND($M$33="Yes",DI79&gt;=$L$34+ROUND($M$44,0),DI79&lt;=$L$35),(1-$M$34)*$M$43*SF_NRA/12,0)</f>
        <v>0</v>
      </c>
      <c r="DJ83" s="0" t="n">
        <f aca="false">IF(AND($M$33="Yes",DJ79&gt;=$L$34+ROUND($M$44,0),DJ79&lt;=$L$35),(1-$M$34)*$M$43*SF_NRA/12,0)</f>
        <v>0</v>
      </c>
      <c r="DK83" s="0" t="n">
        <f aca="false">IF(AND($M$33="Yes",DK79&gt;=$L$34+ROUND($M$44,0),DK79&lt;=$L$35),(1-$M$34)*$M$43*SF_NRA/12,0)</f>
        <v>0</v>
      </c>
      <c r="DL83" s="0" t="n">
        <f aca="false">IF(AND($M$33="Yes",DL79&gt;=$L$34+ROUND($M$44,0),DL79&lt;=$L$35),(1-$M$34)*$M$43*SF_NRA/12,0)</f>
        <v>0</v>
      </c>
      <c r="DM83" s="0" t="n">
        <f aca="false">IF(AND($M$33="Yes",DM79&gt;=$L$34+ROUND($M$44,0),DM79&lt;=$L$35),(1-$M$34)*$M$43*SF_NRA/12,0)</f>
        <v>0</v>
      </c>
      <c r="DN83" s="0" t="n">
        <f aca="false">IF(AND($M$33="Yes",DN79&gt;=$L$34+ROUND($M$44,0),DN79&lt;=$L$35),(1-$M$34)*$M$43*SF_NRA/12,0)</f>
        <v>0</v>
      </c>
      <c r="DO83" s="0" t="n">
        <f aca="false">IF(AND($M$33="Yes",DO79&gt;=$L$34+ROUND($M$44,0),DO79&lt;=$L$35),(1-$M$34)*$M$43*SF_NRA/12,0)</f>
        <v>0</v>
      </c>
      <c r="DP83" s="0" t="n">
        <f aca="false">IF(AND($M$33="Yes",DP79&gt;=$L$34+ROUND($M$44,0),DP79&lt;=$L$35),(1-$M$34)*$M$43*SF_NRA/12,0)</f>
        <v>0</v>
      </c>
      <c r="DQ83" s="0" t="n">
        <f aca="false">IF(AND($M$33="Yes",DQ79&gt;=$L$34+ROUND($M$44,0),DQ79&lt;=$L$35),(1-$M$34)*$M$43*SF_NRA/12,0)</f>
        <v>0</v>
      </c>
      <c r="DR83" s="0" t="n">
        <f aca="false">IF(AND($M$33="Yes",DR79&gt;=$L$34+ROUND($M$44,0),DR79&lt;=$L$35),(1-$M$34)*$M$43*SF_NRA/12,0)</f>
        <v>0</v>
      </c>
      <c r="DS83" s="0" t="n">
        <f aca="false">IF(AND($M$33="Yes",DS79&gt;=$L$34+ROUND($M$44,0),DS79&lt;=$L$35),(1-$M$34)*$M$43*SF_NRA/12,0)</f>
        <v>13050</v>
      </c>
      <c r="DT83" s="0" t="n">
        <f aca="false">IF(AND($M$33="Yes",DT79&gt;=$L$34+ROUND($M$44,0),DT79&lt;=$L$35),(1-$M$34)*$M$43*SF_NRA/12,0)</f>
        <v>13050</v>
      </c>
      <c r="DU83" s="0" t="n">
        <f aca="false">IF(AND($M$33="Yes",DU79&gt;=$L$34+ROUND($M$44,0),DU79&lt;=$L$35),(1-$M$34)*$M$43*SF_NRA/12,0)</f>
        <v>13050</v>
      </c>
      <c r="DV83" s="0" t="n">
        <f aca="false">IF(AND($M$33="Yes",DV79&gt;=$L$34+ROUND($M$44,0),DV79&lt;=$L$35),(1-$M$34)*$M$43*SF_NRA/12,0)</f>
        <v>13050</v>
      </c>
      <c r="DW83" s="0" t="n">
        <f aca="false">IF(AND($M$33="Yes",DW79&gt;=$L$34+ROUND($M$44,0),DW79&lt;=$L$35),(1-$M$34)*$M$43*SF_NRA/12,0)</f>
        <v>13050</v>
      </c>
      <c r="DX83" s="0" t="n">
        <f aca="false">IF(AND($M$33="Yes",DX79&gt;=$L$34+ROUND($M$44,0),DX79&lt;=$L$35),(1-$M$34)*$M$43*SF_NRA/12,0)</f>
        <v>13050</v>
      </c>
      <c r="DY83" s="0" t="n">
        <f aca="false">IF(AND($M$33="Yes",DY79&gt;=$L$34+ROUND($M$44,0),DY79&lt;=$L$35),(1-$M$34)*$M$43*SF_NRA/12,0)</f>
        <v>13050</v>
      </c>
      <c r="DZ83" s="0" t="n">
        <f aca="false">IF(AND($M$33="Yes",DZ79&gt;=$L$34+ROUND($M$44,0),DZ79&lt;=$L$35),(1-$M$34)*$M$43*SF_NRA/12,0)</f>
        <v>13050</v>
      </c>
      <c r="EA83" s="0" t="n">
        <f aca="false">IF(AND($M$33="Yes",EA79&gt;=$L$34+ROUND($M$44,0),EA79&lt;=$L$35),(1-$M$34)*$M$43*SF_NRA/12,0)</f>
        <v>13050</v>
      </c>
      <c r="EB83" s="0" t="n">
        <f aca="false">IF(AND($M$33="Yes",EB79&gt;=$L$34+ROUND($M$44,0),EB79&lt;=$L$35),(1-$M$34)*$M$43*SF_NRA/12,0)</f>
        <v>13050</v>
      </c>
      <c r="EC83" s="0" t="n">
        <f aca="false">IF(AND($M$33="Yes",EC79&gt;=$L$34+ROUND($M$44,0),EC79&lt;=$L$35),(1-$M$34)*$M$43*SF_NRA/12,0)</f>
        <v>13050</v>
      </c>
      <c r="ED83" s="0" t="n">
        <f aca="false">IF(AND($M$33="Yes",ED79&gt;=$L$34+ROUND($M$44,0),ED79&lt;=$L$35),(1-$M$34)*$M$43*SF_NRA/12,0)</f>
        <v>13050</v>
      </c>
      <c r="EE83" s="0" t="n">
        <f aca="false">IF(AND($M$33="Yes",EE79&gt;=$L$34+ROUND($M$44,0),EE79&lt;=$L$35),(1-$M$34)*$M$43*SF_NRA/12,0)</f>
        <v>13050</v>
      </c>
      <c r="EF83" s="0" t="n">
        <f aca="false">IF(AND($M$33="Yes",EF79&gt;=$L$34+ROUND($M$44,0),EF79&lt;=$L$35),(1-$M$34)*$M$43*SF_NRA/12,0)</f>
        <v>13050</v>
      </c>
      <c r="EG83" s="0" t="n">
        <f aca="false">IF(AND($M$33="Yes",EG79&gt;=$L$34+ROUND($M$44,0),EG79&lt;=$L$35),(1-$M$34)*$M$43*SF_NRA/12,0)</f>
        <v>13050</v>
      </c>
      <c r="EH83" s="0" t="n">
        <f aca="false">IF(AND($M$33="Yes",EH79&gt;=$L$34+ROUND($M$44,0),EH79&lt;=$L$35),(1-$M$34)*$M$43*SF_NRA/12,0)</f>
        <v>13050</v>
      </c>
      <c r="EI83" s="0" t="n">
        <f aca="false">IF(AND($M$33="Yes",EI79&gt;=$L$34+ROUND($M$44,0),EI79&lt;=$L$35),(1-$M$34)*$M$43*SF_NRA/12,0)</f>
        <v>13050</v>
      </c>
      <c r="EJ83" s="0" t="n">
        <f aca="false">IF(AND($M$33="Yes",EJ79&gt;=$L$34+ROUND($M$44,0),EJ79&lt;=$L$35),(1-$M$34)*$M$43*SF_NRA/12,0)</f>
        <v>13050</v>
      </c>
      <c r="EK83" s="0" t="n">
        <f aca="false">IF(AND($M$33="Yes",EK79&gt;=$L$34+ROUND($M$44,0),EK79&lt;=$L$35),(1-$M$34)*$M$43*SF_NRA/12,0)</f>
        <v>13050</v>
      </c>
      <c r="EL83" s="0" t="n">
        <f aca="false">IF(AND($M$33="Yes",EL79&gt;=$L$34+ROUND($M$44,0),EL79&lt;=$L$35),(1-$M$34)*$M$43*SF_NRA/12,0)</f>
        <v>13050</v>
      </c>
      <c r="EM83" s="0" t="n">
        <f aca="false">IF(AND($M$33="Yes",EM79&gt;=$L$34+ROUND($M$44,0),EM79&lt;=$L$35),(1-$M$34)*$M$43*SF_NRA/12,0)</f>
        <v>13050</v>
      </c>
      <c r="EN83" s="0" t="n">
        <f aca="false">IF(AND($M$33="Yes",EN79&gt;=$L$34+ROUND($M$44,0),EN79&lt;=$L$35),(1-$M$34)*$M$43*SF_NRA/12,0)</f>
        <v>13050</v>
      </c>
      <c r="EO83" s="0" t="n">
        <f aca="false">IF(AND($M$33="Yes",EO79&gt;=$L$34+ROUND($M$44,0),EO79&lt;=$L$35),(1-$M$34)*$M$43*SF_NRA/12,0)</f>
        <v>13050</v>
      </c>
      <c r="EP83" s="0" t="n">
        <f aca="false">IF(AND($M$33="Yes",EP79&gt;=$L$34+ROUND($M$44,0),EP79&lt;=$L$35),(1-$M$34)*$M$43*SF_NRA/12,0)</f>
        <v>13050</v>
      </c>
      <c r="EQ83" s="0" t="n">
        <f aca="false">IF(AND($M$33="Yes",EQ79&gt;=$L$34+ROUND($M$44,0),EQ79&lt;=$L$35),(1-$M$34)*$M$43*SF_NRA/12,0)</f>
        <v>13050</v>
      </c>
      <c r="ER83" s="0" t="n">
        <f aca="false">IF(AND($M$33="Yes",ER79&gt;=$L$34+ROUND($M$44,0),ER79&lt;=$L$35),(1-$M$34)*$M$43*SF_NRA/12,0)</f>
        <v>13050</v>
      </c>
      <c r="ES83" s="0" t="n">
        <f aca="false">IF(AND($M$33="Yes",ES79&gt;=$L$34+ROUND($M$44,0),ES79&lt;=$L$35),(1-$M$34)*$M$43*SF_NRA/12,0)</f>
        <v>13050</v>
      </c>
      <c r="ET83" s="0" t="n">
        <f aca="false">IF(AND($M$33="Yes",ET79&gt;=$L$34+ROUND($M$44,0),ET79&lt;=$L$35),(1-$M$34)*$M$43*SF_NRA/12,0)</f>
        <v>13050</v>
      </c>
      <c r="EU83" s="0" t="n">
        <f aca="false">IF(AND($M$33="Yes",EU79&gt;=$L$34+ROUND($M$44,0),EU79&lt;=$L$35),(1-$M$34)*$M$43*SF_NRA/12,0)</f>
        <v>13050</v>
      </c>
      <c r="EV83" s="0" t="n">
        <f aca="false">IF(AND($M$33="Yes",EV79&gt;=$L$34+ROUND($M$44,0),EV79&lt;=$L$35),(1-$M$34)*$M$43*SF_NRA/12,0)</f>
        <v>13050</v>
      </c>
      <c r="EW83" s="0" t="n">
        <f aca="false">IF(AND($M$33="Yes",EW79&gt;=$L$34+ROUND($M$44,0),EW79&lt;=$L$35),(1-$M$34)*$M$43*SF_NRA/12,0)</f>
        <v>13050</v>
      </c>
      <c r="EX83" s="0" t="n">
        <f aca="false">IF(AND($M$33="Yes",EX79&gt;=$L$34+ROUND($M$44,0),EX79&lt;=$L$35),(1-$M$34)*$M$43*SF_NRA/12,0)</f>
        <v>13050</v>
      </c>
      <c r="EY83" s="0" t="n">
        <f aca="false">IF(AND($M$33="Yes",EY79&gt;=$L$34+ROUND($M$44,0),EY79&lt;=$L$35),(1-$M$34)*$M$43*SF_NRA/12,0)</f>
        <v>13050</v>
      </c>
      <c r="EZ83" s="0" t="n">
        <f aca="false">IF(AND($M$33="Yes",EZ79&gt;=$L$34+ROUND($M$44,0),EZ79&lt;=$L$35),(1-$M$34)*$M$43*SF_NRA/12,0)</f>
        <v>13050</v>
      </c>
      <c r="FA83" s="0" t="n">
        <f aca="false">IF(AND($M$33="Yes",FA79&gt;=$L$34+ROUND($M$44,0),FA79&lt;=$L$35),(1-$M$34)*$M$43*SF_NRA/12,0)</f>
        <v>13050</v>
      </c>
      <c r="FB83" s="0" t="n">
        <f aca="false">IF(AND($M$33="Yes",FB79&gt;=$L$34+ROUND($M$44,0),FB79&lt;=$L$35),(1-$M$34)*$M$43*SF_NRA/12,0)</f>
        <v>13050</v>
      </c>
      <c r="FC83" s="0" t="n">
        <f aca="false">IF(AND($M$33="Yes",FC79&gt;=$L$34+ROUND($M$44,0),FC79&lt;=$L$35),(1-$M$34)*$M$43*SF_NRA/12,0)</f>
        <v>13050</v>
      </c>
      <c r="FD83" s="0" t="n">
        <f aca="false">IF(AND($M$33="Yes",FD79&gt;=$L$34+ROUND($M$44,0),FD79&lt;=$L$35),(1-$M$34)*$M$43*SF_NRA/12,0)</f>
        <v>13050</v>
      </c>
      <c r="FE83" s="0" t="n">
        <f aca="false">IF(AND($M$33="Yes",FE79&gt;=$L$34+ROUND($M$44,0),FE79&lt;=$L$35),(1-$M$34)*$M$43*SF_NRA/12,0)</f>
        <v>13050</v>
      </c>
      <c r="FF83" s="0" t="n">
        <f aca="false">IF(AND($M$33="Yes",FF79&gt;=$L$34+ROUND($M$44,0),FF79&lt;=$L$35),(1-$M$34)*$M$43*SF_NRA/12,0)</f>
        <v>13050</v>
      </c>
      <c r="FG83" s="0" t="n">
        <f aca="false">IF(AND($M$33="Yes",FG79&gt;=$L$34+ROUND($M$44,0),FG79&lt;=$L$35),(1-$M$34)*$M$43*SF_NRA/12,0)</f>
        <v>13050</v>
      </c>
      <c r="FH83" s="0" t="n">
        <f aca="false">IF(AND($M$33="Yes",FH79&gt;=$L$34+ROUND($M$44,0),FH79&lt;=$L$35),(1-$M$34)*$M$43*SF_NRA/12,0)</f>
        <v>13050</v>
      </c>
      <c r="FI83" s="0" t="n">
        <f aca="false">IF(AND($M$33="Yes",FI79&gt;=$L$34+ROUND($M$44,0),FI79&lt;=$L$35),(1-$M$34)*$M$43*SF_NRA/12,0)</f>
        <v>13050</v>
      </c>
      <c r="FJ83" s="0" t="n">
        <f aca="false">IF(AND($M$33="Yes",FJ79&gt;=$L$34+ROUND($M$44,0),FJ79&lt;=$L$35),(1-$M$34)*$M$43*SF_NRA/12,0)</f>
        <v>13050</v>
      </c>
      <c r="FK83" s="0" t="n">
        <f aca="false">IF(AND($M$33="Yes",FK79&gt;=$L$34+ROUND($M$44,0),FK79&lt;=$L$35),(1-$M$34)*$M$43*SF_NRA/12,0)</f>
        <v>13050</v>
      </c>
      <c r="FL83" s="0" t="n">
        <f aca="false">IF(AND($M$33="Yes",FL79&gt;=$L$34+ROUND($M$44,0),FL79&lt;=$L$35),(1-$M$34)*$M$43*SF_NRA/12,0)</f>
        <v>13050</v>
      </c>
      <c r="FM83" s="0" t="n">
        <f aca="false">IF(AND($M$33="Yes",FM79&gt;=$L$34+ROUND($M$44,0),FM79&lt;=$L$35),(1-$M$34)*$M$43*SF_NRA/12,0)</f>
        <v>13050</v>
      </c>
      <c r="FN83" s="0" t="n">
        <f aca="false">IF(AND($M$33="Yes",FN79&gt;=$L$34+ROUND($M$44,0),FN79&lt;=$L$35),(1-$M$34)*$M$43*SF_NRA/12,0)</f>
        <v>13050</v>
      </c>
      <c r="FO83" s="0" t="n">
        <f aca="false">IF(AND($M$33="Yes",FO79&gt;=$L$34+ROUND($M$44,0),FO79&lt;=$L$35),(1-$M$34)*$M$43*SF_NRA/12,0)</f>
        <v>13050</v>
      </c>
      <c r="FP83" s="0" t="n">
        <f aca="false">IF(AND($M$33="Yes",FP79&gt;=$L$34+ROUND($M$44,0),FP79&lt;=$L$35),(1-$M$34)*$M$43*SF_NRA/12,0)</f>
        <v>13050</v>
      </c>
      <c r="FQ83" s="0" t="n">
        <f aca="false">IF(AND($M$33="Yes",FQ79&gt;=$L$34+ROUND($M$44,0),FQ79&lt;=$L$35),(1-$M$34)*$M$43*SF_NRA/12,0)</f>
        <v>13050</v>
      </c>
      <c r="FR83" s="0" t="n">
        <f aca="false">IF(AND($M$33="Yes",FR79&gt;=$L$34+ROUND($M$44,0),FR79&lt;=$L$35),(1-$M$34)*$M$43*SF_NRA/12,0)</f>
        <v>0</v>
      </c>
      <c r="FS83" s="0" t="n">
        <f aca="false">IF(AND($M$33="Yes",FS79&gt;=$L$34+ROUND($M$44,0),FS79&lt;=$L$35),(1-$M$34)*$M$43*SF_NRA/12,0)</f>
        <v>0</v>
      </c>
      <c r="FT83" s="0" t="n">
        <f aca="false">IF(AND($M$33="Yes",FT79&gt;=$L$34+ROUND($M$44,0),FT79&lt;=$L$35),(1-$M$34)*$M$43*SF_NRA/12,0)</f>
        <v>0</v>
      </c>
      <c r="FU83" s="0" t="n">
        <f aca="false">IF(AND($M$33="Yes",FU79&gt;=$L$34+ROUND($M$44,0),FU79&lt;=$L$35),(1-$M$34)*$M$43*SF_NRA/12,0)</f>
        <v>0</v>
      </c>
      <c r="FV83" s="0" t="n">
        <f aca="false">IF(AND($M$33="Yes",FV79&gt;=$L$34+ROUND($M$44,0),FV79&lt;=$L$35),(1-$M$34)*$M$43*SF_NRA/12,0)</f>
        <v>0</v>
      </c>
      <c r="FW83" s="0" t="n">
        <f aca="false">IF(AND($M$33="Yes",FW79&gt;=$L$34+ROUND($M$44,0),FW79&lt;=$L$35),(1-$M$34)*$M$43*SF_NRA/12,0)</f>
        <v>0</v>
      </c>
      <c r="FX83" s="0" t="n">
        <f aca="false">IF(AND($M$33="Yes",FX79&gt;=$L$34+ROUND($M$44,0),FX79&lt;=$L$35),(1-$M$34)*$M$43*SF_NRA/12,0)</f>
        <v>0</v>
      </c>
      <c r="FY83" s="0" t="n">
        <f aca="false">IF(AND($M$33="Yes",FY79&gt;=$L$34+ROUND($M$44,0),FY79&lt;=$L$35),(1-$M$34)*$M$43*SF_NRA/12,0)</f>
        <v>0</v>
      </c>
      <c r="FZ83" s="0" t="n">
        <f aca="false">IF(AND($M$33="Yes",FZ79&gt;=$L$34+ROUND($M$44,0),FZ79&lt;=$L$35),(1-$M$34)*$M$43*SF_NRA/12,0)</f>
        <v>0</v>
      </c>
      <c r="GA83" s="0" t="n">
        <f aca="false">IF(AND($M$33="Yes",GA79&gt;=$L$34+ROUND($M$44,0),GA79&lt;=$L$35),(1-$M$34)*$M$43*SF_NRA/12,0)</f>
        <v>0</v>
      </c>
      <c r="GB83" s="0" t="n">
        <f aca="false">IF(AND($M$33="Yes",GB79&gt;=$L$34+ROUND($M$44,0),GB79&lt;=$L$35),(1-$M$34)*$M$43*SF_NRA/12,0)</f>
        <v>0</v>
      </c>
      <c r="GC83" s="0" t="n">
        <f aca="false">IF(AND($M$33="Yes",GC79&gt;=$L$34+ROUND($M$44,0),GC79&lt;=$L$35),(1-$M$34)*$M$43*SF_NRA/12,0)</f>
        <v>0</v>
      </c>
      <c r="GD83" s="0" t="n">
        <f aca="false">IF(AND($M$33="Yes",GD79&gt;=$L$34+ROUND($M$44,0),GD79&lt;=$L$35),(1-$M$34)*$M$43*SF_NRA/12,0)</f>
        <v>0</v>
      </c>
      <c r="GE83" s="0" t="n">
        <f aca="false">IF(AND($M$33="Yes",GE79&gt;=$L$34+ROUND($M$44,0),GE79&lt;=$L$35),(1-$M$34)*$M$43*SF_NRA/12,0)</f>
        <v>0</v>
      </c>
      <c r="GF83" s="0" t="n">
        <f aca="false">IF(AND($M$33="Yes",GF79&gt;=$L$34+ROUND($M$44,0),GF79&lt;=$L$35),(1-$M$34)*$M$43*SF_NRA/12,0)</f>
        <v>0</v>
      </c>
      <c r="GG83" s="0" t="n">
        <f aca="false">IF(AND($M$33="Yes",GG79&gt;=$L$34+ROUND($M$44,0),GG79&lt;=$L$35),(1-$M$34)*$M$43*SF_NRA/12,0)</f>
        <v>0</v>
      </c>
      <c r="GH83" s="0" t="n">
        <f aca="false">IF(AND($M$33="Yes",GH79&gt;=$L$34+ROUND($M$44,0),GH79&lt;=$L$35),(1-$M$34)*$M$43*SF_NRA/12,0)</f>
        <v>0</v>
      </c>
      <c r="GI83" s="0" t="n">
        <f aca="false">IF(AND($M$33="Yes",GI79&gt;=$L$34+ROUND($M$44,0),GI79&lt;=$L$35),(1-$M$34)*$M$43*SF_NRA/12,0)</f>
        <v>0</v>
      </c>
      <c r="GJ83" s="0" t="n">
        <f aca="false">IF(AND($M$33="Yes",GJ79&gt;=$L$34+ROUND($M$44,0),GJ79&lt;=$L$35),(1-$M$34)*$M$43*SF_NRA/12,0)</f>
        <v>0</v>
      </c>
      <c r="GK83" s="0" t="n">
        <f aca="false">IF(AND($M$33="Yes",GK79&gt;=$L$34+ROUND($M$44,0),GK79&lt;=$L$35),(1-$M$34)*$M$43*SF_NRA/12,0)</f>
        <v>0</v>
      </c>
      <c r="GL83" s="0" t="n">
        <f aca="false">IF(AND($M$33="Yes",GL79&gt;=$L$34+ROUND($M$44,0),GL79&lt;=$L$35),(1-$M$34)*$M$43*SF_NRA/12,0)</f>
        <v>0</v>
      </c>
      <c r="GM83" s="0" t="n">
        <f aca="false">IF(AND($M$33="Yes",GM79&gt;=$L$34+ROUND($M$44,0),GM79&lt;=$L$35),(1-$M$34)*$M$43*SF_NRA/12,0)</f>
        <v>0</v>
      </c>
      <c r="GN83" s="0" t="n">
        <f aca="false">IF(AND($M$33="Yes",GN79&gt;=$L$34+ROUND($M$44,0),GN79&lt;=$L$35),(1-$M$34)*$M$43*SF_NRA/12,0)</f>
        <v>0</v>
      </c>
      <c r="GO83" s="0" t="n">
        <f aca="false">IF(AND($M$33="Yes",GO79&gt;=$L$34+ROUND($M$44,0),GO79&lt;=$L$35),(1-$M$34)*$M$43*SF_NRA/12,0)</f>
        <v>0</v>
      </c>
      <c r="GP83" s="0" t="n">
        <f aca="false">IF(AND($M$33="Yes",GP79&gt;=$L$34+ROUND($M$44,0),GP79&lt;=$L$35),(1-$M$34)*$M$43*SF_NRA/12,0)</f>
        <v>0</v>
      </c>
      <c r="GQ83" s="0" t="n">
        <f aca="false">IF(AND($M$33="Yes",GQ79&gt;=$L$34+ROUND($M$44,0),GQ79&lt;=$L$35),(1-$M$34)*$M$43*SF_NRA/12,0)</f>
        <v>0</v>
      </c>
      <c r="GR83" s="0" t="n">
        <f aca="false">IF(AND($M$33="Yes",GR79&gt;=$L$34+ROUND($M$44,0),GR79&lt;=$L$35),(1-$M$34)*$M$43*SF_NRA/12,0)</f>
        <v>0</v>
      </c>
      <c r="GS83" s="0" t="n">
        <f aca="false">IF(AND($M$33="Yes",GS79&gt;=$L$34+ROUND($M$44,0),GS79&lt;=$L$35),(1-$M$34)*$M$43*SF_NRA/12,0)</f>
        <v>0</v>
      </c>
      <c r="GT83" s="0" t="n">
        <f aca="false">IF(AND($M$33="Yes",GT79&gt;=$L$34+ROUND($M$44,0),GT79&lt;=$L$35),(1-$M$34)*$M$43*SF_NRA/12,0)</f>
        <v>0</v>
      </c>
      <c r="GU83" s="0" t="n">
        <f aca="false">IF(AND($M$33="Yes",GU79&gt;=$L$34+ROUND($M$44,0),GU79&lt;=$L$35),(1-$M$34)*$M$43*SF_NRA/12,0)</f>
        <v>0</v>
      </c>
      <c r="GV83" s="0" t="n">
        <f aca="false">IF(AND($M$33="Yes",GV79&gt;=$L$34+ROUND($M$44,0),GV79&lt;=$L$35),(1-$M$34)*$M$43*SF_NRA/12,0)</f>
        <v>0</v>
      </c>
      <c r="GW83" s="0" t="n">
        <f aca="false">IF(AND($M$33="Yes",GW79&gt;=$L$34+ROUND($M$44,0),GW79&lt;=$L$35),(1-$M$34)*$M$43*SF_NRA/12,0)</f>
        <v>0</v>
      </c>
      <c r="GX83" s="0" t="n">
        <f aca="false">IF(AND($M$33="Yes",GX79&gt;=$L$34+ROUND($M$44,0),GX79&lt;=$L$35),(1-$M$34)*$M$43*SF_NRA/12,0)</f>
        <v>0</v>
      </c>
      <c r="GY83" s="0" t="n">
        <f aca="false">IF(AND($M$33="Yes",GY79&gt;=$L$34+ROUND($M$44,0),GY79&lt;=$L$35),(1-$M$34)*$M$43*SF_NRA/12,0)</f>
        <v>0</v>
      </c>
      <c r="GZ83" s="0" t="n">
        <f aca="false">IF(AND($M$33="Yes",GZ79&gt;=$L$34+ROUND($M$44,0),GZ79&lt;=$L$35),(1-$M$34)*$M$43*SF_NRA/12,0)</f>
        <v>0</v>
      </c>
      <c r="HA83" s="0" t="n">
        <f aca="false">IF(AND($M$33="Yes",HA79&gt;=$L$34+ROUND($M$44,0),HA79&lt;=$L$35),(1-$M$34)*$M$43*SF_NRA/12,0)</f>
        <v>0</v>
      </c>
      <c r="HB83" s="0" t="n">
        <f aca="false">IF(AND($M$33="Yes",HB79&gt;=$L$34+ROUND($M$44,0),HB79&lt;=$L$35),(1-$M$34)*$M$43*SF_NRA/12,0)</f>
        <v>0</v>
      </c>
      <c r="HC83" s="0" t="n">
        <f aca="false">IF(AND($M$33="Yes",HC79&gt;=$L$34+ROUND($M$44,0),HC79&lt;=$L$35),(1-$M$34)*$M$43*SF_NRA/12,0)</f>
        <v>0</v>
      </c>
      <c r="HD83" s="0" t="n">
        <f aca="false">IF(AND($M$33="Yes",HD79&gt;=$L$34+ROUND($M$44,0),HD79&lt;=$L$35),(1-$M$34)*$M$43*SF_NRA/12,0)</f>
        <v>0</v>
      </c>
      <c r="HE83" s="0" t="n">
        <f aca="false">IF(AND($M$33="Yes",HE79&gt;=$L$34+ROUND($M$44,0),HE79&lt;=$L$35),(1-$M$34)*$M$43*SF_NRA/12,0)</f>
        <v>0</v>
      </c>
      <c r="HF83" s="0" t="n">
        <f aca="false">IF(AND($M$33="Yes",HF79&gt;=$L$34+ROUND($M$44,0),HF79&lt;=$L$35),(1-$M$34)*$M$43*SF_NRA/12,0)</f>
        <v>0</v>
      </c>
      <c r="HG83" s="0" t="n">
        <f aca="false">IF(AND($M$33="Yes",HG79&gt;=$L$34+ROUND($M$44,0),HG79&lt;=$L$35),(1-$M$34)*$M$43*SF_NRA/12,0)</f>
        <v>0</v>
      </c>
      <c r="HH83" s="0" t="n">
        <f aca="false">IF(AND($M$33="Yes",HH79&gt;=$L$34+ROUND($M$44,0),HH79&lt;=$L$35),(1-$M$34)*$M$43*SF_NRA/12,0)</f>
        <v>0</v>
      </c>
      <c r="HI83" s="0" t="n">
        <f aca="false">IF(AND($M$33="Yes",HI79&gt;=$L$34+ROUND($M$44,0),HI79&lt;=$L$35),(1-$M$34)*$M$43*SF_NRA/12,0)</f>
        <v>0</v>
      </c>
      <c r="HJ83" s="0" t="n">
        <f aca="false">IF(AND($M$33="Yes",HJ79&gt;=$L$34+ROUND($M$44,0),HJ79&lt;=$L$35),(1-$M$34)*$M$43*SF_NRA/12,0)</f>
        <v>0</v>
      </c>
      <c r="HK83" s="0" t="n">
        <f aca="false">IF(AND($M$33="Yes",HK79&gt;=$L$34+ROUND($M$44,0),HK79&lt;=$L$35),(1-$M$34)*$M$43*SF_NRA/12,0)</f>
        <v>0</v>
      </c>
      <c r="HL83" s="0" t="n">
        <f aca="false">IF(AND($M$33="Yes",HL79&gt;=$L$34+ROUND($M$44,0),HL79&lt;=$L$35),(1-$M$34)*$M$43*SF_NRA/12,0)</f>
        <v>0</v>
      </c>
      <c r="HM83" s="0" t="n">
        <f aca="false">IF(AND($M$33="Yes",HM79&gt;=$L$34+ROUND($M$44,0),HM79&lt;=$L$35),(1-$M$34)*$M$43*SF_NRA/12,0)</f>
        <v>0</v>
      </c>
      <c r="HN83" s="0" t="n">
        <f aca="false">IF(AND($M$33="Yes",HN79&gt;=$L$34+ROUND($M$44,0),HN79&lt;=$L$35),(1-$M$34)*$M$43*SF_NRA/12,0)</f>
        <v>0</v>
      </c>
      <c r="HO83" s="0" t="n">
        <f aca="false">IF(AND($M$33="Yes",HO79&gt;=$L$34+ROUND($M$44,0),HO79&lt;=$L$35),(1-$M$34)*$M$43*SF_NRA/12,0)</f>
        <v>0</v>
      </c>
      <c r="HP83" s="0" t="n">
        <f aca="false">IF(AND($M$33="Yes",HP79&gt;=$L$34+ROUND($M$44,0),HP79&lt;=$L$35),(1-$M$34)*$M$43*SF_NRA/12,0)</f>
        <v>0</v>
      </c>
      <c r="HQ83" s="0" t="n">
        <f aca="false">IF(AND($M$33="Yes",HQ79&gt;=$L$34+ROUND($M$44,0),HQ79&lt;=$L$35),(1-$M$34)*$M$43*SF_NRA/12,0)</f>
        <v>0</v>
      </c>
      <c r="HR83" s="0" t="n">
        <f aca="false">IF(AND($M$33="Yes",HR79&gt;=$L$34+ROUND($M$44,0),HR79&lt;=$L$35),(1-$M$34)*$M$43*SF_NRA/12,0)</f>
        <v>0</v>
      </c>
      <c r="HS83" s="0" t="n">
        <f aca="false">IF(AND($M$33="Yes",HS79&gt;=$L$34+ROUND($M$44,0),HS79&lt;=$L$35),(1-$M$34)*$M$43*SF_NRA/12,0)</f>
        <v>0</v>
      </c>
      <c r="HT83" s="0" t="n">
        <f aca="false">IF(AND($M$33="Yes",HT79&gt;=$L$34+ROUND($M$44,0),HT79&lt;=$L$35),(1-$M$34)*$M$43*SF_NRA/12,0)</f>
        <v>0</v>
      </c>
      <c r="HU83" s="0" t="n">
        <f aca="false">IF(AND($M$33="Yes",HU79&gt;=$L$34+ROUND($M$44,0),HU79&lt;=$L$35),(1-$M$34)*$M$43*SF_NRA/12,0)</f>
        <v>0</v>
      </c>
      <c r="HV83" s="0" t="n">
        <f aca="false">IF(AND($M$33="Yes",HV79&gt;=$L$34+ROUND($M$44,0),HV79&lt;=$L$35),(1-$M$34)*$M$43*SF_NRA/12,0)</f>
        <v>0</v>
      </c>
      <c r="HW83" s="0" t="n">
        <f aca="false">IF(AND($M$33="Yes",HW79&gt;=$L$34+ROUND($M$44,0),HW79&lt;=$L$35),(1-$M$34)*$M$43*SF_NRA/12,0)</f>
        <v>0</v>
      </c>
      <c r="HX83" s="0" t="n">
        <f aca="false">IF(AND($M$33="Yes",HX79&gt;=$L$34+ROUND($M$44,0),HX79&lt;=$L$35),(1-$M$34)*$M$43*SF_NRA/12,0)</f>
        <v>0</v>
      </c>
      <c r="HY83" s="0" t="n">
        <f aca="false">IF(AND($M$33="Yes",HY79&gt;=$L$34+ROUND($M$44,0),HY79&lt;=$L$35),(1-$M$34)*$M$43*SF_NRA/12,0)</f>
        <v>0</v>
      </c>
      <c r="HZ83" s="0" t="n">
        <f aca="false">IF(AND($M$33="Yes",HZ79&gt;=$L$34+ROUND($M$44,0),HZ79&lt;=$L$35),(1-$M$34)*$M$43*SF_NRA/12,0)</f>
        <v>0</v>
      </c>
      <c r="IA83" s="0" t="n">
        <f aca="false">IF(AND($M$33="Yes",IA79&gt;=$L$34+ROUND($M$44,0),IA79&lt;=$L$35),(1-$M$34)*$M$43*SF_NRA/12,0)</f>
        <v>0</v>
      </c>
      <c r="IB83" s="0" t="n">
        <f aca="false">IF(AND($M$33="Yes",IB79&gt;=$L$34+ROUND($M$44,0),IB79&lt;=$L$35),(1-$M$34)*$M$43*SF_NRA/12,0)</f>
        <v>0</v>
      </c>
      <c r="IC83" s="0" t="n">
        <f aca="false">IF(AND($M$33="Yes",IC79&gt;=$L$34+ROUND($M$44,0),IC79&lt;=$L$35),(1-$M$34)*$M$43*SF_NRA/12,0)</f>
        <v>0</v>
      </c>
      <c r="ID83" s="0" t="n">
        <f aca="false">IF(AND($M$33="Yes",ID79&gt;=$L$34+ROUND($M$44,0),ID79&lt;=$L$35),(1-$M$34)*$M$43*SF_NRA/12,0)</f>
        <v>0</v>
      </c>
      <c r="IE83" s="0" t="n">
        <f aca="false">IF(AND($M$33="Yes",IE79&gt;=$L$34+ROUND($M$44,0),IE79&lt;=$L$35),(1-$M$34)*$M$43*SF_NRA/12,0)</f>
        <v>0</v>
      </c>
      <c r="IF83" s="0" t="n">
        <f aca="false">IF(AND($M$33="Yes",IF79&gt;=$L$34+ROUND($M$44,0),IF79&lt;=$L$35),(1-$M$34)*$M$43*SF_NRA/12,0)</f>
        <v>0</v>
      </c>
      <c r="IG83" s="0" t="n">
        <f aca="false">IF(AND($M$33="Yes",IG79&gt;=$L$34+ROUND($M$44,0),IG79&lt;=$L$35),(1-$M$34)*$M$43*SF_NRA/12,0)</f>
        <v>0</v>
      </c>
      <c r="IH83" s="0" t="n">
        <f aca="false">IF(AND($M$33="Yes",IH79&gt;=$L$34+ROUND($M$44,0),IH79&lt;=$L$35),(1-$M$34)*$M$43*SF_NRA/12,0)</f>
        <v>0</v>
      </c>
      <c r="II83" s="0" t="n">
        <f aca="false">IF(AND($M$33="Yes",II79&gt;=$L$34+ROUND($M$44,0),II79&lt;=$L$35),(1-$M$34)*$M$43*SF_NRA/12,0)</f>
        <v>0</v>
      </c>
      <c r="IJ83" s="0" t="n">
        <f aca="false">IF(AND($M$33="Yes",IJ79&gt;=$L$34+ROUND($M$44,0),IJ79&lt;=$L$35),(1-$M$34)*$M$43*SF_NRA/12,0)</f>
        <v>0</v>
      </c>
      <c r="IK83" s="0" t="n">
        <f aca="false">IF(AND($M$33="Yes",IK79&gt;=$L$34+ROUND($M$44,0),IK79&lt;=$L$35),(1-$M$34)*$M$43*SF_NRA/12,0)</f>
        <v>0</v>
      </c>
      <c r="IL83" s="0" t="n">
        <f aca="false">IF(AND($M$33="Yes",IL79&gt;=$L$34+ROUND($M$44,0),IL79&lt;=$L$35),(1-$M$34)*$M$43*SF_NRA/12,0)</f>
        <v>0</v>
      </c>
      <c r="IM83" s="0" t="n">
        <f aca="false">IF(AND($M$33="Yes",IM79&gt;=$L$34+ROUND($M$44,0),IM79&lt;=$L$35),(1-$M$34)*$M$43*SF_NRA/12,0)</f>
        <v>0</v>
      </c>
      <c r="IN83" s="0" t="n">
        <f aca="false">IF(AND($M$33="Yes",IN79&gt;=$L$34+ROUND($M$44,0),IN79&lt;=$L$35),(1-$M$34)*$M$43*SF_NRA/12,0)</f>
        <v>0</v>
      </c>
      <c r="IO83" s="0" t="n">
        <f aca="false">IF(AND($M$33="Yes",IO79&gt;=$L$34+ROUND($M$44,0),IO79&lt;=$L$35),(1-$M$34)*$M$43*SF_NRA/12,0)</f>
        <v>0</v>
      </c>
      <c r="IP83" s="0" t="n">
        <f aca="false">IF(AND($M$33="Yes",IP79&gt;=$L$34+ROUND($M$44,0),IP79&lt;=$L$35),(1-$M$34)*$M$43*SF_NRA/12,0)</f>
        <v>0</v>
      </c>
      <c r="IQ83" s="0" t="n">
        <f aca="false">IF(AND($M$33="Yes",IQ79&gt;=$L$34+ROUND($M$44,0),IQ79&lt;=$L$35),(1-$M$34)*$M$43*SF_NRA/12,0)</f>
        <v>0</v>
      </c>
      <c r="IR83" s="0" t="n">
        <f aca="false">IF(AND($M$33="Yes",IR79&gt;=$L$34+ROUND($M$44,0),IR79&lt;=$L$35),(1-$M$34)*$M$43*SF_NRA/12,0)</f>
        <v>0</v>
      </c>
      <c r="IS83" s="0" t="n">
        <f aca="false">IF(AND($M$33="Yes",IS79&gt;=$L$34+ROUND($M$44,0),IS79&lt;=$L$35),(1-$M$34)*$M$43*SF_NRA/12,0)</f>
        <v>0</v>
      </c>
      <c r="IT83" s="0" t="n">
        <f aca="false">IF(AND($M$33="Yes",IT79&gt;=$L$34+ROUND($M$44,0),IT79&lt;=$L$35),(1-$M$34)*$M$43*SF_NRA/12,0)</f>
        <v>0</v>
      </c>
      <c r="IU83" s="0" t="n">
        <f aca="false">IF(AND($M$33="Yes",IU79&gt;=$L$34+ROUND($M$44,0),IU79&lt;=$L$35),(1-$M$34)*$M$43*SF_NRA/12,0)</f>
        <v>0</v>
      </c>
      <c r="IV83" s="0" t="n">
        <f aca="false">IF(AND($M$33="Yes",IV79&gt;=$L$34+ROUND($M$44,0),IV79&lt;=$L$35),(1-$M$34)*$M$43*SF_NRA/12,0)</f>
        <v>0</v>
      </c>
      <c r="IW83" s="0" t="n">
        <f aca="false">IF(AND($M$33="Yes",IW79&gt;=$L$34+ROUND($M$44,0),IW79&lt;=$L$35),(1-$M$34)*$M$43*SF_NRA/12,0)</f>
        <v>0</v>
      </c>
    </row>
    <row r="91" customFormat="false" ht="15" hidden="false" customHeight="false" outlineLevel="0" collapsed="false">
      <c r="P91" s="0" t="s">
        <v>92</v>
      </c>
      <c r="Q91" s="0" t="n">
        <v>0</v>
      </c>
      <c r="R91" s="0" t="n">
        <f aca="false">R102*$G$18</f>
        <v>8760.41666666667</v>
      </c>
      <c r="S91" s="0" t="n">
        <f aca="false">S102*$G$18</f>
        <v>8760.41666666667</v>
      </c>
      <c r="T91" s="0" t="n">
        <f aca="false">T102*$G$18</f>
        <v>8760.41666666667</v>
      </c>
      <c r="U91" s="0" t="n">
        <f aca="false">U102*$G$18</f>
        <v>8760.41666666667</v>
      </c>
      <c r="V91" s="0" t="n">
        <f aca="false">V102*$G$18</f>
        <v>8760.41666666667</v>
      </c>
      <c r="W91" s="0" t="n">
        <f aca="false">W102*$G$18</f>
        <v>8760.41666666667</v>
      </c>
      <c r="X91" s="0" t="n">
        <f aca="false">X102*$G$18</f>
        <v>8760.41666666667</v>
      </c>
      <c r="Y91" s="0" t="n">
        <f aca="false">Y102*$G$18</f>
        <v>8760.41666666667</v>
      </c>
      <c r="Z91" s="0" t="n">
        <f aca="false">Z102*$G$18</f>
        <v>8760.41666666667</v>
      </c>
      <c r="AA91" s="0" t="n">
        <f aca="false">AA102*$G$18</f>
        <v>8760.41666666667</v>
      </c>
      <c r="AB91" s="0" t="n">
        <f aca="false">AB102*$G$18</f>
        <v>8760.41666666667</v>
      </c>
      <c r="AC91" s="0" t="n">
        <f aca="false">AC102*$G$18</f>
        <v>8760.41666666667</v>
      </c>
      <c r="AD91" s="0" t="n">
        <f aca="false">AD102*$G$18</f>
        <v>8979.42708333333</v>
      </c>
      <c r="AE91" s="0" t="n">
        <f aca="false">AE102*$G$18</f>
        <v>8979.42708333333</v>
      </c>
      <c r="AF91" s="0" t="n">
        <f aca="false">AF102*$G$18</f>
        <v>8979.42708333333</v>
      </c>
      <c r="AG91" s="0" t="n">
        <f aca="false">AG102*$G$18</f>
        <v>8979.42708333333</v>
      </c>
      <c r="AH91" s="0" t="n">
        <f aca="false">AH102*$G$18</f>
        <v>8979.42708333333</v>
      </c>
      <c r="AI91" s="0" t="n">
        <f aca="false">AI102*$G$18</f>
        <v>8979.42708333333</v>
      </c>
      <c r="AJ91" s="0" t="n">
        <f aca="false">AJ102*$G$18</f>
        <v>8979.42708333333</v>
      </c>
      <c r="AK91" s="0" t="n">
        <f aca="false">AK102*$G$18</f>
        <v>8979.42708333333</v>
      </c>
      <c r="AL91" s="0" t="n">
        <f aca="false">AL102*$G$18</f>
        <v>8979.42708333333</v>
      </c>
      <c r="AM91" s="0" t="n">
        <f aca="false">AM102*$G$18</f>
        <v>8979.42708333333</v>
      </c>
      <c r="AN91" s="0" t="n">
        <f aca="false">AN102*$G$18</f>
        <v>8979.42708333333</v>
      </c>
      <c r="AO91" s="0" t="n">
        <f aca="false">AO102*$G$18</f>
        <v>8979.42708333333</v>
      </c>
      <c r="AP91" s="0" t="n">
        <f aca="false">AP102*$G$18</f>
        <v>9203.91276041667</v>
      </c>
      <c r="AQ91" s="0" t="n">
        <f aca="false">AQ102*$G$18</f>
        <v>9203.91276041667</v>
      </c>
      <c r="AR91" s="0" t="n">
        <f aca="false">AR102*$G$18</f>
        <v>9203.91276041667</v>
      </c>
      <c r="AS91" s="0" t="n">
        <f aca="false">AS102*$G$18</f>
        <v>9203.91276041667</v>
      </c>
      <c r="AT91" s="0" t="n">
        <f aca="false">AT102*$G$18</f>
        <v>9203.91276041667</v>
      </c>
      <c r="AU91" s="0" t="n">
        <f aca="false">AU102*$G$18</f>
        <v>9203.91276041667</v>
      </c>
      <c r="AV91" s="0" t="n">
        <f aca="false">AV102*$G$18</f>
        <v>9203.91276041667</v>
      </c>
      <c r="AW91" s="0" t="n">
        <f aca="false">AW102*$G$18</f>
        <v>9203.91276041667</v>
      </c>
      <c r="AX91" s="0" t="n">
        <f aca="false">AX102*$G$18</f>
        <v>9203.91276041667</v>
      </c>
      <c r="AY91" s="0" t="n">
        <f aca="false">AY102*$G$18</f>
        <v>9203.91276041667</v>
      </c>
      <c r="AZ91" s="0" t="n">
        <f aca="false">AZ102*$G$18</f>
        <v>9203.91276041667</v>
      </c>
      <c r="BA91" s="0" t="n">
        <f aca="false">BA102*$G$18</f>
        <v>9203.91276041667</v>
      </c>
      <c r="BB91" s="0" t="n">
        <f aca="false">BB102*$G$18</f>
        <v>9434.01057942708</v>
      </c>
      <c r="BC91" s="0" t="n">
        <f aca="false">BC102*$G$18</f>
        <v>9434.01057942708</v>
      </c>
      <c r="BD91" s="0" t="n">
        <f aca="false">BD102*$G$18</f>
        <v>9434.01057942708</v>
      </c>
      <c r="BE91" s="0" t="n">
        <f aca="false">BE102*$G$18</f>
        <v>9434.01057942708</v>
      </c>
      <c r="BF91" s="0" t="n">
        <f aca="false">BF102*$G$18</f>
        <v>9434.01057942708</v>
      </c>
      <c r="BG91" s="0" t="n">
        <f aca="false">BG102*$G$18</f>
        <v>9434.01057942708</v>
      </c>
      <c r="BH91" s="0" t="n">
        <f aca="false">BH102*$G$18</f>
        <v>9434.01057942708</v>
      </c>
      <c r="BI91" s="0" t="n">
        <f aca="false">BI102*$G$18</f>
        <v>9434.01057942708</v>
      </c>
      <c r="BJ91" s="0" t="n">
        <f aca="false">BJ102*$G$18</f>
        <v>9434.01057942708</v>
      </c>
      <c r="BK91" s="0" t="n">
        <f aca="false">BK102*$G$18</f>
        <v>9434.01057942708</v>
      </c>
      <c r="BL91" s="0" t="n">
        <f aca="false">BL102*$G$18</f>
        <v>9434.01057942708</v>
      </c>
      <c r="BM91" s="0" t="n">
        <f aca="false">BM102*$G$18</f>
        <v>9434.01057942708</v>
      </c>
      <c r="BN91" s="0" t="n">
        <f aca="false">BN102*$G$18</f>
        <v>9669.86084391276</v>
      </c>
      <c r="BO91" s="0" t="n">
        <f aca="false">BO102*$G$18</f>
        <v>9669.86084391276</v>
      </c>
      <c r="BP91" s="0" t="n">
        <f aca="false">BP102*$G$18</f>
        <v>9669.86084391276</v>
      </c>
      <c r="BQ91" s="0" t="n">
        <f aca="false">BQ102*$G$18</f>
        <v>9669.86084391276</v>
      </c>
      <c r="BR91" s="0" t="n">
        <f aca="false">BR102*$G$18</f>
        <v>9669.86084391276</v>
      </c>
      <c r="BS91" s="0" t="n">
        <f aca="false">BS102*$G$18</f>
        <v>9669.86084391276</v>
      </c>
      <c r="BT91" s="0" t="n">
        <f aca="false">BT102*$G$18</f>
        <v>9669.86084391276</v>
      </c>
      <c r="BU91" s="0" t="n">
        <f aca="false">BU102*$G$18</f>
        <v>9669.86084391276</v>
      </c>
      <c r="BV91" s="0" t="n">
        <f aca="false">BV102*$G$18</f>
        <v>9669.86084391276</v>
      </c>
      <c r="BW91" s="0" t="n">
        <f aca="false">BW102*$G$18</f>
        <v>9669.86084391276</v>
      </c>
      <c r="BX91" s="0" t="n">
        <f aca="false">BX102*$G$18</f>
        <v>9669.86084391276</v>
      </c>
      <c r="BY91" s="0" t="n">
        <f aca="false">BY102*$G$18</f>
        <v>9669.86084391276</v>
      </c>
      <c r="BZ91" s="0" t="n">
        <f aca="false">BZ102*$G$18</f>
        <v>9911.60736501057</v>
      </c>
      <c r="CA91" s="0" t="n">
        <f aca="false">CA102*$G$18</f>
        <v>9911.60736501057</v>
      </c>
      <c r="CB91" s="0" t="n">
        <f aca="false">CB102*$G$18</f>
        <v>9911.60736501057</v>
      </c>
      <c r="CC91" s="0" t="n">
        <f aca="false">CC102*$G$18</f>
        <v>9911.60736501057</v>
      </c>
      <c r="CD91" s="0" t="n">
        <f aca="false">CD102*$G$18</f>
        <v>9911.60736501057</v>
      </c>
      <c r="CE91" s="0" t="n">
        <f aca="false">CE102*$G$18</f>
        <v>9911.60736501057</v>
      </c>
      <c r="CF91" s="0" t="n">
        <f aca="false">CF102*$G$18</f>
        <v>9911.60736501057</v>
      </c>
      <c r="CG91" s="0" t="n">
        <f aca="false">CG102*$G$18</f>
        <v>9911.60736501057</v>
      </c>
      <c r="CH91" s="0" t="n">
        <f aca="false">CH102*$G$18</f>
        <v>9911.60736501057</v>
      </c>
      <c r="CI91" s="0" t="n">
        <f aca="false">CI102*$G$18</f>
        <v>9911.60736501057</v>
      </c>
      <c r="CJ91" s="0" t="n">
        <f aca="false">CJ102*$G$18</f>
        <v>9911.60736501057</v>
      </c>
      <c r="CK91" s="0" t="n">
        <f aca="false">CK102*$G$18</f>
        <v>9911.60736501057</v>
      </c>
      <c r="CL91" s="0" t="n">
        <f aca="false">CL102*$G$18</f>
        <v>10159.3975491358</v>
      </c>
      <c r="CM91" s="0" t="n">
        <f aca="false">CM102*$G$18</f>
        <v>10159.3975491358</v>
      </c>
      <c r="CN91" s="0" t="n">
        <f aca="false">CN102*$G$18</f>
        <v>10159.3975491358</v>
      </c>
      <c r="CO91" s="0" t="n">
        <f aca="false">CO102*$G$18</f>
        <v>10159.3975491358</v>
      </c>
      <c r="CP91" s="0" t="n">
        <f aca="false">CP102*$G$18</f>
        <v>10159.3975491358</v>
      </c>
      <c r="CQ91" s="0" t="n">
        <f aca="false">CQ102*$G$18</f>
        <v>10159.3975491358</v>
      </c>
      <c r="CR91" s="0" t="n">
        <f aca="false">CR102*$G$18</f>
        <v>10159.3975491358</v>
      </c>
      <c r="CS91" s="0" t="n">
        <f aca="false">CS102*$G$18</f>
        <v>10159.3975491358</v>
      </c>
      <c r="CT91" s="0" t="n">
        <f aca="false">CT102*$G$18</f>
        <v>10159.3975491358</v>
      </c>
      <c r="CU91" s="0" t="n">
        <f aca="false">CU102*$G$18</f>
        <v>10159.3975491358</v>
      </c>
      <c r="CV91" s="0" t="n">
        <f aca="false">CV102*$G$18</f>
        <v>10159.3975491358</v>
      </c>
      <c r="CW91" s="0" t="n">
        <f aca="false">CW102*$G$18</f>
        <v>10159.3975491358</v>
      </c>
      <c r="CX91" s="0" t="n">
        <f aca="false">CX102*$G$18</f>
        <v>10413.3824878642</v>
      </c>
      <c r="CY91" s="0" t="n">
        <f aca="false">CY102*$G$18</f>
        <v>10413.3824878642</v>
      </c>
      <c r="CZ91" s="0" t="n">
        <f aca="false">CZ102*$G$18</f>
        <v>10413.3824878642</v>
      </c>
      <c r="DA91" s="0" t="n">
        <f aca="false">DA102*$G$18</f>
        <v>10413.3824878642</v>
      </c>
      <c r="DB91" s="0" t="n">
        <f aca="false">DB102*$G$18</f>
        <v>10413.3824878642</v>
      </c>
      <c r="DC91" s="0" t="n">
        <f aca="false">DC102*$G$18</f>
        <v>10413.3824878642</v>
      </c>
      <c r="DD91" s="0" t="n">
        <f aca="false">DD102*$G$18</f>
        <v>10413.3824878642</v>
      </c>
      <c r="DE91" s="0" t="n">
        <f aca="false">DE102*$G$18</f>
        <v>10413.3824878642</v>
      </c>
      <c r="DF91" s="0" t="n">
        <f aca="false">DF102*$G$18</f>
        <v>10413.3824878642</v>
      </c>
      <c r="DG91" s="0" t="n">
        <f aca="false">DG102*$G$18</f>
        <v>10413.3824878642</v>
      </c>
      <c r="DH91" s="0" t="n">
        <f aca="false">DH102*$G$18</f>
        <v>10413.3824878642</v>
      </c>
      <c r="DI91" s="0" t="n">
        <f aca="false">DI102*$G$18</f>
        <v>10413.3824878642</v>
      </c>
      <c r="DJ91" s="0" t="n">
        <f aca="false">DJ102*$G$18</f>
        <v>10673.7170500608</v>
      </c>
      <c r="DK91" s="0" t="n">
        <f aca="false">DK102*$G$18</f>
        <v>10673.7170500608</v>
      </c>
      <c r="DL91" s="0" t="n">
        <f aca="false">DL102*$G$18</f>
        <v>10673.7170500608</v>
      </c>
      <c r="DM91" s="0" t="n">
        <f aca="false">DM102*$G$18</f>
        <v>10673.7170500608</v>
      </c>
      <c r="DN91" s="0" t="n">
        <f aca="false">DN102*$G$18</f>
        <v>10673.7170500608</v>
      </c>
      <c r="DO91" s="0" t="n">
        <f aca="false">DO102*$G$18</f>
        <v>10673.7170500608</v>
      </c>
      <c r="DP91" s="0" t="n">
        <f aca="false">DP102*$G$18</f>
        <v>10673.7170500608</v>
      </c>
      <c r="DQ91" s="0" t="n">
        <f aca="false">DQ102*$G$18</f>
        <v>10673.7170500608</v>
      </c>
      <c r="DR91" s="0" t="n">
        <f aca="false">DR102*$G$18</f>
        <v>10673.7170500608</v>
      </c>
      <c r="DS91" s="0" t="n">
        <f aca="false">DS102*$G$18</f>
        <v>10673.7170500608</v>
      </c>
      <c r="DT91" s="0" t="n">
        <f aca="false">DT102*$G$18</f>
        <v>10673.7170500608</v>
      </c>
      <c r="DU91" s="0" t="n">
        <f aca="false">DU102*$G$18</f>
        <v>10673.7170500608</v>
      </c>
      <c r="DV91" s="0" t="n">
        <f aca="false">DV102*$G$18</f>
        <v>10940.5599763124</v>
      </c>
      <c r="DW91" s="0" t="n">
        <f aca="false">DW102*$G$18</f>
        <v>10940.5599763124</v>
      </c>
      <c r="DX91" s="0" t="n">
        <f aca="false">DX102*$G$18</f>
        <v>10940.5599763124</v>
      </c>
      <c r="DY91" s="0" t="n">
        <f aca="false">DY102*$G$18</f>
        <v>10940.5599763124</v>
      </c>
      <c r="DZ91" s="0" t="n">
        <f aca="false">DZ102*$G$18</f>
        <v>10940.5599763124</v>
      </c>
      <c r="EA91" s="0" t="n">
        <f aca="false">EA102*$G$18</f>
        <v>10940.5599763124</v>
      </c>
      <c r="EB91" s="0" t="n">
        <f aca="false">EB102*$G$18</f>
        <v>10940.5599763124</v>
      </c>
      <c r="EC91" s="0" t="n">
        <f aca="false">EC102*$G$18</f>
        <v>10940.5599763124</v>
      </c>
      <c r="ED91" s="0" t="n">
        <f aca="false">ED102*$G$18</f>
        <v>10940.5599763124</v>
      </c>
      <c r="EE91" s="0" t="n">
        <f aca="false">EE102*$G$18</f>
        <v>10940.5599763124</v>
      </c>
      <c r="EF91" s="0" t="n">
        <f aca="false">EF102*$G$18</f>
        <v>10940.5599763124</v>
      </c>
      <c r="EG91" s="0" t="n">
        <f aca="false">EG102*$G$18</f>
        <v>10940.5599763124</v>
      </c>
      <c r="EH91" s="0" t="n">
        <f aca="false">EH102*$G$18</f>
        <v>11214.0739757202</v>
      </c>
      <c r="EI91" s="0" t="n">
        <f aca="false">EI102*$G$18</f>
        <v>11214.0739757202</v>
      </c>
      <c r="EJ91" s="0" t="n">
        <f aca="false">EJ102*$G$18</f>
        <v>11214.0739757202</v>
      </c>
      <c r="EK91" s="0" t="n">
        <f aca="false">EK102*$G$18</f>
        <v>11214.0739757202</v>
      </c>
      <c r="EL91" s="0" t="n">
        <f aca="false">EL102*$G$18</f>
        <v>11214.0739757202</v>
      </c>
      <c r="EM91" s="0" t="n">
        <f aca="false">EM102*$G$18</f>
        <v>11214.0739757202</v>
      </c>
      <c r="EN91" s="0" t="n">
        <f aca="false">EN102*$G$18</f>
        <v>11214.0739757202</v>
      </c>
      <c r="EO91" s="0" t="n">
        <f aca="false">EO102*$G$18</f>
        <v>11214.0739757202</v>
      </c>
      <c r="EP91" s="0" t="n">
        <f aca="false">EP102*$G$18</f>
        <v>11214.0739757202</v>
      </c>
      <c r="EQ91" s="0" t="n">
        <f aca="false">EQ102*$G$18</f>
        <v>11214.0739757202</v>
      </c>
      <c r="ER91" s="0" t="n">
        <f aca="false">ER102*$G$18</f>
        <v>11214.0739757202</v>
      </c>
      <c r="ES91" s="0" t="n">
        <f aca="false">ES102*$G$18</f>
        <v>11214.0739757202</v>
      </c>
      <c r="ET91" s="0" t="n">
        <f aca="false">ET102*$G$18</f>
        <v>11494.4258251132</v>
      </c>
      <c r="EU91" s="0" t="n">
        <f aca="false">EU102*$G$18</f>
        <v>11494.4258251132</v>
      </c>
      <c r="EV91" s="0" t="n">
        <f aca="false">EV102*$G$18</f>
        <v>11494.4258251132</v>
      </c>
      <c r="EW91" s="0" t="n">
        <f aca="false">EW102*$G$18</f>
        <v>11494.4258251132</v>
      </c>
      <c r="EX91" s="0" t="n">
        <f aca="false">EX102*$G$18</f>
        <v>11494.4258251132</v>
      </c>
      <c r="EY91" s="0" t="n">
        <f aca="false">EY102*$G$18</f>
        <v>11494.4258251132</v>
      </c>
      <c r="EZ91" s="0" t="n">
        <f aca="false">EZ102*$G$18</f>
        <v>11494.4258251132</v>
      </c>
      <c r="FA91" s="0" t="n">
        <f aca="false">FA102*$G$18</f>
        <v>11494.4258251132</v>
      </c>
      <c r="FB91" s="0" t="n">
        <f aca="false">FB102*$G$18</f>
        <v>11494.4258251132</v>
      </c>
      <c r="FC91" s="0" t="n">
        <f aca="false">FC102*$G$18</f>
        <v>11494.4258251132</v>
      </c>
      <c r="FD91" s="0" t="n">
        <f aca="false">FD102*$G$18</f>
        <v>11494.4258251132</v>
      </c>
      <c r="FE91" s="0" t="n">
        <f aca="false">FE102*$G$18</f>
        <v>11494.4258251132</v>
      </c>
      <c r="FF91" s="0" t="n">
        <f aca="false">FF102*$G$18</f>
        <v>11781.786470741</v>
      </c>
      <c r="FG91" s="0" t="n">
        <f aca="false">FG102*$G$18</f>
        <v>11781.786470741</v>
      </c>
      <c r="FH91" s="0" t="n">
        <f aca="false">FH102*$G$18</f>
        <v>11781.786470741</v>
      </c>
      <c r="FI91" s="0" t="n">
        <f aca="false">FI102*$G$18</f>
        <v>11781.786470741</v>
      </c>
      <c r="FJ91" s="0" t="n">
        <f aca="false">FJ102*$G$18</f>
        <v>11781.786470741</v>
      </c>
      <c r="FK91" s="0" t="n">
        <f aca="false">FK102*$G$18</f>
        <v>11781.786470741</v>
      </c>
      <c r="FL91" s="0" t="n">
        <f aca="false">FL102*$G$18</f>
        <v>11781.786470741</v>
      </c>
      <c r="FM91" s="0" t="n">
        <f aca="false">FM102*$G$18</f>
        <v>11781.786470741</v>
      </c>
      <c r="FN91" s="0" t="n">
        <f aca="false">FN102*$G$18</f>
        <v>11781.786470741</v>
      </c>
      <c r="FO91" s="0" t="n">
        <f aca="false">FO102*$G$18</f>
        <v>11781.786470741</v>
      </c>
      <c r="FP91" s="0" t="n">
        <f aca="false">FP102*$G$18</f>
        <v>11781.786470741</v>
      </c>
      <c r="FQ91" s="0" t="n">
        <f aca="false">FQ102*$G$18</f>
        <v>11781.786470741</v>
      </c>
      <c r="FR91" s="0" t="n">
        <f aca="false">FR102*$G$18</f>
        <v>0</v>
      </c>
      <c r="FS91" s="0" t="n">
        <f aca="false">FS102*$G$18</f>
        <v>0</v>
      </c>
      <c r="FT91" s="0" t="n">
        <f aca="false">FT102*$G$18</f>
        <v>0</v>
      </c>
      <c r="FU91" s="0" t="n">
        <f aca="false">FU102*$G$18</f>
        <v>0</v>
      </c>
      <c r="FV91" s="0" t="n">
        <f aca="false">FV102*$G$18</f>
        <v>0</v>
      </c>
      <c r="FW91" s="0" t="n">
        <f aca="false">FW102*$G$18</f>
        <v>0</v>
      </c>
      <c r="FX91" s="0" t="n">
        <f aca="false">FX102*$G$18</f>
        <v>0</v>
      </c>
      <c r="FY91" s="0" t="n">
        <f aca="false">FY102*$G$18</f>
        <v>0</v>
      </c>
      <c r="FZ91" s="0" t="n">
        <f aca="false">FZ102*$G$18</f>
        <v>0</v>
      </c>
      <c r="GA91" s="0" t="n">
        <f aca="false">GA102*$G$18</f>
        <v>0</v>
      </c>
      <c r="GB91" s="0" t="n">
        <f aca="false">GB102*$G$18</f>
        <v>0</v>
      </c>
      <c r="GC91" s="0" t="n">
        <f aca="false">GC102*$G$18</f>
        <v>0</v>
      </c>
      <c r="GD91" s="0" t="n">
        <f aca="false">GD102*$G$18</f>
        <v>0</v>
      </c>
      <c r="GE91" s="0" t="n">
        <f aca="false">GE102*$G$18</f>
        <v>0</v>
      </c>
      <c r="GF91" s="0" t="n">
        <f aca="false">GF102*$G$18</f>
        <v>0</v>
      </c>
      <c r="GG91" s="0" t="n">
        <f aca="false">GG102*$G$18</f>
        <v>0</v>
      </c>
      <c r="GH91" s="0" t="n">
        <f aca="false">GH102*$G$18</f>
        <v>0</v>
      </c>
      <c r="GI91" s="0" t="n">
        <f aca="false">GI102*$G$18</f>
        <v>0</v>
      </c>
      <c r="GJ91" s="0" t="n">
        <f aca="false">GJ102*$G$18</f>
        <v>0</v>
      </c>
      <c r="GK91" s="0" t="n">
        <f aca="false">GK102*$G$18</f>
        <v>0</v>
      </c>
      <c r="GL91" s="0" t="n">
        <f aca="false">GL102*$G$18</f>
        <v>0</v>
      </c>
      <c r="GM91" s="0" t="n">
        <f aca="false">GM102*$G$18</f>
        <v>0</v>
      </c>
      <c r="GN91" s="0" t="n">
        <f aca="false">GN102*$G$18</f>
        <v>0</v>
      </c>
      <c r="GO91" s="0" t="n">
        <f aca="false">GO102*$G$18</f>
        <v>0</v>
      </c>
      <c r="GP91" s="0" t="n">
        <f aca="false">GP102*$G$18</f>
        <v>0</v>
      </c>
      <c r="GQ91" s="0" t="n">
        <f aca="false">GQ102*$G$18</f>
        <v>0</v>
      </c>
      <c r="GR91" s="0" t="n">
        <f aca="false">GR102*$G$18</f>
        <v>0</v>
      </c>
      <c r="GS91" s="0" t="n">
        <f aca="false">GS102*$G$18</f>
        <v>0</v>
      </c>
      <c r="GT91" s="0" t="n">
        <f aca="false">GT102*$G$18</f>
        <v>0</v>
      </c>
      <c r="GU91" s="0" t="n">
        <f aca="false">GU102*$G$18</f>
        <v>0</v>
      </c>
      <c r="GV91" s="0" t="n">
        <f aca="false">GV102*$G$18</f>
        <v>0</v>
      </c>
      <c r="GW91" s="0" t="n">
        <f aca="false">GW102*$G$18</f>
        <v>0</v>
      </c>
      <c r="GX91" s="0" t="n">
        <f aca="false">GX102*$G$18</f>
        <v>0</v>
      </c>
      <c r="GY91" s="0" t="n">
        <f aca="false">GY102*$G$18</f>
        <v>0</v>
      </c>
      <c r="GZ91" s="0" t="n">
        <f aca="false">GZ102*$G$18</f>
        <v>0</v>
      </c>
      <c r="HA91" s="0" t="n">
        <f aca="false">HA102*$G$18</f>
        <v>0</v>
      </c>
      <c r="HB91" s="0" t="n">
        <f aca="false">HB102*$G$18</f>
        <v>0</v>
      </c>
      <c r="HC91" s="0" t="n">
        <f aca="false">HC102*$G$18</f>
        <v>0</v>
      </c>
      <c r="HD91" s="0" t="n">
        <f aca="false">HD102*$G$18</f>
        <v>0</v>
      </c>
      <c r="HE91" s="0" t="n">
        <f aca="false">HE102*$G$18</f>
        <v>0</v>
      </c>
      <c r="HF91" s="0" t="n">
        <f aca="false">HF102*$G$18</f>
        <v>0</v>
      </c>
      <c r="HG91" s="0" t="n">
        <f aca="false">HG102*$G$18</f>
        <v>0</v>
      </c>
      <c r="HH91" s="0" t="n">
        <f aca="false">HH102*$G$18</f>
        <v>0</v>
      </c>
      <c r="HI91" s="0" t="n">
        <f aca="false">HI102*$G$18</f>
        <v>0</v>
      </c>
      <c r="HJ91" s="0" t="n">
        <f aca="false">HJ102*$G$18</f>
        <v>0</v>
      </c>
      <c r="HK91" s="0" t="n">
        <f aca="false">HK102*$G$18</f>
        <v>0</v>
      </c>
      <c r="HL91" s="0" t="n">
        <f aca="false">HL102*$G$18</f>
        <v>0</v>
      </c>
      <c r="HM91" s="0" t="n">
        <f aca="false">HM102*$G$18</f>
        <v>0</v>
      </c>
      <c r="HN91" s="0" t="n">
        <f aca="false">HN102*$G$18</f>
        <v>0</v>
      </c>
      <c r="HO91" s="0" t="n">
        <f aca="false">HO102*$G$18</f>
        <v>0</v>
      </c>
      <c r="HP91" s="0" t="n">
        <f aca="false">HP102*$G$18</f>
        <v>0</v>
      </c>
      <c r="HQ91" s="0" t="n">
        <f aca="false">HQ102*$G$18</f>
        <v>0</v>
      </c>
      <c r="HR91" s="0" t="n">
        <f aca="false">HR102*$G$18</f>
        <v>0</v>
      </c>
      <c r="HS91" s="0" t="n">
        <f aca="false">HS102*$G$18</f>
        <v>0</v>
      </c>
      <c r="HT91" s="0" t="n">
        <f aca="false">HT102*$G$18</f>
        <v>0</v>
      </c>
      <c r="HU91" s="0" t="n">
        <f aca="false">HU102*$G$18</f>
        <v>0</v>
      </c>
      <c r="HV91" s="0" t="n">
        <f aca="false">HV102*$G$18</f>
        <v>0</v>
      </c>
      <c r="HW91" s="0" t="n">
        <f aca="false">HW102*$G$18</f>
        <v>0</v>
      </c>
      <c r="HX91" s="0" t="n">
        <f aca="false">HX102*$G$18</f>
        <v>0</v>
      </c>
      <c r="HY91" s="0" t="n">
        <f aca="false">HY102*$G$18</f>
        <v>0</v>
      </c>
      <c r="HZ91" s="0" t="n">
        <f aca="false">HZ102*$G$18</f>
        <v>0</v>
      </c>
      <c r="IA91" s="0" t="n">
        <f aca="false">IA102*$G$18</f>
        <v>0</v>
      </c>
      <c r="IB91" s="0" t="n">
        <f aca="false">IB102*$G$18</f>
        <v>0</v>
      </c>
      <c r="IC91" s="0" t="n">
        <f aca="false">IC102*$G$18</f>
        <v>0</v>
      </c>
      <c r="ID91" s="0" t="n">
        <f aca="false">ID102*$G$18</f>
        <v>0</v>
      </c>
      <c r="IE91" s="0" t="n">
        <f aca="false">IE102*$G$18</f>
        <v>0</v>
      </c>
      <c r="IF91" s="0" t="n">
        <f aca="false">IF102*$G$18</f>
        <v>0</v>
      </c>
      <c r="IG91" s="0" t="n">
        <f aca="false">IG102*$G$18</f>
        <v>0</v>
      </c>
      <c r="IH91" s="0" t="n">
        <f aca="false">IH102*$G$18</f>
        <v>0</v>
      </c>
      <c r="II91" s="0" t="n">
        <f aca="false">II102*$G$18</f>
        <v>0</v>
      </c>
      <c r="IJ91" s="0" t="n">
        <f aca="false">IJ102*$G$18</f>
        <v>0</v>
      </c>
      <c r="IK91" s="0" t="n">
        <f aca="false">IK102*$G$18</f>
        <v>0</v>
      </c>
      <c r="IL91" s="0" t="n">
        <f aca="false">IL102*$G$18</f>
        <v>0</v>
      </c>
      <c r="IM91" s="0" t="n">
        <f aca="false">IM102*$G$18</f>
        <v>0</v>
      </c>
      <c r="IN91" s="0" t="n">
        <f aca="false">IN102*$G$18</f>
        <v>0</v>
      </c>
      <c r="IO91" s="0" t="n">
        <f aca="false">IO102*$G$18</f>
        <v>0</v>
      </c>
      <c r="IP91" s="0" t="n">
        <f aca="false">IP102*$G$18</f>
        <v>0</v>
      </c>
      <c r="IQ91" s="0" t="n">
        <f aca="false">IQ102*$G$18</f>
        <v>0</v>
      </c>
      <c r="IR91" s="0" t="n">
        <f aca="false">IR102*$G$18</f>
        <v>0</v>
      </c>
      <c r="IS91" s="0" t="n">
        <f aca="false">IS102*$G$18</f>
        <v>0</v>
      </c>
      <c r="IT91" s="0" t="n">
        <f aca="false">IT102*$G$18</f>
        <v>0</v>
      </c>
      <c r="IU91" s="0" t="n">
        <f aca="false">IU102*$G$18</f>
        <v>0</v>
      </c>
      <c r="IV91" s="0" t="n">
        <f aca="false">IV102*$G$18</f>
        <v>0</v>
      </c>
      <c r="IW91" s="0" t="n">
        <f aca="false">IW102*$G$18</f>
        <v>0</v>
      </c>
    </row>
    <row r="96" customFormat="false" ht="15" hidden="false" customHeight="false" outlineLevel="0" collapsed="false">
      <c r="P96" s="0" t="s">
        <v>66</v>
      </c>
      <c r="Q96" s="0" t="n">
        <v>0</v>
      </c>
      <c r="R96" s="0" t="n">
        <f aca="false">(SUM(R81:R83)&gt;0)*$G$13/12*(1+$G$15)^(R78-1)</f>
        <v>125</v>
      </c>
      <c r="S96" s="0" t="n">
        <f aca="false">(SUM(S81:S83)&gt;0)*$G$13/12*(1+$G$15)^(S78-1)</f>
        <v>125</v>
      </c>
      <c r="T96" s="0" t="n">
        <f aca="false">(SUM(T81:T83)&gt;0)*$G$13/12*(1+$G$15)^(T78-1)</f>
        <v>125</v>
      </c>
      <c r="U96" s="0" t="n">
        <f aca="false">(SUM(U81:U83)&gt;0)*$G$13/12*(1+$G$15)^(U78-1)</f>
        <v>125</v>
      </c>
      <c r="V96" s="0" t="n">
        <f aca="false">(SUM(V81:V83)&gt;0)*$G$13/12*(1+$G$15)^(V78-1)</f>
        <v>125</v>
      </c>
      <c r="W96" s="0" t="n">
        <f aca="false">(SUM(W81:W83)&gt;0)*$G$13/12*(1+$G$15)^(W78-1)</f>
        <v>125</v>
      </c>
      <c r="X96" s="0" t="n">
        <f aca="false">(SUM(X81:X83)&gt;0)*$G$13/12*(1+$G$15)^(X78-1)</f>
        <v>125</v>
      </c>
      <c r="Y96" s="0" t="n">
        <f aca="false">(SUM(Y81:Y83)&gt;0)*$G$13/12*(1+$G$15)^(Y78-1)</f>
        <v>125</v>
      </c>
      <c r="Z96" s="0" t="n">
        <f aca="false">(SUM(Z81:Z83)&gt;0)*$G$13/12*(1+$G$15)^(Z78-1)</f>
        <v>125</v>
      </c>
      <c r="AA96" s="0" t="n">
        <f aca="false">(SUM(AA81:AA83)&gt;0)*$G$13/12*(1+$G$15)^(AA78-1)</f>
        <v>125</v>
      </c>
      <c r="AB96" s="0" t="n">
        <f aca="false">(SUM(AB81:AB83)&gt;0)*$G$13/12*(1+$G$15)^(AB78-1)</f>
        <v>125</v>
      </c>
      <c r="AC96" s="0" t="n">
        <f aca="false">(SUM(AC81:AC83)&gt;0)*$G$13/12*(1+$G$15)^(AC78-1)</f>
        <v>125</v>
      </c>
      <c r="AD96" s="0" t="n">
        <f aca="false">(SUM(AD81:AD83)&gt;0)*$G$13/12*(1+$G$15)^(AD78-1)</f>
        <v>127.5</v>
      </c>
      <c r="AE96" s="0" t="n">
        <f aca="false">(SUM(AE81:AE83)&gt;0)*$G$13/12*(1+$G$15)^(AE78-1)</f>
        <v>127.5</v>
      </c>
      <c r="AF96" s="0" t="n">
        <f aca="false">(SUM(AF81:AF83)&gt;0)*$G$13/12*(1+$G$15)^(AF78-1)</f>
        <v>127.5</v>
      </c>
      <c r="AG96" s="0" t="n">
        <f aca="false">(SUM(AG81:AG83)&gt;0)*$G$13/12*(1+$G$15)^(AG78-1)</f>
        <v>127.5</v>
      </c>
      <c r="AH96" s="0" t="n">
        <f aca="false">(SUM(AH81:AH83)&gt;0)*$G$13/12*(1+$G$15)^(AH78-1)</f>
        <v>127.5</v>
      </c>
      <c r="AI96" s="0" t="n">
        <f aca="false">(SUM(AI81:AI83)&gt;0)*$G$13/12*(1+$G$15)^(AI78-1)</f>
        <v>127.5</v>
      </c>
      <c r="AJ96" s="0" t="n">
        <f aca="false">(SUM(AJ81:AJ83)&gt;0)*$G$13/12*(1+$G$15)^(AJ78-1)</f>
        <v>127.5</v>
      </c>
      <c r="AK96" s="0" t="n">
        <f aca="false">(SUM(AK81:AK83)&gt;0)*$G$13/12*(1+$G$15)^(AK78-1)</f>
        <v>127.5</v>
      </c>
      <c r="AL96" s="0" t="n">
        <f aca="false">(SUM(AL81:AL83)&gt;0)*$G$13/12*(1+$G$15)^(AL78-1)</f>
        <v>127.5</v>
      </c>
      <c r="AM96" s="0" t="n">
        <f aca="false">(SUM(AM81:AM83)&gt;0)*$G$13/12*(1+$G$15)^(AM78-1)</f>
        <v>127.5</v>
      </c>
      <c r="AN96" s="0" t="n">
        <f aca="false">(SUM(AN81:AN83)&gt;0)*$G$13/12*(1+$G$15)^(AN78-1)</f>
        <v>127.5</v>
      </c>
      <c r="AO96" s="0" t="n">
        <f aca="false">(SUM(AO81:AO83)&gt;0)*$G$13/12*(1+$G$15)^(AO78-1)</f>
        <v>127.5</v>
      </c>
      <c r="AP96" s="0" t="n">
        <f aca="false">(SUM(AP81:AP83)&gt;0)*$G$13/12*(1+$G$15)^(AP78-1)</f>
        <v>130.05</v>
      </c>
      <c r="AQ96" s="0" t="n">
        <f aca="false">(SUM(AQ81:AQ83)&gt;0)*$G$13/12*(1+$G$15)^(AQ78-1)</f>
        <v>130.05</v>
      </c>
      <c r="AR96" s="0" t="n">
        <f aca="false">(SUM(AR81:AR83)&gt;0)*$G$13/12*(1+$G$15)^(AR78-1)</f>
        <v>130.05</v>
      </c>
      <c r="AS96" s="0" t="n">
        <f aca="false">(SUM(AS81:AS83)&gt;0)*$G$13/12*(1+$G$15)^(AS78-1)</f>
        <v>130.05</v>
      </c>
      <c r="AT96" s="0" t="n">
        <f aca="false">(SUM(AT81:AT83)&gt;0)*$G$13/12*(1+$G$15)^(AT78-1)</f>
        <v>130.05</v>
      </c>
      <c r="AU96" s="0" t="n">
        <f aca="false">(SUM(AU81:AU83)&gt;0)*$G$13/12*(1+$G$15)^(AU78-1)</f>
        <v>130.05</v>
      </c>
      <c r="AV96" s="0" t="n">
        <f aca="false">(SUM(AV81:AV83)&gt;0)*$G$13/12*(1+$G$15)^(AV78-1)</f>
        <v>130.05</v>
      </c>
      <c r="AW96" s="0" t="n">
        <f aca="false">(SUM(AW81:AW83)&gt;0)*$G$13/12*(1+$G$15)^(AW78-1)</f>
        <v>130.05</v>
      </c>
      <c r="AX96" s="0" t="n">
        <f aca="false">(SUM(AX81:AX83)&gt;0)*$G$13/12*(1+$G$15)^(AX78-1)</f>
        <v>130.05</v>
      </c>
      <c r="AY96" s="0" t="n">
        <f aca="false">(SUM(AY81:AY83)&gt;0)*$G$13/12*(1+$G$15)^(AY78-1)</f>
        <v>130.05</v>
      </c>
      <c r="AZ96" s="0" t="n">
        <f aca="false">(SUM(AZ81:AZ83)&gt;0)*$G$13/12*(1+$G$15)^(AZ78-1)</f>
        <v>130.05</v>
      </c>
      <c r="BA96" s="0" t="n">
        <f aca="false">(SUM(BA81:BA83)&gt;0)*$G$13/12*(1+$G$15)^(BA78-1)</f>
        <v>130.05</v>
      </c>
      <c r="BB96" s="0" t="n">
        <f aca="false">(SUM(BB81:BB83)&gt;0)*$G$13/12*(1+$G$15)^(BB78-1)</f>
        <v>132.651</v>
      </c>
      <c r="BC96" s="0" t="n">
        <f aca="false">(SUM(BC81:BC83)&gt;0)*$G$13/12*(1+$G$15)^(BC78-1)</f>
        <v>132.651</v>
      </c>
      <c r="BD96" s="0" t="n">
        <f aca="false">(SUM(BD81:BD83)&gt;0)*$G$13/12*(1+$G$15)^(BD78-1)</f>
        <v>132.651</v>
      </c>
      <c r="BE96" s="0" t="n">
        <f aca="false">(SUM(BE81:BE83)&gt;0)*$G$13/12*(1+$G$15)^(BE78-1)</f>
        <v>132.651</v>
      </c>
      <c r="BF96" s="0" t="n">
        <f aca="false">(SUM(BF81:BF83)&gt;0)*$G$13/12*(1+$G$15)^(BF78-1)</f>
        <v>132.651</v>
      </c>
      <c r="BG96" s="0" t="n">
        <f aca="false">(SUM(BG81:BG83)&gt;0)*$G$13/12*(1+$G$15)^(BG78-1)</f>
        <v>132.651</v>
      </c>
      <c r="BH96" s="0" t="n">
        <f aca="false">(SUM(BH81:BH83)&gt;0)*$G$13/12*(1+$G$15)^(BH78-1)</f>
        <v>132.651</v>
      </c>
      <c r="BI96" s="0" t="n">
        <f aca="false">(SUM(BI81:BI83)&gt;0)*$G$13/12*(1+$G$15)^(BI78-1)</f>
        <v>132.651</v>
      </c>
      <c r="BJ96" s="0" t="n">
        <f aca="false">(SUM(BJ81:BJ83)&gt;0)*$G$13/12*(1+$G$15)^(BJ78-1)</f>
        <v>132.651</v>
      </c>
      <c r="BK96" s="0" t="n">
        <f aca="false">(SUM(BK81:BK83)&gt;0)*$G$13/12*(1+$G$15)^(BK78-1)</f>
        <v>132.651</v>
      </c>
      <c r="BL96" s="0" t="n">
        <f aca="false">(SUM(BL81:BL83)&gt;0)*$G$13/12*(1+$G$15)^(BL78-1)</f>
        <v>132.651</v>
      </c>
      <c r="BM96" s="0" t="n">
        <f aca="false">(SUM(BM81:BM83)&gt;0)*$G$13/12*(1+$G$15)^(BM78-1)</f>
        <v>132.651</v>
      </c>
      <c r="BN96" s="0" t="n">
        <f aca="false">(SUM(BN81:BN83)&gt;0)*$G$13/12*(1+$G$15)^(BN78-1)</f>
        <v>135.30402</v>
      </c>
      <c r="BO96" s="0" t="n">
        <f aca="false">(SUM(BO81:BO83)&gt;0)*$G$13/12*(1+$G$15)^(BO78-1)</f>
        <v>135.30402</v>
      </c>
      <c r="BP96" s="0" t="n">
        <f aca="false">(SUM(BP81:BP83)&gt;0)*$G$13/12*(1+$G$15)^(BP78-1)</f>
        <v>135.30402</v>
      </c>
      <c r="BQ96" s="0" t="n">
        <f aca="false">(SUM(BQ81:BQ83)&gt;0)*$G$13/12*(1+$G$15)^(BQ78-1)</f>
        <v>135.30402</v>
      </c>
      <c r="BR96" s="0" t="n">
        <f aca="false">(SUM(BR81:BR83)&gt;0)*$G$13/12*(1+$G$15)^(BR78-1)</f>
        <v>135.30402</v>
      </c>
      <c r="BS96" s="0" t="n">
        <f aca="false">(SUM(BS81:BS83)&gt;0)*$G$13/12*(1+$G$15)^(BS78-1)</f>
        <v>135.30402</v>
      </c>
      <c r="BT96" s="0" t="n">
        <f aca="false">(SUM(BT81:BT83)&gt;0)*$G$13/12*(1+$G$15)^(BT78-1)</f>
        <v>135.30402</v>
      </c>
      <c r="BU96" s="0" t="n">
        <f aca="false">(SUM(BU81:BU83)&gt;0)*$G$13/12*(1+$G$15)^(BU78-1)</f>
        <v>135.30402</v>
      </c>
      <c r="BV96" s="0" t="n">
        <f aca="false">(SUM(BV81:BV83)&gt;0)*$G$13/12*(1+$G$15)^(BV78-1)</f>
        <v>135.30402</v>
      </c>
      <c r="BW96" s="0" t="n">
        <f aca="false">(SUM(BW81:BW83)&gt;0)*$G$13/12*(1+$G$15)^(BW78-1)</f>
        <v>135.30402</v>
      </c>
      <c r="BX96" s="0" t="n">
        <f aca="false">(SUM(BX81:BX83)&gt;0)*$G$13/12*(1+$G$15)^(BX78-1)</f>
        <v>135.30402</v>
      </c>
      <c r="BY96" s="0" t="n">
        <f aca="false">(SUM(BY81:BY83)&gt;0)*$G$13/12*(1+$G$15)^(BY78-1)</f>
        <v>135.30402</v>
      </c>
      <c r="BZ96" s="0" t="n">
        <f aca="false">(SUM(BZ81:BZ83)&gt;0)*$G$13/12*(1+$G$15)^(BZ78-1)</f>
        <v>138.0101004</v>
      </c>
      <c r="CA96" s="0" t="n">
        <f aca="false">(SUM(CA81:CA83)&gt;0)*$G$13/12*(1+$G$15)^(CA78-1)</f>
        <v>138.0101004</v>
      </c>
      <c r="CB96" s="0" t="n">
        <f aca="false">(SUM(CB81:CB83)&gt;0)*$G$13/12*(1+$G$15)^(CB78-1)</f>
        <v>138.0101004</v>
      </c>
      <c r="CC96" s="0" t="n">
        <f aca="false">(SUM(CC81:CC83)&gt;0)*$G$13/12*(1+$G$15)^(CC78-1)</f>
        <v>138.0101004</v>
      </c>
      <c r="CD96" s="0" t="n">
        <f aca="false">(SUM(CD81:CD83)&gt;0)*$G$13/12*(1+$G$15)^(CD78-1)</f>
        <v>138.0101004</v>
      </c>
      <c r="CE96" s="0" t="n">
        <f aca="false">(SUM(CE81:CE83)&gt;0)*$G$13/12*(1+$G$15)^(CE78-1)</f>
        <v>138.0101004</v>
      </c>
      <c r="CF96" s="0" t="n">
        <f aca="false">(SUM(CF81:CF83)&gt;0)*$G$13/12*(1+$G$15)^(CF78-1)</f>
        <v>138.0101004</v>
      </c>
      <c r="CG96" s="0" t="n">
        <f aca="false">(SUM(CG81:CG83)&gt;0)*$G$13/12*(1+$G$15)^(CG78-1)</f>
        <v>138.0101004</v>
      </c>
      <c r="CH96" s="0" t="n">
        <f aca="false">(SUM(CH81:CH83)&gt;0)*$G$13/12*(1+$G$15)^(CH78-1)</f>
        <v>138.0101004</v>
      </c>
      <c r="CI96" s="0" t="n">
        <f aca="false">(SUM(CI81:CI83)&gt;0)*$G$13/12*(1+$G$15)^(CI78-1)</f>
        <v>138.0101004</v>
      </c>
      <c r="CJ96" s="0" t="n">
        <f aca="false">(SUM(CJ81:CJ83)&gt;0)*$G$13/12*(1+$G$15)^(CJ78-1)</f>
        <v>138.0101004</v>
      </c>
      <c r="CK96" s="0" t="n">
        <f aca="false">(SUM(CK81:CK83)&gt;0)*$G$13/12*(1+$G$15)^(CK78-1)</f>
        <v>138.0101004</v>
      </c>
      <c r="CL96" s="0" t="n">
        <f aca="false">(SUM(CL81:CL83)&gt;0)*$G$13/12*(1+$G$15)^(CL78-1)</f>
        <v>140.770302408</v>
      </c>
      <c r="CM96" s="0" t="n">
        <f aca="false">(SUM(CM81:CM83)&gt;0)*$G$13/12*(1+$G$15)^(CM78-1)</f>
        <v>140.770302408</v>
      </c>
      <c r="CN96" s="0" t="n">
        <f aca="false">(SUM(CN81:CN83)&gt;0)*$G$13/12*(1+$G$15)^(CN78-1)</f>
        <v>140.770302408</v>
      </c>
      <c r="CO96" s="0" t="n">
        <f aca="false">(SUM(CO81:CO83)&gt;0)*$G$13/12*(1+$G$15)^(CO78-1)</f>
        <v>140.770302408</v>
      </c>
      <c r="CP96" s="0" t="n">
        <f aca="false">(SUM(CP81:CP83)&gt;0)*$G$13/12*(1+$G$15)^(CP78-1)</f>
        <v>140.770302408</v>
      </c>
      <c r="CQ96" s="0" t="n">
        <f aca="false">(SUM(CQ81:CQ83)&gt;0)*$G$13/12*(1+$G$15)^(CQ78-1)</f>
        <v>140.770302408</v>
      </c>
      <c r="CR96" s="0" t="n">
        <f aca="false">(SUM(CR81:CR83)&gt;0)*$G$13/12*(1+$G$15)^(CR78-1)</f>
        <v>140.770302408</v>
      </c>
      <c r="CS96" s="0" t="n">
        <f aca="false">(SUM(CS81:CS83)&gt;0)*$G$13/12*(1+$G$15)^(CS78-1)</f>
        <v>140.770302408</v>
      </c>
      <c r="CT96" s="0" t="n">
        <f aca="false">(SUM(CT81:CT83)&gt;0)*$G$13/12*(1+$G$15)^(CT78-1)</f>
        <v>140.770302408</v>
      </c>
      <c r="CU96" s="0" t="n">
        <f aca="false">(SUM(CU81:CU83)&gt;0)*$G$13/12*(1+$G$15)^(CU78-1)</f>
        <v>140.770302408</v>
      </c>
      <c r="CV96" s="0" t="n">
        <f aca="false">(SUM(CV81:CV83)&gt;0)*$G$13/12*(1+$G$15)^(CV78-1)</f>
        <v>140.770302408</v>
      </c>
      <c r="CW96" s="0" t="n">
        <f aca="false">(SUM(CW81:CW83)&gt;0)*$G$13/12*(1+$G$15)^(CW78-1)</f>
        <v>140.770302408</v>
      </c>
      <c r="CX96" s="0" t="n">
        <f aca="false">(SUM(CX81:CX83)&gt;0)*$G$13/12*(1+$G$15)^(CX78-1)</f>
        <v>143.58570845616</v>
      </c>
      <c r="CY96" s="0" t="n">
        <f aca="false">(SUM(CY81:CY83)&gt;0)*$G$13/12*(1+$G$15)^(CY78-1)</f>
        <v>143.58570845616</v>
      </c>
      <c r="CZ96" s="0" t="n">
        <f aca="false">(SUM(CZ81:CZ83)&gt;0)*$G$13/12*(1+$G$15)^(CZ78-1)</f>
        <v>143.58570845616</v>
      </c>
      <c r="DA96" s="0" t="n">
        <f aca="false">(SUM(DA81:DA83)&gt;0)*$G$13/12*(1+$G$15)^(DA78-1)</f>
        <v>143.58570845616</v>
      </c>
      <c r="DB96" s="0" t="n">
        <f aca="false">(SUM(DB81:DB83)&gt;0)*$G$13/12*(1+$G$15)^(DB78-1)</f>
        <v>143.58570845616</v>
      </c>
      <c r="DC96" s="0" t="n">
        <f aca="false">(SUM(DC81:DC83)&gt;0)*$G$13/12*(1+$G$15)^(DC78-1)</f>
        <v>143.58570845616</v>
      </c>
      <c r="DD96" s="0" t="n">
        <f aca="false">(SUM(DD81:DD83)&gt;0)*$G$13/12*(1+$G$15)^(DD78-1)</f>
        <v>143.58570845616</v>
      </c>
      <c r="DE96" s="0" t="n">
        <f aca="false">(SUM(DE81:DE83)&gt;0)*$G$13/12*(1+$G$15)^(DE78-1)</f>
        <v>143.58570845616</v>
      </c>
      <c r="DF96" s="0" t="n">
        <f aca="false">(SUM(DF81:DF83)&gt;0)*$G$13/12*(1+$G$15)^(DF78-1)</f>
        <v>143.58570845616</v>
      </c>
      <c r="DG96" s="0" t="n">
        <f aca="false">(SUM(DG81:DG83)&gt;0)*$G$13/12*(1+$G$15)^(DG78-1)</f>
        <v>143.58570845616</v>
      </c>
      <c r="DH96" s="0" t="n">
        <f aca="false">(SUM(DH81:DH83)&gt;0)*$G$13/12*(1+$G$15)^(DH78-1)</f>
        <v>143.58570845616</v>
      </c>
      <c r="DI96" s="0" t="n">
        <f aca="false">(SUM(DI81:DI83)&gt;0)*$G$13/12*(1+$G$15)^(DI78-1)</f>
        <v>143.58570845616</v>
      </c>
      <c r="DJ96" s="0" t="n">
        <f aca="false">(SUM(DJ81:DJ83)&gt;0)*$G$13/12*(1+$G$15)^(DJ78-1)</f>
        <v>146.457422625283</v>
      </c>
      <c r="DK96" s="0" t="n">
        <f aca="false">(SUM(DK81:DK83)&gt;0)*$G$13/12*(1+$G$15)^(DK78-1)</f>
        <v>146.457422625283</v>
      </c>
      <c r="DL96" s="0" t="n">
        <f aca="false">(SUM(DL81:DL83)&gt;0)*$G$13/12*(1+$G$15)^(DL78-1)</f>
        <v>146.457422625283</v>
      </c>
      <c r="DM96" s="0" t="n">
        <f aca="false">(SUM(DM81:DM83)&gt;0)*$G$13/12*(1+$G$15)^(DM78-1)</f>
        <v>146.457422625283</v>
      </c>
      <c r="DN96" s="0" t="n">
        <f aca="false">(SUM(DN81:DN83)&gt;0)*$G$13/12*(1+$G$15)^(DN78-1)</f>
        <v>146.457422625283</v>
      </c>
      <c r="DO96" s="0" t="n">
        <f aca="false">(SUM(DO81:DO83)&gt;0)*$G$13/12*(1+$G$15)^(DO78-1)</f>
        <v>146.457422625283</v>
      </c>
      <c r="DP96" s="0" t="n">
        <f aca="false">(SUM(DP81:DP83)&gt;0)*$G$13/12*(1+$G$15)^(DP78-1)</f>
        <v>146.457422625283</v>
      </c>
      <c r="DQ96" s="0" t="n">
        <f aca="false">(SUM(DQ81:DQ83)&gt;0)*$G$13/12*(1+$G$15)^(DQ78-1)</f>
        <v>146.457422625283</v>
      </c>
      <c r="DR96" s="0" t="n">
        <f aca="false">(SUM(DR81:DR83)&gt;0)*$G$13/12*(1+$G$15)^(DR78-1)</f>
        <v>146.457422625283</v>
      </c>
      <c r="DS96" s="0" t="n">
        <f aca="false">(SUM(DS81:DS83)&gt;0)*$G$13/12*(1+$G$15)^(DS78-1)</f>
        <v>146.457422625283</v>
      </c>
      <c r="DT96" s="0" t="n">
        <f aca="false">(SUM(DT81:DT83)&gt;0)*$G$13/12*(1+$G$15)^(DT78-1)</f>
        <v>146.457422625283</v>
      </c>
      <c r="DU96" s="0" t="n">
        <f aca="false">(SUM(DU81:DU83)&gt;0)*$G$13/12*(1+$G$15)^(DU78-1)</f>
        <v>146.457422625283</v>
      </c>
      <c r="DV96" s="0" t="n">
        <f aca="false">(SUM(DV81:DV83)&gt;0)*$G$13/12*(1+$G$15)^(DV78-1)</f>
        <v>149.386571077789</v>
      </c>
      <c r="DW96" s="0" t="n">
        <f aca="false">(SUM(DW81:DW83)&gt;0)*$G$13/12*(1+$G$15)^(DW78-1)</f>
        <v>149.386571077789</v>
      </c>
      <c r="DX96" s="0" t="n">
        <f aca="false">(SUM(DX81:DX83)&gt;0)*$G$13/12*(1+$G$15)^(DX78-1)</f>
        <v>149.386571077789</v>
      </c>
      <c r="DY96" s="0" t="n">
        <f aca="false">(SUM(DY81:DY83)&gt;0)*$G$13/12*(1+$G$15)^(DY78-1)</f>
        <v>149.386571077789</v>
      </c>
      <c r="DZ96" s="0" t="n">
        <f aca="false">(SUM(DZ81:DZ83)&gt;0)*$G$13/12*(1+$G$15)^(DZ78-1)</f>
        <v>149.386571077789</v>
      </c>
      <c r="EA96" s="0" t="n">
        <f aca="false">(SUM(EA81:EA83)&gt;0)*$G$13/12*(1+$G$15)^(EA78-1)</f>
        <v>149.386571077789</v>
      </c>
      <c r="EB96" s="0" t="n">
        <f aca="false">(SUM(EB81:EB83)&gt;0)*$G$13/12*(1+$G$15)^(EB78-1)</f>
        <v>149.386571077789</v>
      </c>
      <c r="EC96" s="0" t="n">
        <f aca="false">(SUM(EC81:EC83)&gt;0)*$G$13/12*(1+$G$15)^(EC78-1)</f>
        <v>149.386571077789</v>
      </c>
      <c r="ED96" s="0" t="n">
        <f aca="false">(SUM(ED81:ED83)&gt;0)*$G$13/12*(1+$G$15)^(ED78-1)</f>
        <v>149.386571077789</v>
      </c>
      <c r="EE96" s="0" t="n">
        <f aca="false">(SUM(EE81:EE83)&gt;0)*$G$13/12*(1+$G$15)^(EE78-1)</f>
        <v>149.386571077789</v>
      </c>
      <c r="EF96" s="0" t="n">
        <f aca="false">(SUM(EF81:EF83)&gt;0)*$G$13/12*(1+$G$15)^(EF78-1)</f>
        <v>149.386571077789</v>
      </c>
      <c r="EG96" s="0" t="n">
        <f aca="false">(SUM(EG81:EG83)&gt;0)*$G$13/12*(1+$G$15)^(EG78-1)</f>
        <v>149.386571077789</v>
      </c>
      <c r="EH96" s="0" t="n">
        <f aca="false">(SUM(EH81:EH83)&gt;0)*$G$13/12*(1+$G$15)^(EH78-1)</f>
        <v>152.374302499345</v>
      </c>
      <c r="EI96" s="0" t="n">
        <f aca="false">(SUM(EI81:EI83)&gt;0)*$G$13/12*(1+$G$15)^(EI78-1)</f>
        <v>152.374302499345</v>
      </c>
      <c r="EJ96" s="0" t="n">
        <f aca="false">(SUM(EJ81:EJ83)&gt;0)*$G$13/12*(1+$G$15)^(EJ78-1)</f>
        <v>152.374302499345</v>
      </c>
      <c r="EK96" s="0" t="n">
        <f aca="false">(SUM(EK81:EK83)&gt;0)*$G$13/12*(1+$G$15)^(EK78-1)</f>
        <v>152.374302499345</v>
      </c>
      <c r="EL96" s="0" t="n">
        <f aca="false">(SUM(EL81:EL83)&gt;0)*$G$13/12*(1+$G$15)^(EL78-1)</f>
        <v>152.374302499345</v>
      </c>
      <c r="EM96" s="0" t="n">
        <f aca="false">(SUM(EM81:EM83)&gt;0)*$G$13/12*(1+$G$15)^(EM78-1)</f>
        <v>152.374302499345</v>
      </c>
      <c r="EN96" s="0" t="n">
        <f aca="false">(SUM(EN81:EN83)&gt;0)*$G$13/12*(1+$G$15)^(EN78-1)</f>
        <v>152.374302499345</v>
      </c>
      <c r="EO96" s="0" t="n">
        <f aca="false">(SUM(EO81:EO83)&gt;0)*$G$13/12*(1+$G$15)^(EO78-1)</f>
        <v>152.374302499345</v>
      </c>
      <c r="EP96" s="0" t="n">
        <f aca="false">(SUM(EP81:EP83)&gt;0)*$G$13/12*(1+$G$15)^(EP78-1)</f>
        <v>152.374302499345</v>
      </c>
      <c r="EQ96" s="0" t="n">
        <f aca="false">(SUM(EQ81:EQ83)&gt;0)*$G$13/12*(1+$G$15)^(EQ78-1)</f>
        <v>152.374302499345</v>
      </c>
      <c r="ER96" s="0" t="n">
        <f aca="false">(SUM(ER81:ER83)&gt;0)*$G$13/12*(1+$G$15)^(ER78-1)</f>
        <v>152.374302499345</v>
      </c>
      <c r="ES96" s="0" t="n">
        <f aca="false">(SUM(ES81:ES83)&gt;0)*$G$13/12*(1+$G$15)^(ES78-1)</f>
        <v>152.374302499345</v>
      </c>
      <c r="ET96" s="0" t="n">
        <f aca="false">(SUM(ET81:ET83)&gt;0)*$G$13/12*(1+$G$15)^(ET78-1)</f>
        <v>155.421788549332</v>
      </c>
      <c r="EU96" s="0" t="n">
        <f aca="false">(SUM(EU81:EU83)&gt;0)*$G$13/12*(1+$G$15)^(EU78-1)</f>
        <v>155.421788549332</v>
      </c>
      <c r="EV96" s="0" t="n">
        <f aca="false">(SUM(EV81:EV83)&gt;0)*$G$13/12*(1+$G$15)^(EV78-1)</f>
        <v>155.421788549332</v>
      </c>
      <c r="EW96" s="0" t="n">
        <f aca="false">(SUM(EW81:EW83)&gt;0)*$G$13/12*(1+$G$15)^(EW78-1)</f>
        <v>155.421788549332</v>
      </c>
      <c r="EX96" s="0" t="n">
        <f aca="false">(SUM(EX81:EX83)&gt;0)*$G$13/12*(1+$G$15)^(EX78-1)</f>
        <v>155.421788549332</v>
      </c>
      <c r="EY96" s="0" t="n">
        <f aca="false">(SUM(EY81:EY83)&gt;0)*$G$13/12*(1+$G$15)^(EY78-1)</f>
        <v>155.421788549332</v>
      </c>
      <c r="EZ96" s="0" t="n">
        <f aca="false">(SUM(EZ81:EZ83)&gt;0)*$G$13/12*(1+$G$15)^(EZ78-1)</f>
        <v>155.421788549332</v>
      </c>
      <c r="FA96" s="0" t="n">
        <f aca="false">(SUM(FA81:FA83)&gt;0)*$G$13/12*(1+$G$15)^(FA78-1)</f>
        <v>155.421788549332</v>
      </c>
      <c r="FB96" s="0" t="n">
        <f aca="false">(SUM(FB81:FB83)&gt;0)*$G$13/12*(1+$G$15)^(FB78-1)</f>
        <v>155.421788549332</v>
      </c>
      <c r="FC96" s="0" t="n">
        <f aca="false">(SUM(FC81:FC83)&gt;0)*$G$13/12*(1+$G$15)^(FC78-1)</f>
        <v>155.421788549332</v>
      </c>
      <c r="FD96" s="0" t="n">
        <f aca="false">(SUM(FD81:FD83)&gt;0)*$G$13/12*(1+$G$15)^(FD78-1)</f>
        <v>155.421788549332</v>
      </c>
      <c r="FE96" s="0" t="n">
        <f aca="false">(SUM(FE81:FE83)&gt;0)*$G$13/12*(1+$G$15)^(FE78-1)</f>
        <v>155.421788549332</v>
      </c>
      <c r="FF96" s="0" t="n">
        <f aca="false">(SUM(FF81:FF83)&gt;0)*$G$13/12*(1+$G$15)^(FF78-1)</f>
        <v>158.530224320318</v>
      </c>
      <c r="FG96" s="0" t="n">
        <f aca="false">(SUM(FG81:FG83)&gt;0)*$G$13/12*(1+$G$15)^(FG78-1)</f>
        <v>158.530224320318</v>
      </c>
      <c r="FH96" s="0" t="n">
        <f aca="false">(SUM(FH81:FH83)&gt;0)*$G$13/12*(1+$G$15)^(FH78-1)</f>
        <v>158.530224320318</v>
      </c>
      <c r="FI96" s="0" t="n">
        <f aca="false">(SUM(FI81:FI83)&gt;0)*$G$13/12*(1+$G$15)^(FI78-1)</f>
        <v>158.530224320318</v>
      </c>
      <c r="FJ96" s="0" t="n">
        <f aca="false">(SUM(FJ81:FJ83)&gt;0)*$G$13/12*(1+$G$15)^(FJ78-1)</f>
        <v>158.530224320318</v>
      </c>
      <c r="FK96" s="0" t="n">
        <f aca="false">(SUM(FK81:FK83)&gt;0)*$G$13/12*(1+$G$15)^(FK78-1)</f>
        <v>158.530224320318</v>
      </c>
      <c r="FL96" s="0" t="n">
        <f aca="false">(SUM(FL81:FL83)&gt;0)*$G$13/12*(1+$G$15)^(FL78-1)</f>
        <v>158.530224320318</v>
      </c>
      <c r="FM96" s="0" t="n">
        <f aca="false">(SUM(FM81:FM83)&gt;0)*$G$13/12*(1+$G$15)^(FM78-1)</f>
        <v>158.530224320318</v>
      </c>
      <c r="FN96" s="0" t="n">
        <f aca="false">(SUM(FN81:FN83)&gt;0)*$G$13/12*(1+$G$15)^(FN78-1)</f>
        <v>158.530224320318</v>
      </c>
      <c r="FO96" s="0" t="n">
        <f aca="false">(SUM(FO81:FO83)&gt;0)*$G$13/12*(1+$G$15)^(FO78-1)</f>
        <v>158.530224320318</v>
      </c>
      <c r="FP96" s="0" t="n">
        <f aca="false">(SUM(FP81:FP83)&gt;0)*$G$13/12*(1+$G$15)^(FP78-1)</f>
        <v>158.530224320318</v>
      </c>
      <c r="FQ96" s="0" t="n">
        <f aca="false">(SUM(FQ81:FQ83)&gt;0)*$G$13/12*(1+$G$15)^(FQ78-1)</f>
        <v>158.530224320318</v>
      </c>
      <c r="FR96" s="0" t="n">
        <f aca="false">(SUM(FR81:FR83)&gt;0)*$G$13/12*(1+$G$15)^(FR78-1)</f>
        <v>0</v>
      </c>
      <c r="FS96" s="0" t="n">
        <f aca="false">(SUM(FS81:FS83)&gt;0)*$G$13/12*(1+$G$15)^(FS78-1)</f>
        <v>0</v>
      </c>
      <c r="FT96" s="0" t="n">
        <f aca="false">(SUM(FT81:FT83)&gt;0)*$G$13/12*(1+$G$15)^(FT78-1)</f>
        <v>0</v>
      </c>
      <c r="FU96" s="0" t="n">
        <f aca="false">(SUM(FU81:FU83)&gt;0)*$G$13/12*(1+$G$15)^(FU78-1)</f>
        <v>0</v>
      </c>
      <c r="FV96" s="0" t="n">
        <f aca="false">(SUM(FV81:FV83)&gt;0)*$G$13/12*(1+$G$15)^(FV78-1)</f>
        <v>0</v>
      </c>
      <c r="FW96" s="0" t="n">
        <f aca="false">(SUM(FW81:FW83)&gt;0)*$G$13/12*(1+$G$15)^(FW78-1)</f>
        <v>0</v>
      </c>
      <c r="FX96" s="0" t="n">
        <f aca="false">(SUM(FX81:FX83)&gt;0)*$G$13/12*(1+$G$15)^(FX78-1)</f>
        <v>0</v>
      </c>
      <c r="FY96" s="0" t="n">
        <f aca="false">(SUM(FY81:FY83)&gt;0)*$G$13/12*(1+$G$15)^(FY78-1)</f>
        <v>0</v>
      </c>
      <c r="FZ96" s="0" t="n">
        <f aca="false">(SUM(FZ81:FZ83)&gt;0)*$G$13/12*(1+$G$15)^(FZ78-1)</f>
        <v>0</v>
      </c>
      <c r="GA96" s="0" t="n">
        <f aca="false">(SUM(GA81:GA83)&gt;0)*$G$13/12*(1+$G$15)^(GA78-1)</f>
        <v>0</v>
      </c>
      <c r="GB96" s="0" t="n">
        <f aca="false">(SUM(GB81:GB83)&gt;0)*$G$13/12*(1+$G$15)^(GB78-1)</f>
        <v>0</v>
      </c>
      <c r="GC96" s="0" t="n">
        <f aca="false">(SUM(GC81:GC83)&gt;0)*$G$13/12*(1+$G$15)^(GC78-1)</f>
        <v>0</v>
      </c>
      <c r="GD96" s="0" t="n">
        <f aca="false">(SUM(GD81:GD83)&gt;0)*$G$13/12*(1+$G$15)^(GD78-1)</f>
        <v>0</v>
      </c>
      <c r="GE96" s="0" t="n">
        <f aca="false">(SUM(GE81:GE83)&gt;0)*$G$13/12*(1+$G$15)^(GE78-1)</f>
        <v>0</v>
      </c>
      <c r="GF96" s="0" t="n">
        <f aca="false">(SUM(GF81:GF83)&gt;0)*$G$13/12*(1+$G$15)^(GF78-1)</f>
        <v>0</v>
      </c>
      <c r="GG96" s="0" t="n">
        <f aca="false">(SUM(GG81:GG83)&gt;0)*$G$13/12*(1+$G$15)^(GG78-1)</f>
        <v>0</v>
      </c>
      <c r="GH96" s="0" t="n">
        <f aca="false">(SUM(GH81:GH83)&gt;0)*$G$13/12*(1+$G$15)^(GH78-1)</f>
        <v>0</v>
      </c>
      <c r="GI96" s="0" t="n">
        <f aca="false">(SUM(GI81:GI83)&gt;0)*$G$13/12*(1+$G$15)^(GI78-1)</f>
        <v>0</v>
      </c>
      <c r="GJ96" s="0" t="n">
        <f aca="false">(SUM(GJ81:GJ83)&gt;0)*$G$13/12*(1+$G$15)^(GJ78-1)</f>
        <v>0</v>
      </c>
      <c r="GK96" s="0" t="n">
        <f aca="false">(SUM(GK81:GK83)&gt;0)*$G$13/12*(1+$G$15)^(GK78-1)</f>
        <v>0</v>
      </c>
      <c r="GL96" s="0" t="n">
        <f aca="false">(SUM(GL81:GL83)&gt;0)*$G$13/12*(1+$G$15)^(GL78-1)</f>
        <v>0</v>
      </c>
      <c r="GM96" s="0" t="n">
        <f aca="false">(SUM(GM81:GM83)&gt;0)*$G$13/12*(1+$G$15)^(GM78-1)</f>
        <v>0</v>
      </c>
      <c r="GN96" s="0" t="n">
        <f aca="false">(SUM(GN81:GN83)&gt;0)*$G$13/12*(1+$G$15)^(GN78-1)</f>
        <v>0</v>
      </c>
      <c r="GO96" s="0" t="n">
        <f aca="false">(SUM(GO81:GO83)&gt;0)*$G$13/12*(1+$G$15)^(GO78-1)</f>
        <v>0</v>
      </c>
      <c r="GP96" s="0" t="n">
        <f aca="false">(SUM(GP81:GP83)&gt;0)*$G$13/12*(1+$G$15)^(GP78-1)</f>
        <v>0</v>
      </c>
      <c r="GQ96" s="0" t="n">
        <f aca="false">(SUM(GQ81:GQ83)&gt;0)*$G$13/12*(1+$G$15)^(GQ78-1)</f>
        <v>0</v>
      </c>
      <c r="GR96" s="0" t="n">
        <f aca="false">(SUM(GR81:GR83)&gt;0)*$G$13/12*(1+$G$15)^(GR78-1)</f>
        <v>0</v>
      </c>
      <c r="GS96" s="0" t="n">
        <f aca="false">(SUM(GS81:GS83)&gt;0)*$G$13/12*(1+$G$15)^(GS78-1)</f>
        <v>0</v>
      </c>
      <c r="GT96" s="0" t="n">
        <f aca="false">(SUM(GT81:GT83)&gt;0)*$G$13/12*(1+$G$15)^(GT78-1)</f>
        <v>0</v>
      </c>
      <c r="GU96" s="0" t="n">
        <f aca="false">(SUM(GU81:GU83)&gt;0)*$G$13/12*(1+$G$15)^(GU78-1)</f>
        <v>0</v>
      </c>
      <c r="GV96" s="0" t="n">
        <f aca="false">(SUM(GV81:GV83)&gt;0)*$G$13/12*(1+$G$15)^(GV78-1)</f>
        <v>0</v>
      </c>
      <c r="GW96" s="0" t="n">
        <f aca="false">(SUM(GW81:GW83)&gt;0)*$G$13/12*(1+$G$15)^(GW78-1)</f>
        <v>0</v>
      </c>
      <c r="GX96" s="0" t="n">
        <f aca="false">(SUM(GX81:GX83)&gt;0)*$G$13/12*(1+$G$15)^(GX78-1)</f>
        <v>0</v>
      </c>
      <c r="GY96" s="0" t="n">
        <f aca="false">(SUM(GY81:GY83)&gt;0)*$G$13/12*(1+$G$15)^(GY78-1)</f>
        <v>0</v>
      </c>
      <c r="GZ96" s="0" t="n">
        <f aca="false">(SUM(GZ81:GZ83)&gt;0)*$G$13/12*(1+$G$15)^(GZ78-1)</f>
        <v>0</v>
      </c>
      <c r="HA96" s="0" t="n">
        <f aca="false">(SUM(HA81:HA83)&gt;0)*$G$13/12*(1+$G$15)^(HA78-1)</f>
        <v>0</v>
      </c>
      <c r="HB96" s="0" t="n">
        <f aca="false">(SUM(HB81:HB83)&gt;0)*$G$13/12*(1+$G$15)^(HB78-1)</f>
        <v>0</v>
      </c>
      <c r="HC96" s="0" t="n">
        <f aca="false">(SUM(HC81:HC83)&gt;0)*$G$13/12*(1+$G$15)^(HC78-1)</f>
        <v>0</v>
      </c>
      <c r="HD96" s="0" t="n">
        <f aca="false">(SUM(HD81:HD83)&gt;0)*$G$13/12*(1+$G$15)^(HD78-1)</f>
        <v>0</v>
      </c>
      <c r="HE96" s="0" t="n">
        <f aca="false">(SUM(HE81:HE83)&gt;0)*$G$13/12*(1+$G$15)^(HE78-1)</f>
        <v>0</v>
      </c>
      <c r="HF96" s="0" t="n">
        <f aca="false">(SUM(HF81:HF83)&gt;0)*$G$13/12*(1+$G$15)^(HF78-1)</f>
        <v>0</v>
      </c>
      <c r="HG96" s="0" t="n">
        <f aca="false">(SUM(HG81:HG83)&gt;0)*$G$13/12*(1+$G$15)^(HG78-1)</f>
        <v>0</v>
      </c>
      <c r="HH96" s="0" t="n">
        <f aca="false">(SUM(HH81:HH83)&gt;0)*$G$13/12*(1+$G$15)^(HH78-1)</f>
        <v>0</v>
      </c>
      <c r="HI96" s="0" t="n">
        <f aca="false">(SUM(HI81:HI83)&gt;0)*$G$13/12*(1+$G$15)^(HI78-1)</f>
        <v>0</v>
      </c>
      <c r="HJ96" s="0" t="n">
        <f aca="false">(SUM(HJ81:HJ83)&gt;0)*$G$13/12*(1+$G$15)^(HJ78-1)</f>
        <v>0</v>
      </c>
      <c r="HK96" s="0" t="n">
        <f aca="false">(SUM(HK81:HK83)&gt;0)*$G$13/12*(1+$G$15)^(HK78-1)</f>
        <v>0</v>
      </c>
      <c r="HL96" s="0" t="n">
        <f aca="false">(SUM(HL81:HL83)&gt;0)*$G$13/12*(1+$G$15)^(HL78-1)</f>
        <v>0</v>
      </c>
      <c r="HM96" s="0" t="n">
        <f aca="false">(SUM(HM81:HM83)&gt;0)*$G$13/12*(1+$G$15)^(HM78-1)</f>
        <v>0</v>
      </c>
      <c r="HN96" s="0" t="n">
        <f aca="false">(SUM(HN81:HN83)&gt;0)*$G$13/12*(1+$G$15)^(HN78-1)</f>
        <v>0</v>
      </c>
      <c r="HO96" s="0" t="n">
        <f aca="false">(SUM(HO81:HO83)&gt;0)*$G$13/12*(1+$G$15)^(HO78-1)</f>
        <v>0</v>
      </c>
      <c r="HP96" s="0" t="n">
        <f aca="false">(SUM(HP81:HP83)&gt;0)*$G$13/12*(1+$G$15)^(HP78-1)</f>
        <v>0</v>
      </c>
      <c r="HQ96" s="0" t="n">
        <f aca="false">(SUM(HQ81:HQ83)&gt;0)*$G$13/12*(1+$G$15)^(HQ78-1)</f>
        <v>0</v>
      </c>
      <c r="HR96" s="0" t="n">
        <f aca="false">(SUM(HR81:HR83)&gt;0)*$G$13/12*(1+$G$15)^(HR78-1)</f>
        <v>0</v>
      </c>
      <c r="HS96" s="0" t="n">
        <f aca="false">(SUM(HS81:HS83)&gt;0)*$G$13/12*(1+$G$15)^(HS78-1)</f>
        <v>0</v>
      </c>
      <c r="HT96" s="0" t="n">
        <f aca="false">(SUM(HT81:HT83)&gt;0)*$G$13/12*(1+$G$15)^(HT78-1)</f>
        <v>0</v>
      </c>
      <c r="HU96" s="0" t="n">
        <f aca="false">(SUM(HU81:HU83)&gt;0)*$G$13/12*(1+$G$15)^(HU78-1)</f>
        <v>0</v>
      </c>
      <c r="HV96" s="0" t="n">
        <f aca="false">(SUM(HV81:HV83)&gt;0)*$G$13/12*(1+$G$15)^(HV78-1)</f>
        <v>0</v>
      </c>
      <c r="HW96" s="0" t="n">
        <f aca="false">(SUM(HW81:HW83)&gt;0)*$G$13/12*(1+$G$15)^(HW78-1)</f>
        <v>0</v>
      </c>
      <c r="HX96" s="0" t="n">
        <f aca="false">(SUM(HX81:HX83)&gt;0)*$G$13/12*(1+$G$15)^(HX78-1)</f>
        <v>0</v>
      </c>
      <c r="HY96" s="0" t="n">
        <f aca="false">(SUM(HY81:HY83)&gt;0)*$G$13/12*(1+$G$15)^(HY78-1)</f>
        <v>0</v>
      </c>
      <c r="HZ96" s="0" t="n">
        <f aca="false">(SUM(HZ81:HZ83)&gt;0)*$G$13/12*(1+$G$15)^(HZ78-1)</f>
        <v>0</v>
      </c>
      <c r="IA96" s="0" t="n">
        <f aca="false">(SUM(IA81:IA83)&gt;0)*$G$13/12*(1+$G$15)^(IA78-1)</f>
        <v>0</v>
      </c>
      <c r="IB96" s="0" t="n">
        <f aca="false">(SUM(IB81:IB83)&gt;0)*$G$13/12*(1+$G$15)^(IB78-1)</f>
        <v>0</v>
      </c>
      <c r="IC96" s="0" t="n">
        <f aca="false">(SUM(IC81:IC83)&gt;0)*$G$13/12*(1+$G$15)^(IC78-1)</f>
        <v>0</v>
      </c>
      <c r="ID96" s="0" t="n">
        <f aca="false">(SUM(ID81:ID83)&gt;0)*$G$13/12*(1+$G$15)^(ID78-1)</f>
        <v>0</v>
      </c>
      <c r="IE96" s="0" t="n">
        <f aca="false">(SUM(IE81:IE83)&gt;0)*$G$13/12*(1+$G$15)^(IE78-1)</f>
        <v>0</v>
      </c>
      <c r="IF96" s="0" t="n">
        <f aca="false">(SUM(IF81:IF83)&gt;0)*$G$13/12*(1+$G$15)^(IF78-1)</f>
        <v>0</v>
      </c>
      <c r="IG96" s="0" t="n">
        <f aca="false">(SUM(IG81:IG83)&gt;0)*$G$13/12*(1+$G$15)^(IG78-1)</f>
        <v>0</v>
      </c>
      <c r="IH96" s="0" t="n">
        <f aca="false">(SUM(IH81:IH83)&gt;0)*$G$13/12*(1+$G$15)^(IH78-1)</f>
        <v>0</v>
      </c>
      <c r="II96" s="0" t="n">
        <f aca="false">(SUM(II81:II83)&gt;0)*$G$13/12*(1+$G$15)^(II78-1)</f>
        <v>0</v>
      </c>
      <c r="IJ96" s="0" t="n">
        <f aca="false">(SUM(IJ81:IJ83)&gt;0)*$G$13/12*(1+$G$15)^(IJ78-1)</f>
        <v>0</v>
      </c>
      <c r="IK96" s="0" t="n">
        <f aca="false">(SUM(IK81:IK83)&gt;0)*$G$13/12*(1+$G$15)^(IK78-1)</f>
        <v>0</v>
      </c>
      <c r="IL96" s="0" t="n">
        <f aca="false">(SUM(IL81:IL83)&gt;0)*$G$13/12*(1+$G$15)^(IL78-1)</f>
        <v>0</v>
      </c>
      <c r="IM96" s="0" t="n">
        <f aca="false">(SUM(IM81:IM83)&gt;0)*$G$13/12*(1+$G$15)^(IM78-1)</f>
        <v>0</v>
      </c>
      <c r="IN96" s="0" t="n">
        <f aca="false">(SUM(IN81:IN83)&gt;0)*$G$13/12*(1+$G$15)^(IN78-1)</f>
        <v>0</v>
      </c>
      <c r="IO96" s="0" t="n">
        <f aca="false">(SUM(IO81:IO83)&gt;0)*$G$13/12*(1+$G$15)^(IO78-1)</f>
        <v>0</v>
      </c>
      <c r="IP96" s="0" t="n">
        <f aca="false">(SUM(IP81:IP83)&gt;0)*$G$13/12*(1+$G$15)^(IP78-1)</f>
        <v>0</v>
      </c>
      <c r="IQ96" s="0" t="n">
        <f aca="false">(SUM(IQ81:IQ83)&gt;0)*$G$13/12*(1+$G$15)^(IQ78-1)</f>
        <v>0</v>
      </c>
      <c r="IR96" s="0" t="n">
        <f aca="false">(SUM(IR81:IR83)&gt;0)*$G$13/12*(1+$G$15)^(IR78-1)</f>
        <v>0</v>
      </c>
      <c r="IS96" s="0" t="n">
        <f aca="false">(SUM(IS81:IS83)&gt;0)*$G$13/12*(1+$G$15)^(IS78-1)</f>
        <v>0</v>
      </c>
      <c r="IT96" s="0" t="n">
        <f aca="false">(SUM(IT81:IT83)&gt;0)*$G$13/12*(1+$G$15)^(IT78-1)</f>
        <v>0</v>
      </c>
      <c r="IU96" s="0" t="n">
        <f aca="false">(SUM(IU81:IU83)&gt;0)*$G$13/12*(1+$G$15)^(IU78-1)</f>
        <v>0</v>
      </c>
      <c r="IV96" s="0" t="n">
        <f aca="false">(SUM(IV81:IV83)&gt;0)*$G$13/12*(1+$G$15)^(IV78-1)</f>
        <v>0</v>
      </c>
      <c r="IW96" s="0" t="n">
        <f aca="false">(SUM(IW81:IW83)&gt;0)*$G$13/12*(1+$G$15)^(IW78-1)</f>
        <v>0</v>
      </c>
    </row>
    <row r="102" customFormat="false" ht="15" hidden="false" customHeight="false" outlineLevel="0" collapsed="false">
      <c r="P102" s="0" t="s">
        <v>93</v>
      </c>
      <c r="Q102" s="0" t="n">
        <v>0</v>
      </c>
      <c r="R102" s="0" t="n">
        <f aca="false">(SUM(R81:R83)&gt;0)*$G$20/12*(1+$G$22)^(R78-1)</f>
        <v>8760.41666666667</v>
      </c>
      <c r="S102" s="0" t="n">
        <f aca="false">(SUM(S81:S83)&gt;0)*$G$20/12*(1+$G$22)^(S78-1)</f>
        <v>8760.41666666667</v>
      </c>
      <c r="T102" s="0" t="n">
        <f aca="false">(SUM(T81:T83)&gt;0)*$G$20/12*(1+$G$22)^(T78-1)</f>
        <v>8760.41666666667</v>
      </c>
      <c r="U102" s="0" t="n">
        <f aca="false">(SUM(U81:U83)&gt;0)*$G$20/12*(1+$G$22)^(U78-1)</f>
        <v>8760.41666666667</v>
      </c>
      <c r="V102" s="0" t="n">
        <f aca="false">(SUM(V81:V83)&gt;0)*$G$20/12*(1+$G$22)^(V78-1)</f>
        <v>8760.41666666667</v>
      </c>
      <c r="W102" s="0" t="n">
        <f aca="false">(SUM(W81:W83)&gt;0)*$G$20/12*(1+$G$22)^(W78-1)</f>
        <v>8760.41666666667</v>
      </c>
      <c r="X102" s="0" t="n">
        <f aca="false">(SUM(X81:X83)&gt;0)*$G$20/12*(1+$G$22)^(X78-1)</f>
        <v>8760.41666666667</v>
      </c>
      <c r="Y102" s="0" t="n">
        <f aca="false">(SUM(Y81:Y83)&gt;0)*$G$20/12*(1+$G$22)^(Y78-1)</f>
        <v>8760.41666666667</v>
      </c>
      <c r="Z102" s="0" t="n">
        <f aca="false">(SUM(Z81:Z83)&gt;0)*$G$20/12*(1+$G$22)^(Z78-1)</f>
        <v>8760.41666666667</v>
      </c>
      <c r="AA102" s="0" t="n">
        <f aca="false">(SUM(AA81:AA83)&gt;0)*$G$20/12*(1+$G$22)^(AA78-1)</f>
        <v>8760.41666666667</v>
      </c>
      <c r="AB102" s="0" t="n">
        <f aca="false">(SUM(AB81:AB83)&gt;0)*$G$20/12*(1+$G$22)^(AB78-1)</f>
        <v>8760.41666666667</v>
      </c>
      <c r="AC102" s="0" t="n">
        <f aca="false">(SUM(AC81:AC83)&gt;0)*$G$20/12*(1+$G$22)^(AC78-1)</f>
        <v>8760.41666666667</v>
      </c>
      <c r="AD102" s="0" t="n">
        <f aca="false">(SUM(AD81:AD83)&gt;0)*$G$20/12*(1+$G$22)^(AD78-1)</f>
        <v>8979.42708333333</v>
      </c>
      <c r="AE102" s="0" t="n">
        <f aca="false">(SUM(AE81:AE83)&gt;0)*$G$20/12*(1+$G$22)^(AE78-1)</f>
        <v>8979.42708333333</v>
      </c>
      <c r="AF102" s="0" t="n">
        <f aca="false">(SUM(AF81:AF83)&gt;0)*$G$20/12*(1+$G$22)^(AF78-1)</f>
        <v>8979.42708333333</v>
      </c>
      <c r="AG102" s="0" t="n">
        <f aca="false">(SUM(AG81:AG83)&gt;0)*$G$20/12*(1+$G$22)^(AG78-1)</f>
        <v>8979.42708333333</v>
      </c>
      <c r="AH102" s="0" t="n">
        <f aca="false">(SUM(AH81:AH83)&gt;0)*$G$20/12*(1+$G$22)^(AH78-1)</f>
        <v>8979.42708333333</v>
      </c>
      <c r="AI102" s="0" t="n">
        <f aca="false">(SUM(AI81:AI83)&gt;0)*$G$20/12*(1+$G$22)^(AI78-1)</f>
        <v>8979.42708333333</v>
      </c>
      <c r="AJ102" s="0" t="n">
        <f aca="false">(SUM(AJ81:AJ83)&gt;0)*$G$20/12*(1+$G$22)^(AJ78-1)</f>
        <v>8979.42708333333</v>
      </c>
      <c r="AK102" s="0" t="n">
        <f aca="false">(SUM(AK81:AK83)&gt;0)*$G$20/12*(1+$G$22)^(AK78-1)</f>
        <v>8979.42708333333</v>
      </c>
      <c r="AL102" s="0" t="n">
        <f aca="false">(SUM(AL81:AL83)&gt;0)*$G$20/12*(1+$G$22)^(AL78-1)</f>
        <v>8979.42708333333</v>
      </c>
      <c r="AM102" s="0" t="n">
        <f aca="false">(SUM(AM81:AM83)&gt;0)*$G$20/12*(1+$G$22)^(AM78-1)</f>
        <v>8979.42708333333</v>
      </c>
      <c r="AN102" s="0" t="n">
        <f aca="false">(SUM(AN81:AN83)&gt;0)*$G$20/12*(1+$G$22)^(AN78-1)</f>
        <v>8979.42708333333</v>
      </c>
      <c r="AO102" s="0" t="n">
        <f aca="false">(SUM(AO81:AO83)&gt;0)*$G$20/12*(1+$G$22)^(AO78-1)</f>
        <v>8979.42708333333</v>
      </c>
      <c r="AP102" s="0" t="n">
        <f aca="false">(SUM(AP81:AP83)&gt;0)*$G$20/12*(1+$G$22)^(AP78-1)</f>
        <v>9203.91276041667</v>
      </c>
      <c r="AQ102" s="0" t="n">
        <f aca="false">(SUM(AQ81:AQ83)&gt;0)*$G$20/12*(1+$G$22)^(AQ78-1)</f>
        <v>9203.91276041667</v>
      </c>
      <c r="AR102" s="0" t="n">
        <f aca="false">(SUM(AR81:AR83)&gt;0)*$G$20/12*(1+$G$22)^(AR78-1)</f>
        <v>9203.91276041667</v>
      </c>
      <c r="AS102" s="0" t="n">
        <f aca="false">(SUM(AS81:AS83)&gt;0)*$G$20/12*(1+$G$22)^(AS78-1)</f>
        <v>9203.91276041667</v>
      </c>
      <c r="AT102" s="0" t="n">
        <f aca="false">(SUM(AT81:AT83)&gt;0)*$G$20/12*(1+$G$22)^(AT78-1)</f>
        <v>9203.91276041667</v>
      </c>
      <c r="AU102" s="0" t="n">
        <f aca="false">(SUM(AU81:AU83)&gt;0)*$G$20/12*(1+$G$22)^(AU78-1)</f>
        <v>9203.91276041667</v>
      </c>
      <c r="AV102" s="0" t="n">
        <f aca="false">(SUM(AV81:AV83)&gt;0)*$G$20/12*(1+$G$22)^(AV78-1)</f>
        <v>9203.91276041667</v>
      </c>
      <c r="AW102" s="0" t="n">
        <f aca="false">(SUM(AW81:AW83)&gt;0)*$G$20/12*(1+$G$22)^(AW78-1)</f>
        <v>9203.91276041667</v>
      </c>
      <c r="AX102" s="0" t="n">
        <f aca="false">(SUM(AX81:AX83)&gt;0)*$G$20/12*(1+$G$22)^(AX78-1)</f>
        <v>9203.91276041667</v>
      </c>
      <c r="AY102" s="0" t="n">
        <f aca="false">(SUM(AY81:AY83)&gt;0)*$G$20/12*(1+$G$22)^(AY78-1)</f>
        <v>9203.91276041667</v>
      </c>
      <c r="AZ102" s="0" t="n">
        <f aca="false">(SUM(AZ81:AZ83)&gt;0)*$G$20/12*(1+$G$22)^(AZ78-1)</f>
        <v>9203.91276041667</v>
      </c>
      <c r="BA102" s="0" t="n">
        <f aca="false">(SUM(BA81:BA83)&gt;0)*$G$20/12*(1+$G$22)^(BA78-1)</f>
        <v>9203.91276041667</v>
      </c>
      <c r="BB102" s="0" t="n">
        <f aca="false">(SUM(BB81:BB83)&gt;0)*$G$20/12*(1+$G$22)^(BB78-1)</f>
        <v>9434.01057942708</v>
      </c>
      <c r="BC102" s="0" t="n">
        <f aca="false">(SUM(BC81:BC83)&gt;0)*$G$20/12*(1+$G$22)^(BC78-1)</f>
        <v>9434.01057942708</v>
      </c>
      <c r="BD102" s="0" t="n">
        <f aca="false">(SUM(BD81:BD83)&gt;0)*$G$20/12*(1+$G$22)^(BD78-1)</f>
        <v>9434.01057942708</v>
      </c>
      <c r="BE102" s="0" t="n">
        <f aca="false">(SUM(BE81:BE83)&gt;0)*$G$20/12*(1+$G$22)^(BE78-1)</f>
        <v>9434.01057942708</v>
      </c>
      <c r="BF102" s="0" t="n">
        <f aca="false">(SUM(BF81:BF83)&gt;0)*$G$20/12*(1+$G$22)^(BF78-1)</f>
        <v>9434.01057942708</v>
      </c>
      <c r="BG102" s="0" t="n">
        <f aca="false">(SUM(BG81:BG83)&gt;0)*$G$20/12*(1+$G$22)^(BG78-1)</f>
        <v>9434.01057942708</v>
      </c>
      <c r="BH102" s="0" t="n">
        <f aca="false">(SUM(BH81:BH83)&gt;0)*$G$20/12*(1+$G$22)^(BH78-1)</f>
        <v>9434.01057942708</v>
      </c>
      <c r="BI102" s="0" t="n">
        <f aca="false">(SUM(BI81:BI83)&gt;0)*$G$20/12*(1+$G$22)^(BI78-1)</f>
        <v>9434.01057942708</v>
      </c>
      <c r="BJ102" s="0" t="n">
        <f aca="false">(SUM(BJ81:BJ83)&gt;0)*$G$20/12*(1+$G$22)^(BJ78-1)</f>
        <v>9434.01057942708</v>
      </c>
      <c r="BK102" s="0" t="n">
        <f aca="false">(SUM(BK81:BK83)&gt;0)*$G$20/12*(1+$G$22)^(BK78-1)</f>
        <v>9434.01057942708</v>
      </c>
      <c r="BL102" s="0" t="n">
        <f aca="false">(SUM(BL81:BL83)&gt;0)*$G$20/12*(1+$G$22)^(BL78-1)</f>
        <v>9434.01057942708</v>
      </c>
      <c r="BM102" s="0" t="n">
        <f aca="false">(SUM(BM81:BM83)&gt;0)*$G$20/12*(1+$G$22)^(BM78-1)</f>
        <v>9434.01057942708</v>
      </c>
      <c r="BN102" s="0" t="n">
        <f aca="false">(SUM(BN81:BN83)&gt;0)*$G$20/12*(1+$G$22)^(BN78-1)</f>
        <v>9669.86084391276</v>
      </c>
      <c r="BO102" s="0" t="n">
        <f aca="false">(SUM(BO81:BO83)&gt;0)*$G$20/12*(1+$G$22)^(BO78-1)</f>
        <v>9669.86084391276</v>
      </c>
      <c r="BP102" s="0" t="n">
        <f aca="false">(SUM(BP81:BP83)&gt;0)*$G$20/12*(1+$G$22)^(BP78-1)</f>
        <v>9669.86084391276</v>
      </c>
      <c r="BQ102" s="0" t="n">
        <f aca="false">(SUM(BQ81:BQ83)&gt;0)*$G$20/12*(1+$G$22)^(BQ78-1)</f>
        <v>9669.86084391276</v>
      </c>
      <c r="BR102" s="0" t="n">
        <f aca="false">(SUM(BR81:BR83)&gt;0)*$G$20/12*(1+$G$22)^(BR78-1)</f>
        <v>9669.86084391276</v>
      </c>
      <c r="BS102" s="0" t="n">
        <f aca="false">(SUM(BS81:BS83)&gt;0)*$G$20/12*(1+$G$22)^(BS78-1)</f>
        <v>9669.86084391276</v>
      </c>
      <c r="BT102" s="0" t="n">
        <f aca="false">(SUM(BT81:BT83)&gt;0)*$G$20/12*(1+$G$22)^(BT78-1)</f>
        <v>9669.86084391276</v>
      </c>
      <c r="BU102" s="0" t="n">
        <f aca="false">(SUM(BU81:BU83)&gt;0)*$G$20/12*(1+$G$22)^(BU78-1)</f>
        <v>9669.86084391276</v>
      </c>
      <c r="BV102" s="0" t="n">
        <f aca="false">(SUM(BV81:BV83)&gt;0)*$G$20/12*(1+$G$22)^(BV78-1)</f>
        <v>9669.86084391276</v>
      </c>
      <c r="BW102" s="0" t="n">
        <f aca="false">(SUM(BW81:BW83)&gt;0)*$G$20/12*(1+$G$22)^(BW78-1)</f>
        <v>9669.86084391276</v>
      </c>
      <c r="BX102" s="0" t="n">
        <f aca="false">(SUM(BX81:BX83)&gt;0)*$G$20/12*(1+$G$22)^(BX78-1)</f>
        <v>9669.86084391276</v>
      </c>
      <c r="BY102" s="0" t="n">
        <f aca="false">(SUM(BY81:BY83)&gt;0)*$G$20/12*(1+$G$22)^(BY78-1)</f>
        <v>9669.86084391276</v>
      </c>
      <c r="BZ102" s="0" t="n">
        <f aca="false">(SUM(BZ81:BZ83)&gt;0)*$G$20/12*(1+$G$22)^(BZ78-1)</f>
        <v>9911.60736501057</v>
      </c>
      <c r="CA102" s="0" t="n">
        <f aca="false">(SUM(CA81:CA83)&gt;0)*$G$20/12*(1+$G$22)^(CA78-1)</f>
        <v>9911.60736501057</v>
      </c>
      <c r="CB102" s="0" t="n">
        <f aca="false">(SUM(CB81:CB83)&gt;0)*$G$20/12*(1+$G$22)^(CB78-1)</f>
        <v>9911.60736501057</v>
      </c>
      <c r="CC102" s="0" t="n">
        <f aca="false">(SUM(CC81:CC83)&gt;0)*$G$20/12*(1+$G$22)^(CC78-1)</f>
        <v>9911.60736501057</v>
      </c>
      <c r="CD102" s="0" t="n">
        <f aca="false">(SUM(CD81:CD83)&gt;0)*$G$20/12*(1+$G$22)^(CD78-1)</f>
        <v>9911.60736501057</v>
      </c>
      <c r="CE102" s="0" t="n">
        <f aca="false">(SUM(CE81:CE83)&gt;0)*$G$20/12*(1+$G$22)^(CE78-1)</f>
        <v>9911.60736501057</v>
      </c>
      <c r="CF102" s="0" t="n">
        <f aca="false">(SUM(CF81:CF83)&gt;0)*$G$20/12*(1+$G$22)^(CF78-1)</f>
        <v>9911.60736501057</v>
      </c>
      <c r="CG102" s="0" t="n">
        <f aca="false">(SUM(CG81:CG83)&gt;0)*$G$20/12*(1+$G$22)^(CG78-1)</f>
        <v>9911.60736501057</v>
      </c>
      <c r="CH102" s="0" t="n">
        <f aca="false">(SUM(CH81:CH83)&gt;0)*$G$20/12*(1+$G$22)^(CH78-1)</f>
        <v>9911.60736501057</v>
      </c>
      <c r="CI102" s="0" t="n">
        <f aca="false">(SUM(CI81:CI83)&gt;0)*$G$20/12*(1+$G$22)^(CI78-1)</f>
        <v>9911.60736501057</v>
      </c>
      <c r="CJ102" s="0" t="n">
        <f aca="false">(SUM(CJ81:CJ83)&gt;0)*$G$20/12*(1+$G$22)^(CJ78-1)</f>
        <v>9911.60736501057</v>
      </c>
      <c r="CK102" s="0" t="n">
        <f aca="false">(SUM(CK81:CK83)&gt;0)*$G$20/12*(1+$G$22)^(CK78-1)</f>
        <v>9911.60736501057</v>
      </c>
      <c r="CL102" s="0" t="n">
        <f aca="false">(SUM(CL81:CL83)&gt;0)*$G$20/12*(1+$G$22)^(CL78-1)</f>
        <v>10159.3975491358</v>
      </c>
      <c r="CM102" s="0" t="n">
        <f aca="false">(SUM(CM81:CM83)&gt;0)*$G$20/12*(1+$G$22)^(CM78-1)</f>
        <v>10159.3975491358</v>
      </c>
      <c r="CN102" s="0" t="n">
        <f aca="false">(SUM(CN81:CN83)&gt;0)*$G$20/12*(1+$G$22)^(CN78-1)</f>
        <v>10159.3975491358</v>
      </c>
      <c r="CO102" s="0" t="n">
        <f aca="false">(SUM(CO81:CO83)&gt;0)*$G$20/12*(1+$G$22)^(CO78-1)</f>
        <v>10159.3975491358</v>
      </c>
      <c r="CP102" s="0" t="n">
        <f aca="false">(SUM(CP81:CP83)&gt;0)*$G$20/12*(1+$G$22)^(CP78-1)</f>
        <v>10159.3975491358</v>
      </c>
      <c r="CQ102" s="0" t="n">
        <f aca="false">(SUM(CQ81:CQ83)&gt;0)*$G$20/12*(1+$G$22)^(CQ78-1)</f>
        <v>10159.3975491358</v>
      </c>
      <c r="CR102" s="0" t="n">
        <f aca="false">(SUM(CR81:CR83)&gt;0)*$G$20/12*(1+$G$22)^(CR78-1)</f>
        <v>10159.3975491358</v>
      </c>
      <c r="CS102" s="0" t="n">
        <f aca="false">(SUM(CS81:CS83)&gt;0)*$G$20/12*(1+$G$22)^(CS78-1)</f>
        <v>10159.3975491358</v>
      </c>
      <c r="CT102" s="0" t="n">
        <f aca="false">(SUM(CT81:CT83)&gt;0)*$G$20/12*(1+$G$22)^(CT78-1)</f>
        <v>10159.3975491358</v>
      </c>
      <c r="CU102" s="0" t="n">
        <f aca="false">(SUM(CU81:CU83)&gt;0)*$G$20/12*(1+$G$22)^(CU78-1)</f>
        <v>10159.3975491358</v>
      </c>
      <c r="CV102" s="0" t="n">
        <f aca="false">(SUM(CV81:CV83)&gt;0)*$G$20/12*(1+$G$22)^(CV78-1)</f>
        <v>10159.3975491358</v>
      </c>
      <c r="CW102" s="0" t="n">
        <f aca="false">(SUM(CW81:CW83)&gt;0)*$G$20/12*(1+$G$22)^(CW78-1)</f>
        <v>10159.3975491358</v>
      </c>
      <c r="CX102" s="0" t="n">
        <f aca="false">(SUM(CX81:CX83)&gt;0)*$G$20/12*(1+$G$22)^(CX78-1)</f>
        <v>10413.3824878642</v>
      </c>
      <c r="CY102" s="0" t="n">
        <f aca="false">(SUM(CY81:CY83)&gt;0)*$G$20/12*(1+$G$22)^(CY78-1)</f>
        <v>10413.3824878642</v>
      </c>
      <c r="CZ102" s="0" t="n">
        <f aca="false">(SUM(CZ81:CZ83)&gt;0)*$G$20/12*(1+$G$22)^(CZ78-1)</f>
        <v>10413.3824878642</v>
      </c>
      <c r="DA102" s="0" t="n">
        <f aca="false">(SUM(DA81:DA83)&gt;0)*$G$20/12*(1+$G$22)^(DA78-1)</f>
        <v>10413.3824878642</v>
      </c>
      <c r="DB102" s="0" t="n">
        <f aca="false">(SUM(DB81:DB83)&gt;0)*$G$20/12*(1+$G$22)^(DB78-1)</f>
        <v>10413.3824878642</v>
      </c>
      <c r="DC102" s="0" t="n">
        <f aca="false">(SUM(DC81:DC83)&gt;0)*$G$20/12*(1+$G$22)^(DC78-1)</f>
        <v>10413.3824878642</v>
      </c>
      <c r="DD102" s="0" t="n">
        <f aca="false">(SUM(DD81:DD83)&gt;0)*$G$20/12*(1+$G$22)^(DD78-1)</f>
        <v>10413.3824878642</v>
      </c>
      <c r="DE102" s="0" t="n">
        <f aca="false">(SUM(DE81:DE83)&gt;0)*$G$20/12*(1+$G$22)^(DE78-1)</f>
        <v>10413.3824878642</v>
      </c>
      <c r="DF102" s="0" t="n">
        <f aca="false">(SUM(DF81:DF83)&gt;0)*$G$20/12*(1+$G$22)^(DF78-1)</f>
        <v>10413.3824878642</v>
      </c>
      <c r="DG102" s="0" t="n">
        <f aca="false">(SUM(DG81:DG83)&gt;0)*$G$20/12*(1+$G$22)^(DG78-1)</f>
        <v>10413.3824878642</v>
      </c>
      <c r="DH102" s="0" t="n">
        <f aca="false">(SUM(DH81:DH83)&gt;0)*$G$20/12*(1+$G$22)^(DH78-1)</f>
        <v>10413.3824878642</v>
      </c>
      <c r="DI102" s="0" t="n">
        <f aca="false">(SUM(DI81:DI83)&gt;0)*$G$20/12*(1+$G$22)^(DI78-1)</f>
        <v>10413.3824878642</v>
      </c>
      <c r="DJ102" s="0" t="n">
        <f aca="false">(SUM(DJ81:DJ83)&gt;0)*$G$20/12*(1+$G$22)^(DJ78-1)</f>
        <v>10673.7170500608</v>
      </c>
      <c r="DK102" s="0" t="n">
        <f aca="false">(SUM(DK81:DK83)&gt;0)*$G$20/12*(1+$G$22)^(DK78-1)</f>
        <v>10673.7170500608</v>
      </c>
      <c r="DL102" s="0" t="n">
        <f aca="false">(SUM(DL81:DL83)&gt;0)*$G$20/12*(1+$G$22)^(DL78-1)</f>
        <v>10673.7170500608</v>
      </c>
      <c r="DM102" s="0" t="n">
        <f aca="false">(SUM(DM81:DM83)&gt;0)*$G$20/12*(1+$G$22)^(DM78-1)</f>
        <v>10673.7170500608</v>
      </c>
      <c r="DN102" s="0" t="n">
        <f aca="false">(SUM(DN81:DN83)&gt;0)*$G$20/12*(1+$G$22)^(DN78-1)</f>
        <v>10673.7170500608</v>
      </c>
      <c r="DO102" s="0" t="n">
        <f aca="false">(SUM(DO81:DO83)&gt;0)*$G$20/12*(1+$G$22)^(DO78-1)</f>
        <v>10673.7170500608</v>
      </c>
      <c r="DP102" s="0" t="n">
        <f aca="false">(SUM(DP81:DP83)&gt;0)*$G$20/12*(1+$G$22)^(DP78-1)</f>
        <v>10673.7170500608</v>
      </c>
      <c r="DQ102" s="0" t="n">
        <f aca="false">(SUM(DQ81:DQ83)&gt;0)*$G$20/12*(1+$G$22)^(DQ78-1)</f>
        <v>10673.7170500608</v>
      </c>
      <c r="DR102" s="0" t="n">
        <f aca="false">(SUM(DR81:DR83)&gt;0)*$G$20/12*(1+$G$22)^(DR78-1)</f>
        <v>10673.7170500608</v>
      </c>
      <c r="DS102" s="0" t="n">
        <f aca="false">(SUM(DS81:DS83)&gt;0)*$G$20/12*(1+$G$22)^(DS78-1)</f>
        <v>10673.7170500608</v>
      </c>
      <c r="DT102" s="0" t="n">
        <f aca="false">(SUM(DT81:DT83)&gt;0)*$G$20/12*(1+$G$22)^(DT78-1)</f>
        <v>10673.7170500608</v>
      </c>
      <c r="DU102" s="0" t="n">
        <f aca="false">(SUM(DU81:DU83)&gt;0)*$G$20/12*(1+$G$22)^(DU78-1)</f>
        <v>10673.7170500608</v>
      </c>
      <c r="DV102" s="0" t="n">
        <f aca="false">(SUM(DV81:DV83)&gt;0)*$G$20/12*(1+$G$22)^(DV78-1)</f>
        <v>10940.5599763124</v>
      </c>
      <c r="DW102" s="0" t="n">
        <f aca="false">(SUM(DW81:DW83)&gt;0)*$G$20/12*(1+$G$22)^(DW78-1)</f>
        <v>10940.5599763124</v>
      </c>
      <c r="DX102" s="0" t="n">
        <f aca="false">(SUM(DX81:DX83)&gt;0)*$G$20/12*(1+$G$22)^(DX78-1)</f>
        <v>10940.5599763124</v>
      </c>
      <c r="DY102" s="0" t="n">
        <f aca="false">(SUM(DY81:DY83)&gt;0)*$G$20/12*(1+$G$22)^(DY78-1)</f>
        <v>10940.5599763124</v>
      </c>
      <c r="DZ102" s="0" t="n">
        <f aca="false">(SUM(DZ81:DZ83)&gt;0)*$G$20/12*(1+$G$22)^(DZ78-1)</f>
        <v>10940.5599763124</v>
      </c>
      <c r="EA102" s="0" t="n">
        <f aca="false">(SUM(EA81:EA83)&gt;0)*$G$20/12*(1+$G$22)^(EA78-1)</f>
        <v>10940.5599763124</v>
      </c>
      <c r="EB102" s="0" t="n">
        <f aca="false">(SUM(EB81:EB83)&gt;0)*$G$20/12*(1+$G$22)^(EB78-1)</f>
        <v>10940.5599763124</v>
      </c>
      <c r="EC102" s="0" t="n">
        <f aca="false">(SUM(EC81:EC83)&gt;0)*$G$20/12*(1+$G$22)^(EC78-1)</f>
        <v>10940.5599763124</v>
      </c>
      <c r="ED102" s="0" t="n">
        <f aca="false">(SUM(ED81:ED83)&gt;0)*$G$20/12*(1+$G$22)^(ED78-1)</f>
        <v>10940.5599763124</v>
      </c>
      <c r="EE102" s="0" t="n">
        <f aca="false">(SUM(EE81:EE83)&gt;0)*$G$20/12*(1+$G$22)^(EE78-1)</f>
        <v>10940.5599763124</v>
      </c>
      <c r="EF102" s="0" t="n">
        <f aca="false">(SUM(EF81:EF83)&gt;0)*$G$20/12*(1+$G$22)^(EF78-1)</f>
        <v>10940.5599763124</v>
      </c>
      <c r="EG102" s="0" t="n">
        <f aca="false">(SUM(EG81:EG83)&gt;0)*$G$20/12*(1+$G$22)^(EG78-1)</f>
        <v>10940.5599763124</v>
      </c>
      <c r="EH102" s="0" t="n">
        <f aca="false">(SUM(EH81:EH83)&gt;0)*$G$20/12*(1+$G$22)^(EH78-1)</f>
        <v>11214.0739757202</v>
      </c>
      <c r="EI102" s="0" t="n">
        <f aca="false">(SUM(EI81:EI83)&gt;0)*$G$20/12*(1+$G$22)^(EI78-1)</f>
        <v>11214.0739757202</v>
      </c>
      <c r="EJ102" s="0" t="n">
        <f aca="false">(SUM(EJ81:EJ83)&gt;0)*$G$20/12*(1+$G$22)^(EJ78-1)</f>
        <v>11214.0739757202</v>
      </c>
      <c r="EK102" s="0" t="n">
        <f aca="false">(SUM(EK81:EK83)&gt;0)*$G$20/12*(1+$G$22)^(EK78-1)</f>
        <v>11214.0739757202</v>
      </c>
      <c r="EL102" s="0" t="n">
        <f aca="false">(SUM(EL81:EL83)&gt;0)*$G$20/12*(1+$G$22)^(EL78-1)</f>
        <v>11214.0739757202</v>
      </c>
      <c r="EM102" s="0" t="n">
        <f aca="false">(SUM(EM81:EM83)&gt;0)*$G$20/12*(1+$G$22)^(EM78-1)</f>
        <v>11214.0739757202</v>
      </c>
      <c r="EN102" s="0" t="n">
        <f aca="false">(SUM(EN81:EN83)&gt;0)*$G$20/12*(1+$G$22)^(EN78-1)</f>
        <v>11214.0739757202</v>
      </c>
      <c r="EO102" s="0" t="n">
        <f aca="false">(SUM(EO81:EO83)&gt;0)*$G$20/12*(1+$G$22)^(EO78-1)</f>
        <v>11214.0739757202</v>
      </c>
      <c r="EP102" s="0" t="n">
        <f aca="false">(SUM(EP81:EP83)&gt;0)*$G$20/12*(1+$G$22)^(EP78-1)</f>
        <v>11214.0739757202</v>
      </c>
      <c r="EQ102" s="0" t="n">
        <f aca="false">(SUM(EQ81:EQ83)&gt;0)*$G$20/12*(1+$G$22)^(EQ78-1)</f>
        <v>11214.0739757202</v>
      </c>
      <c r="ER102" s="0" t="n">
        <f aca="false">(SUM(ER81:ER83)&gt;0)*$G$20/12*(1+$G$22)^(ER78-1)</f>
        <v>11214.0739757202</v>
      </c>
      <c r="ES102" s="0" t="n">
        <f aca="false">(SUM(ES81:ES83)&gt;0)*$G$20/12*(1+$G$22)^(ES78-1)</f>
        <v>11214.0739757202</v>
      </c>
      <c r="ET102" s="0" t="n">
        <f aca="false">(SUM(ET81:ET83)&gt;0)*$G$20/12*(1+$G$22)^(ET78-1)</f>
        <v>11494.4258251132</v>
      </c>
      <c r="EU102" s="0" t="n">
        <f aca="false">(SUM(EU81:EU83)&gt;0)*$G$20/12*(1+$G$22)^(EU78-1)</f>
        <v>11494.4258251132</v>
      </c>
      <c r="EV102" s="0" t="n">
        <f aca="false">(SUM(EV81:EV83)&gt;0)*$G$20/12*(1+$G$22)^(EV78-1)</f>
        <v>11494.4258251132</v>
      </c>
      <c r="EW102" s="0" t="n">
        <f aca="false">(SUM(EW81:EW83)&gt;0)*$G$20/12*(1+$G$22)^(EW78-1)</f>
        <v>11494.4258251132</v>
      </c>
      <c r="EX102" s="0" t="n">
        <f aca="false">(SUM(EX81:EX83)&gt;0)*$G$20/12*(1+$G$22)^(EX78-1)</f>
        <v>11494.4258251132</v>
      </c>
      <c r="EY102" s="0" t="n">
        <f aca="false">(SUM(EY81:EY83)&gt;0)*$G$20/12*(1+$G$22)^(EY78-1)</f>
        <v>11494.4258251132</v>
      </c>
      <c r="EZ102" s="0" t="n">
        <f aca="false">(SUM(EZ81:EZ83)&gt;0)*$G$20/12*(1+$G$22)^(EZ78-1)</f>
        <v>11494.4258251132</v>
      </c>
      <c r="FA102" s="0" t="n">
        <f aca="false">(SUM(FA81:FA83)&gt;0)*$G$20/12*(1+$G$22)^(FA78-1)</f>
        <v>11494.4258251132</v>
      </c>
      <c r="FB102" s="0" t="n">
        <f aca="false">(SUM(FB81:FB83)&gt;0)*$G$20/12*(1+$G$22)^(FB78-1)</f>
        <v>11494.4258251132</v>
      </c>
      <c r="FC102" s="0" t="n">
        <f aca="false">(SUM(FC81:FC83)&gt;0)*$G$20/12*(1+$G$22)^(FC78-1)</f>
        <v>11494.4258251132</v>
      </c>
      <c r="FD102" s="0" t="n">
        <f aca="false">(SUM(FD81:FD83)&gt;0)*$G$20/12*(1+$G$22)^(FD78-1)</f>
        <v>11494.4258251132</v>
      </c>
      <c r="FE102" s="0" t="n">
        <f aca="false">(SUM(FE81:FE83)&gt;0)*$G$20/12*(1+$G$22)^(FE78-1)</f>
        <v>11494.4258251132</v>
      </c>
      <c r="FF102" s="0" t="n">
        <f aca="false">(SUM(FF81:FF83)&gt;0)*$G$20/12*(1+$G$22)^(FF78-1)</f>
        <v>11781.786470741</v>
      </c>
      <c r="FG102" s="0" t="n">
        <f aca="false">(SUM(FG81:FG83)&gt;0)*$G$20/12*(1+$G$22)^(FG78-1)</f>
        <v>11781.786470741</v>
      </c>
      <c r="FH102" s="0" t="n">
        <f aca="false">(SUM(FH81:FH83)&gt;0)*$G$20/12*(1+$G$22)^(FH78-1)</f>
        <v>11781.786470741</v>
      </c>
      <c r="FI102" s="0" t="n">
        <f aca="false">(SUM(FI81:FI83)&gt;0)*$G$20/12*(1+$G$22)^(FI78-1)</f>
        <v>11781.786470741</v>
      </c>
      <c r="FJ102" s="0" t="n">
        <f aca="false">(SUM(FJ81:FJ83)&gt;0)*$G$20/12*(1+$G$22)^(FJ78-1)</f>
        <v>11781.786470741</v>
      </c>
      <c r="FK102" s="0" t="n">
        <f aca="false">(SUM(FK81:FK83)&gt;0)*$G$20/12*(1+$G$22)^(FK78-1)</f>
        <v>11781.786470741</v>
      </c>
      <c r="FL102" s="0" t="n">
        <f aca="false">(SUM(FL81:FL83)&gt;0)*$G$20/12*(1+$G$22)^(FL78-1)</f>
        <v>11781.786470741</v>
      </c>
      <c r="FM102" s="0" t="n">
        <f aca="false">(SUM(FM81:FM83)&gt;0)*$G$20/12*(1+$G$22)^(FM78-1)</f>
        <v>11781.786470741</v>
      </c>
      <c r="FN102" s="0" t="n">
        <f aca="false">(SUM(FN81:FN83)&gt;0)*$G$20/12*(1+$G$22)^(FN78-1)</f>
        <v>11781.786470741</v>
      </c>
      <c r="FO102" s="0" t="n">
        <f aca="false">(SUM(FO81:FO83)&gt;0)*$G$20/12*(1+$G$22)^(FO78-1)</f>
        <v>11781.786470741</v>
      </c>
      <c r="FP102" s="0" t="n">
        <f aca="false">(SUM(FP81:FP83)&gt;0)*$G$20/12*(1+$G$22)^(FP78-1)</f>
        <v>11781.786470741</v>
      </c>
      <c r="FQ102" s="0" t="n">
        <f aca="false">(SUM(FQ81:FQ83)&gt;0)*$G$20/12*(1+$G$22)^(FQ78-1)</f>
        <v>11781.786470741</v>
      </c>
      <c r="FR102" s="0" t="n">
        <f aca="false">(SUM(FR81:FR83)&gt;0)*$G$20/12*(1+$G$22)^(FR78-1)</f>
        <v>0</v>
      </c>
      <c r="FS102" s="0" t="n">
        <f aca="false">(SUM(FS81:FS83)&gt;0)*$G$20/12*(1+$G$22)^(FS78-1)</f>
        <v>0</v>
      </c>
      <c r="FT102" s="0" t="n">
        <f aca="false">(SUM(FT81:FT83)&gt;0)*$G$20/12*(1+$G$22)^(FT78-1)</f>
        <v>0</v>
      </c>
      <c r="FU102" s="0" t="n">
        <f aca="false">(SUM(FU81:FU83)&gt;0)*$G$20/12*(1+$G$22)^(FU78-1)</f>
        <v>0</v>
      </c>
      <c r="FV102" s="0" t="n">
        <f aca="false">(SUM(FV81:FV83)&gt;0)*$G$20/12*(1+$G$22)^(FV78-1)</f>
        <v>0</v>
      </c>
      <c r="FW102" s="0" t="n">
        <f aca="false">(SUM(FW81:FW83)&gt;0)*$G$20/12*(1+$G$22)^(FW78-1)</f>
        <v>0</v>
      </c>
      <c r="FX102" s="0" t="n">
        <f aca="false">(SUM(FX81:FX83)&gt;0)*$G$20/12*(1+$G$22)^(FX78-1)</f>
        <v>0</v>
      </c>
      <c r="FY102" s="0" t="n">
        <f aca="false">(SUM(FY81:FY83)&gt;0)*$G$20/12*(1+$G$22)^(FY78-1)</f>
        <v>0</v>
      </c>
      <c r="FZ102" s="0" t="n">
        <f aca="false">(SUM(FZ81:FZ83)&gt;0)*$G$20/12*(1+$G$22)^(FZ78-1)</f>
        <v>0</v>
      </c>
      <c r="GA102" s="0" t="n">
        <f aca="false">(SUM(GA81:GA83)&gt;0)*$G$20/12*(1+$G$22)^(GA78-1)</f>
        <v>0</v>
      </c>
      <c r="GB102" s="0" t="n">
        <f aca="false">(SUM(GB81:GB83)&gt;0)*$G$20/12*(1+$G$22)^(GB78-1)</f>
        <v>0</v>
      </c>
      <c r="GC102" s="0" t="n">
        <f aca="false">(SUM(GC81:GC83)&gt;0)*$G$20/12*(1+$G$22)^(GC78-1)</f>
        <v>0</v>
      </c>
      <c r="GD102" s="0" t="n">
        <f aca="false">(SUM(GD81:GD83)&gt;0)*$G$20/12*(1+$G$22)^(GD78-1)</f>
        <v>0</v>
      </c>
      <c r="GE102" s="0" t="n">
        <f aca="false">(SUM(GE81:GE83)&gt;0)*$G$20/12*(1+$G$22)^(GE78-1)</f>
        <v>0</v>
      </c>
      <c r="GF102" s="0" t="n">
        <f aca="false">(SUM(GF81:GF83)&gt;0)*$G$20/12*(1+$G$22)^(GF78-1)</f>
        <v>0</v>
      </c>
      <c r="GG102" s="0" t="n">
        <f aca="false">(SUM(GG81:GG83)&gt;0)*$G$20/12*(1+$G$22)^(GG78-1)</f>
        <v>0</v>
      </c>
      <c r="GH102" s="0" t="n">
        <f aca="false">(SUM(GH81:GH83)&gt;0)*$G$20/12*(1+$G$22)^(GH78-1)</f>
        <v>0</v>
      </c>
      <c r="GI102" s="0" t="n">
        <f aca="false">(SUM(GI81:GI83)&gt;0)*$G$20/12*(1+$G$22)^(GI78-1)</f>
        <v>0</v>
      </c>
      <c r="GJ102" s="0" t="n">
        <f aca="false">(SUM(GJ81:GJ83)&gt;0)*$G$20/12*(1+$G$22)^(GJ78-1)</f>
        <v>0</v>
      </c>
      <c r="GK102" s="0" t="n">
        <f aca="false">(SUM(GK81:GK83)&gt;0)*$G$20/12*(1+$G$22)^(GK78-1)</f>
        <v>0</v>
      </c>
      <c r="GL102" s="0" t="n">
        <f aca="false">(SUM(GL81:GL83)&gt;0)*$G$20/12*(1+$G$22)^(GL78-1)</f>
        <v>0</v>
      </c>
      <c r="GM102" s="0" t="n">
        <f aca="false">(SUM(GM81:GM83)&gt;0)*$G$20/12*(1+$G$22)^(GM78-1)</f>
        <v>0</v>
      </c>
      <c r="GN102" s="0" t="n">
        <f aca="false">(SUM(GN81:GN83)&gt;0)*$G$20/12*(1+$G$22)^(GN78-1)</f>
        <v>0</v>
      </c>
      <c r="GO102" s="0" t="n">
        <f aca="false">(SUM(GO81:GO83)&gt;0)*$G$20/12*(1+$G$22)^(GO78-1)</f>
        <v>0</v>
      </c>
      <c r="GP102" s="0" t="n">
        <f aca="false">(SUM(GP81:GP83)&gt;0)*$G$20/12*(1+$G$22)^(GP78-1)</f>
        <v>0</v>
      </c>
      <c r="GQ102" s="0" t="n">
        <f aca="false">(SUM(GQ81:GQ83)&gt;0)*$G$20/12*(1+$G$22)^(GQ78-1)</f>
        <v>0</v>
      </c>
      <c r="GR102" s="0" t="n">
        <f aca="false">(SUM(GR81:GR83)&gt;0)*$G$20/12*(1+$G$22)^(GR78-1)</f>
        <v>0</v>
      </c>
      <c r="GS102" s="0" t="n">
        <f aca="false">(SUM(GS81:GS83)&gt;0)*$G$20/12*(1+$G$22)^(GS78-1)</f>
        <v>0</v>
      </c>
      <c r="GT102" s="0" t="n">
        <f aca="false">(SUM(GT81:GT83)&gt;0)*$G$20/12*(1+$G$22)^(GT78-1)</f>
        <v>0</v>
      </c>
      <c r="GU102" s="0" t="n">
        <f aca="false">(SUM(GU81:GU83)&gt;0)*$G$20/12*(1+$G$22)^(GU78-1)</f>
        <v>0</v>
      </c>
      <c r="GV102" s="0" t="n">
        <f aca="false">(SUM(GV81:GV83)&gt;0)*$G$20/12*(1+$G$22)^(GV78-1)</f>
        <v>0</v>
      </c>
      <c r="GW102" s="0" t="n">
        <f aca="false">(SUM(GW81:GW83)&gt;0)*$G$20/12*(1+$G$22)^(GW78-1)</f>
        <v>0</v>
      </c>
      <c r="GX102" s="0" t="n">
        <f aca="false">(SUM(GX81:GX83)&gt;0)*$G$20/12*(1+$G$22)^(GX78-1)</f>
        <v>0</v>
      </c>
      <c r="GY102" s="0" t="n">
        <f aca="false">(SUM(GY81:GY83)&gt;0)*$G$20/12*(1+$G$22)^(GY78-1)</f>
        <v>0</v>
      </c>
      <c r="GZ102" s="0" t="n">
        <f aca="false">(SUM(GZ81:GZ83)&gt;0)*$G$20/12*(1+$G$22)^(GZ78-1)</f>
        <v>0</v>
      </c>
      <c r="HA102" s="0" t="n">
        <f aca="false">(SUM(HA81:HA83)&gt;0)*$G$20/12*(1+$G$22)^(HA78-1)</f>
        <v>0</v>
      </c>
      <c r="HB102" s="0" t="n">
        <f aca="false">(SUM(HB81:HB83)&gt;0)*$G$20/12*(1+$G$22)^(HB78-1)</f>
        <v>0</v>
      </c>
      <c r="HC102" s="0" t="n">
        <f aca="false">(SUM(HC81:HC83)&gt;0)*$G$20/12*(1+$G$22)^(HC78-1)</f>
        <v>0</v>
      </c>
      <c r="HD102" s="0" t="n">
        <f aca="false">(SUM(HD81:HD83)&gt;0)*$G$20/12*(1+$G$22)^(HD78-1)</f>
        <v>0</v>
      </c>
      <c r="HE102" s="0" t="n">
        <f aca="false">(SUM(HE81:HE83)&gt;0)*$G$20/12*(1+$G$22)^(HE78-1)</f>
        <v>0</v>
      </c>
      <c r="HF102" s="0" t="n">
        <f aca="false">(SUM(HF81:HF83)&gt;0)*$G$20/12*(1+$G$22)^(HF78-1)</f>
        <v>0</v>
      </c>
      <c r="HG102" s="0" t="n">
        <f aca="false">(SUM(HG81:HG83)&gt;0)*$G$20/12*(1+$G$22)^(HG78-1)</f>
        <v>0</v>
      </c>
      <c r="HH102" s="0" t="n">
        <f aca="false">(SUM(HH81:HH83)&gt;0)*$G$20/12*(1+$G$22)^(HH78-1)</f>
        <v>0</v>
      </c>
      <c r="HI102" s="0" t="n">
        <f aca="false">(SUM(HI81:HI83)&gt;0)*$G$20/12*(1+$G$22)^(HI78-1)</f>
        <v>0</v>
      </c>
      <c r="HJ102" s="0" t="n">
        <f aca="false">(SUM(HJ81:HJ83)&gt;0)*$G$20/12*(1+$G$22)^(HJ78-1)</f>
        <v>0</v>
      </c>
      <c r="HK102" s="0" t="n">
        <f aca="false">(SUM(HK81:HK83)&gt;0)*$G$20/12*(1+$G$22)^(HK78-1)</f>
        <v>0</v>
      </c>
      <c r="HL102" s="0" t="n">
        <f aca="false">(SUM(HL81:HL83)&gt;0)*$G$20/12*(1+$G$22)^(HL78-1)</f>
        <v>0</v>
      </c>
      <c r="HM102" s="0" t="n">
        <f aca="false">(SUM(HM81:HM83)&gt;0)*$G$20/12*(1+$G$22)^(HM78-1)</f>
        <v>0</v>
      </c>
      <c r="HN102" s="0" t="n">
        <f aca="false">(SUM(HN81:HN83)&gt;0)*$G$20/12*(1+$G$22)^(HN78-1)</f>
        <v>0</v>
      </c>
      <c r="HO102" s="0" t="n">
        <f aca="false">(SUM(HO81:HO83)&gt;0)*$G$20/12*(1+$G$22)^(HO78-1)</f>
        <v>0</v>
      </c>
      <c r="HP102" s="0" t="n">
        <f aca="false">(SUM(HP81:HP83)&gt;0)*$G$20/12*(1+$G$22)^(HP78-1)</f>
        <v>0</v>
      </c>
      <c r="HQ102" s="0" t="n">
        <f aca="false">(SUM(HQ81:HQ83)&gt;0)*$G$20/12*(1+$G$22)^(HQ78-1)</f>
        <v>0</v>
      </c>
      <c r="HR102" s="0" t="n">
        <f aca="false">(SUM(HR81:HR83)&gt;0)*$G$20/12*(1+$G$22)^(HR78-1)</f>
        <v>0</v>
      </c>
      <c r="HS102" s="0" t="n">
        <f aca="false">(SUM(HS81:HS83)&gt;0)*$G$20/12*(1+$G$22)^(HS78-1)</f>
        <v>0</v>
      </c>
      <c r="HT102" s="0" t="n">
        <f aca="false">(SUM(HT81:HT83)&gt;0)*$G$20/12*(1+$G$22)^(HT78-1)</f>
        <v>0</v>
      </c>
      <c r="HU102" s="0" t="n">
        <f aca="false">(SUM(HU81:HU83)&gt;0)*$G$20/12*(1+$G$22)^(HU78-1)</f>
        <v>0</v>
      </c>
      <c r="HV102" s="0" t="n">
        <f aca="false">(SUM(HV81:HV83)&gt;0)*$G$20/12*(1+$G$22)^(HV78-1)</f>
        <v>0</v>
      </c>
      <c r="HW102" s="0" t="n">
        <f aca="false">(SUM(HW81:HW83)&gt;0)*$G$20/12*(1+$G$22)^(HW78-1)</f>
        <v>0</v>
      </c>
      <c r="HX102" s="0" t="n">
        <f aca="false">(SUM(HX81:HX83)&gt;0)*$G$20/12*(1+$G$22)^(HX78-1)</f>
        <v>0</v>
      </c>
      <c r="HY102" s="0" t="n">
        <f aca="false">(SUM(HY81:HY83)&gt;0)*$G$20/12*(1+$G$22)^(HY78-1)</f>
        <v>0</v>
      </c>
      <c r="HZ102" s="0" t="n">
        <f aca="false">(SUM(HZ81:HZ83)&gt;0)*$G$20/12*(1+$G$22)^(HZ78-1)</f>
        <v>0</v>
      </c>
      <c r="IA102" s="0" t="n">
        <f aca="false">(SUM(IA81:IA83)&gt;0)*$G$20/12*(1+$G$22)^(IA78-1)</f>
        <v>0</v>
      </c>
      <c r="IB102" s="0" t="n">
        <f aca="false">(SUM(IB81:IB83)&gt;0)*$G$20/12*(1+$G$22)^(IB78-1)</f>
        <v>0</v>
      </c>
      <c r="IC102" s="0" t="n">
        <f aca="false">(SUM(IC81:IC83)&gt;0)*$G$20/12*(1+$G$22)^(IC78-1)</f>
        <v>0</v>
      </c>
      <c r="ID102" s="0" t="n">
        <f aca="false">(SUM(ID81:ID83)&gt;0)*$G$20/12*(1+$G$22)^(ID78-1)</f>
        <v>0</v>
      </c>
      <c r="IE102" s="0" t="n">
        <f aca="false">(SUM(IE81:IE83)&gt;0)*$G$20/12*(1+$G$22)^(IE78-1)</f>
        <v>0</v>
      </c>
      <c r="IF102" s="0" t="n">
        <f aca="false">(SUM(IF81:IF83)&gt;0)*$G$20/12*(1+$G$22)^(IF78-1)</f>
        <v>0</v>
      </c>
      <c r="IG102" s="0" t="n">
        <f aca="false">(SUM(IG81:IG83)&gt;0)*$G$20/12*(1+$G$22)^(IG78-1)</f>
        <v>0</v>
      </c>
      <c r="IH102" s="0" t="n">
        <f aca="false">(SUM(IH81:IH83)&gt;0)*$G$20/12*(1+$G$22)^(IH78-1)</f>
        <v>0</v>
      </c>
      <c r="II102" s="0" t="n">
        <f aca="false">(SUM(II81:II83)&gt;0)*$G$20/12*(1+$G$22)^(II78-1)</f>
        <v>0</v>
      </c>
      <c r="IJ102" s="0" t="n">
        <f aca="false">(SUM(IJ81:IJ83)&gt;0)*$G$20/12*(1+$G$22)^(IJ78-1)</f>
        <v>0</v>
      </c>
      <c r="IK102" s="0" t="n">
        <f aca="false">(SUM(IK81:IK83)&gt;0)*$G$20/12*(1+$G$22)^(IK78-1)</f>
        <v>0</v>
      </c>
      <c r="IL102" s="0" t="n">
        <f aca="false">(SUM(IL81:IL83)&gt;0)*$G$20/12*(1+$G$22)^(IL78-1)</f>
        <v>0</v>
      </c>
      <c r="IM102" s="0" t="n">
        <f aca="false">(SUM(IM81:IM83)&gt;0)*$G$20/12*(1+$G$22)^(IM78-1)</f>
        <v>0</v>
      </c>
      <c r="IN102" s="0" t="n">
        <f aca="false">(SUM(IN81:IN83)&gt;0)*$G$20/12*(1+$G$22)^(IN78-1)</f>
        <v>0</v>
      </c>
      <c r="IO102" s="0" t="n">
        <f aca="false">(SUM(IO81:IO83)&gt;0)*$G$20/12*(1+$G$22)^(IO78-1)</f>
        <v>0</v>
      </c>
      <c r="IP102" s="0" t="n">
        <f aca="false">(SUM(IP81:IP83)&gt;0)*$G$20/12*(1+$G$22)^(IP78-1)</f>
        <v>0</v>
      </c>
      <c r="IQ102" s="0" t="n">
        <f aca="false">(SUM(IQ81:IQ83)&gt;0)*$G$20/12*(1+$G$22)^(IQ78-1)</f>
        <v>0</v>
      </c>
      <c r="IR102" s="0" t="n">
        <f aca="false">(SUM(IR81:IR83)&gt;0)*$G$20/12*(1+$G$22)^(IR78-1)</f>
        <v>0</v>
      </c>
      <c r="IS102" s="0" t="n">
        <f aca="false">(SUM(IS81:IS83)&gt;0)*$G$20/12*(1+$G$22)^(IS78-1)</f>
        <v>0</v>
      </c>
      <c r="IT102" s="0" t="n">
        <f aca="false">(SUM(IT81:IT83)&gt;0)*$G$20/12*(1+$G$22)^(IT78-1)</f>
        <v>0</v>
      </c>
      <c r="IU102" s="0" t="n">
        <f aca="false">(SUM(IU81:IU83)&gt;0)*$G$20/12*(1+$G$22)^(IU78-1)</f>
        <v>0</v>
      </c>
      <c r="IV102" s="0" t="n">
        <f aca="false">(SUM(IV81:IV83)&gt;0)*$G$20/12*(1+$G$22)^(IV78-1)</f>
        <v>0</v>
      </c>
      <c r="IW102" s="0" t="n">
        <f aca="false">(SUM(IW81:IW83)&gt;0)*$G$20/12*(1+$G$22)^(IW78-1)</f>
        <v>0</v>
      </c>
    </row>
    <row r="107" customFormat="false" ht="15" hidden="false" customHeight="false" outlineLevel="0" collapsed="false">
      <c r="P107" s="0" t="s">
        <v>94</v>
      </c>
      <c r="Q107" s="0" t="n">
        <v>0</v>
      </c>
      <c r="R107" s="0" t="n">
        <f aca="false">(SUM(R81:R83)&gt;0)*$G$21/12*(1+$G$22)^(R78-1)</f>
        <v>483.333333333333</v>
      </c>
      <c r="S107" s="0" t="n">
        <f aca="false">(SUM(S81:S83)&gt;0)*$G$21/12*(1+$G$22)^(S78-1)</f>
        <v>483.333333333333</v>
      </c>
      <c r="T107" s="0" t="n">
        <f aca="false">(SUM(T81:T83)&gt;0)*$G$21/12*(1+$G$22)^(T78-1)</f>
        <v>483.333333333333</v>
      </c>
      <c r="U107" s="0" t="n">
        <f aca="false">(SUM(U81:U83)&gt;0)*$G$21/12*(1+$G$22)^(U78-1)</f>
        <v>483.333333333333</v>
      </c>
      <c r="V107" s="0" t="n">
        <f aca="false">(SUM(V81:V83)&gt;0)*$G$21/12*(1+$G$22)^(V78-1)</f>
        <v>483.333333333333</v>
      </c>
      <c r="W107" s="0" t="n">
        <f aca="false">(SUM(W81:W83)&gt;0)*$G$21/12*(1+$G$22)^(W78-1)</f>
        <v>483.333333333333</v>
      </c>
      <c r="X107" s="0" t="n">
        <f aca="false">(SUM(X81:X83)&gt;0)*$G$21/12*(1+$G$22)^(X78-1)</f>
        <v>483.333333333333</v>
      </c>
      <c r="Y107" s="0" t="n">
        <f aca="false">(SUM(Y81:Y83)&gt;0)*$G$21/12*(1+$G$22)^(Y78-1)</f>
        <v>483.333333333333</v>
      </c>
      <c r="Z107" s="0" t="n">
        <f aca="false">(SUM(Z81:Z83)&gt;0)*$G$21/12*(1+$G$22)^(Z78-1)</f>
        <v>483.333333333333</v>
      </c>
      <c r="AA107" s="0" t="n">
        <f aca="false">(SUM(AA81:AA83)&gt;0)*$G$21/12*(1+$G$22)^(AA78-1)</f>
        <v>483.333333333333</v>
      </c>
      <c r="AB107" s="0" t="n">
        <f aca="false">(SUM(AB81:AB83)&gt;0)*$G$21/12*(1+$G$22)^(AB78-1)</f>
        <v>483.333333333333</v>
      </c>
      <c r="AC107" s="0" t="n">
        <f aca="false">(SUM(AC81:AC83)&gt;0)*$G$21/12*(1+$G$22)^(AC78-1)</f>
        <v>483.333333333333</v>
      </c>
      <c r="AD107" s="0" t="n">
        <f aca="false">(SUM(AD81:AD83)&gt;0)*$G$21/12*(1+$G$22)^(AD78-1)</f>
        <v>495.416666666667</v>
      </c>
      <c r="AE107" s="0" t="n">
        <f aca="false">(SUM(AE81:AE83)&gt;0)*$G$21/12*(1+$G$22)^(AE78-1)</f>
        <v>495.416666666667</v>
      </c>
      <c r="AF107" s="0" t="n">
        <f aca="false">(SUM(AF81:AF83)&gt;0)*$G$21/12*(1+$G$22)^(AF78-1)</f>
        <v>495.416666666667</v>
      </c>
      <c r="AG107" s="0" t="n">
        <f aca="false">(SUM(AG81:AG83)&gt;0)*$G$21/12*(1+$G$22)^(AG78-1)</f>
        <v>495.416666666667</v>
      </c>
      <c r="AH107" s="0" t="n">
        <f aca="false">(SUM(AH81:AH83)&gt;0)*$G$21/12*(1+$G$22)^(AH78-1)</f>
        <v>495.416666666667</v>
      </c>
      <c r="AI107" s="0" t="n">
        <f aca="false">(SUM(AI81:AI83)&gt;0)*$G$21/12*(1+$G$22)^(AI78-1)</f>
        <v>495.416666666667</v>
      </c>
      <c r="AJ107" s="0" t="n">
        <f aca="false">(SUM(AJ81:AJ83)&gt;0)*$G$21/12*(1+$G$22)^(AJ78-1)</f>
        <v>495.416666666667</v>
      </c>
      <c r="AK107" s="0" t="n">
        <f aca="false">(SUM(AK81:AK83)&gt;0)*$G$21/12*(1+$G$22)^(AK78-1)</f>
        <v>495.416666666667</v>
      </c>
      <c r="AL107" s="0" t="n">
        <f aca="false">(SUM(AL81:AL83)&gt;0)*$G$21/12*(1+$G$22)^(AL78-1)</f>
        <v>495.416666666667</v>
      </c>
      <c r="AM107" s="0" t="n">
        <f aca="false">(SUM(AM81:AM83)&gt;0)*$G$21/12*(1+$G$22)^(AM78-1)</f>
        <v>495.416666666667</v>
      </c>
      <c r="AN107" s="0" t="n">
        <f aca="false">(SUM(AN81:AN83)&gt;0)*$G$21/12*(1+$G$22)^(AN78-1)</f>
        <v>495.416666666667</v>
      </c>
      <c r="AO107" s="0" t="n">
        <f aca="false">(SUM(AO81:AO83)&gt;0)*$G$21/12*(1+$G$22)^(AO78-1)</f>
        <v>495.416666666667</v>
      </c>
      <c r="AP107" s="0" t="n">
        <f aca="false">(SUM(AP81:AP83)&gt;0)*$G$21/12*(1+$G$22)^(AP78-1)</f>
        <v>507.802083333333</v>
      </c>
      <c r="AQ107" s="0" t="n">
        <f aca="false">(SUM(AQ81:AQ83)&gt;0)*$G$21/12*(1+$G$22)^(AQ78-1)</f>
        <v>507.802083333333</v>
      </c>
      <c r="AR107" s="0" t="n">
        <f aca="false">(SUM(AR81:AR83)&gt;0)*$G$21/12*(1+$G$22)^(AR78-1)</f>
        <v>507.802083333333</v>
      </c>
      <c r="AS107" s="0" t="n">
        <f aca="false">(SUM(AS81:AS83)&gt;0)*$G$21/12*(1+$G$22)^(AS78-1)</f>
        <v>507.802083333333</v>
      </c>
      <c r="AT107" s="0" t="n">
        <f aca="false">(SUM(AT81:AT83)&gt;0)*$G$21/12*(1+$G$22)^(AT78-1)</f>
        <v>507.802083333333</v>
      </c>
      <c r="AU107" s="0" t="n">
        <f aca="false">(SUM(AU81:AU83)&gt;0)*$G$21/12*(1+$G$22)^(AU78-1)</f>
        <v>507.802083333333</v>
      </c>
      <c r="AV107" s="0" t="n">
        <f aca="false">(SUM(AV81:AV83)&gt;0)*$G$21/12*(1+$G$22)^(AV78-1)</f>
        <v>507.802083333333</v>
      </c>
      <c r="AW107" s="0" t="n">
        <f aca="false">(SUM(AW81:AW83)&gt;0)*$G$21/12*(1+$G$22)^(AW78-1)</f>
        <v>507.802083333333</v>
      </c>
      <c r="AX107" s="0" t="n">
        <f aca="false">(SUM(AX81:AX83)&gt;0)*$G$21/12*(1+$G$22)^(AX78-1)</f>
        <v>507.802083333333</v>
      </c>
      <c r="AY107" s="0" t="n">
        <f aca="false">(SUM(AY81:AY83)&gt;0)*$G$21/12*(1+$G$22)^(AY78-1)</f>
        <v>507.802083333333</v>
      </c>
      <c r="AZ107" s="0" t="n">
        <f aca="false">(SUM(AZ81:AZ83)&gt;0)*$G$21/12*(1+$G$22)^(AZ78-1)</f>
        <v>507.802083333333</v>
      </c>
      <c r="BA107" s="0" t="n">
        <f aca="false">(SUM(BA81:BA83)&gt;0)*$G$21/12*(1+$G$22)^(BA78-1)</f>
        <v>507.802083333333</v>
      </c>
      <c r="BB107" s="0" t="n">
        <f aca="false">(SUM(BB81:BB83)&gt;0)*$G$21/12*(1+$G$22)^(BB78-1)</f>
        <v>520.497135416666</v>
      </c>
      <c r="BC107" s="0" t="n">
        <f aca="false">(SUM(BC81:BC83)&gt;0)*$G$21/12*(1+$G$22)^(BC78-1)</f>
        <v>520.497135416666</v>
      </c>
      <c r="BD107" s="0" t="n">
        <f aca="false">(SUM(BD81:BD83)&gt;0)*$G$21/12*(1+$G$22)^(BD78-1)</f>
        <v>520.497135416666</v>
      </c>
      <c r="BE107" s="0" t="n">
        <f aca="false">(SUM(BE81:BE83)&gt;0)*$G$21/12*(1+$G$22)^(BE78-1)</f>
        <v>520.497135416666</v>
      </c>
      <c r="BF107" s="0" t="n">
        <f aca="false">(SUM(BF81:BF83)&gt;0)*$G$21/12*(1+$G$22)^(BF78-1)</f>
        <v>520.497135416666</v>
      </c>
      <c r="BG107" s="0" t="n">
        <f aca="false">(SUM(BG81:BG83)&gt;0)*$G$21/12*(1+$G$22)^(BG78-1)</f>
        <v>520.497135416666</v>
      </c>
      <c r="BH107" s="0" t="n">
        <f aca="false">(SUM(BH81:BH83)&gt;0)*$G$21/12*(1+$G$22)^(BH78-1)</f>
        <v>520.497135416666</v>
      </c>
      <c r="BI107" s="0" t="n">
        <f aca="false">(SUM(BI81:BI83)&gt;0)*$G$21/12*(1+$G$22)^(BI78-1)</f>
        <v>520.497135416666</v>
      </c>
      <c r="BJ107" s="0" t="n">
        <f aca="false">(SUM(BJ81:BJ83)&gt;0)*$G$21/12*(1+$G$22)^(BJ78-1)</f>
        <v>520.497135416666</v>
      </c>
      <c r="BK107" s="0" t="n">
        <f aca="false">(SUM(BK81:BK83)&gt;0)*$G$21/12*(1+$G$22)^(BK78-1)</f>
        <v>520.497135416666</v>
      </c>
      <c r="BL107" s="0" t="n">
        <f aca="false">(SUM(BL81:BL83)&gt;0)*$G$21/12*(1+$G$22)^(BL78-1)</f>
        <v>520.497135416666</v>
      </c>
      <c r="BM107" s="0" t="n">
        <f aca="false">(SUM(BM81:BM83)&gt;0)*$G$21/12*(1+$G$22)^(BM78-1)</f>
        <v>520.497135416666</v>
      </c>
      <c r="BN107" s="0" t="n">
        <f aca="false">(SUM(BN81:BN83)&gt;0)*$G$21/12*(1+$G$22)^(BN78-1)</f>
        <v>533.509563802083</v>
      </c>
      <c r="BO107" s="0" t="n">
        <f aca="false">(SUM(BO81:BO83)&gt;0)*$G$21/12*(1+$G$22)^(BO78-1)</f>
        <v>533.509563802083</v>
      </c>
      <c r="BP107" s="0" t="n">
        <f aca="false">(SUM(BP81:BP83)&gt;0)*$G$21/12*(1+$G$22)^(BP78-1)</f>
        <v>533.509563802083</v>
      </c>
      <c r="BQ107" s="0" t="n">
        <f aca="false">(SUM(BQ81:BQ83)&gt;0)*$G$21/12*(1+$G$22)^(BQ78-1)</f>
        <v>533.509563802083</v>
      </c>
      <c r="BR107" s="0" t="n">
        <f aca="false">(SUM(BR81:BR83)&gt;0)*$G$21/12*(1+$G$22)^(BR78-1)</f>
        <v>533.509563802083</v>
      </c>
      <c r="BS107" s="0" t="n">
        <f aca="false">(SUM(BS81:BS83)&gt;0)*$G$21/12*(1+$G$22)^(BS78-1)</f>
        <v>533.509563802083</v>
      </c>
      <c r="BT107" s="0" t="n">
        <f aca="false">(SUM(BT81:BT83)&gt;0)*$G$21/12*(1+$G$22)^(BT78-1)</f>
        <v>533.509563802083</v>
      </c>
      <c r="BU107" s="0" t="n">
        <f aca="false">(SUM(BU81:BU83)&gt;0)*$G$21/12*(1+$G$22)^(BU78-1)</f>
        <v>533.509563802083</v>
      </c>
      <c r="BV107" s="0" t="n">
        <f aca="false">(SUM(BV81:BV83)&gt;0)*$G$21/12*(1+$G$22)^(BV78-1)</f>
        <v>533.509563802083</v>
      </c>
      <c r="BW107" s="0" t="n">
        <f aca="false">(SUM(BW81:BW83)&gt;0)*$G$21/12*(1+$G$22)^(BW78-1)</f>
        <v>533.509563802083</v>
      </c>
      <c r="BX107" s="0" t="n">
        <f aca="false">(SUM(BX81:BX83)&gt;0)*$G$21/12*(1+$G$22)^(BX78-1)</f>
        <v>533.509563802083</v>
      </c>
      <c r="BY107" s="0" t="n">
        <f aca="false">(SUM(BY81:BY83)&gt;0)*$G$21/12*(1+$G$22)^(BY78-1)</f>
        <v>533.509563802083</v>
      </c>
      <c r="BZ107" s="0" t="n">
        <f aca="false">(SUM(BZ81:BZ83)&gt;0)*$G$21/12*(1+$G$22)^(BZ78-1)</f>
        <v>546.847302897135</v>
      </c>
      <c r="CA107" s="0" t="n">
        <f aca="false">(SUM(CA81:CA83)&gt;0)*$G$21/12*(1+$G$22)^(CA78-1)</f>
        <v>546.847302897135</v>
      </c>
      <c r="CB107" s="0" t="n">
        <f aca="false">(SUM(CB81:CB83)&gt;0)*$G$21/12*(1+$G$22)^(CB78-1)</f>
        <v>546.847302897135</v>
      </c>
      <c r="CC107" s="0" t="n">
        <f aca="false">(SUM(CC81:CC83)&gt;0)*$G$21/12*(1+$G$22)^(CC78-1)</f>
        <v>546.847302897135</v>
      </c>
      <c r="CD107" s="0" t="n">
        <f aca="false">(SUM(CD81:CD83)&gt;0)*$G$21/12*(1+$G$22)^(CD78-1)</f>
        <v>546.847302897135</v>
      </c>
      <c r="CE107" s="0" t="n">
        <f aca="false">(SUM(CE81:CE83)&gt;0)*$G$21/12*(1+$G$22)^(CE78-1)</f>
        <v>546.847302897135</v>
      </c>
      <c r="CF107" s="0" t="n">
        <f aca="false">(SUM(CF81:CF83)&gt;0)*$G$21/12*(1+$G$22)^(CF78-1)</f>
        <v>546.847302897135</v>
      </c>
      <c r="CG107" s="0" t="n">
        <f aca="false">(SUM(CG81:CG83)&gt;0)*$G$21/12*(1+$G$22)^(CG78-1)</f>
        <v>546.847302897135</v>
      </c>
      <c r="CH107" s="0" t="n">
        <f aca="false">(SUM(CH81:CH83)&gt;0)*$G$21/12*(1+$G$22)^(CH78-1)</f>
        <v>546.847302897135</v>
      </c>
      <c r="CI107" s="0" t="n">
        <f aca="false">(SUM(CI81:CI83)&gt;0)*$G$21/12*(1+$G$22)^(CI78-1)</f>
        <v>546.847302897135</v>
      </c>
      <c r="CJ107" s="0" t="n">
        <f aca="false">(SUM(CJ81:CJ83)&gt;0)*$G$21/12*(1+$G$22)^(CJ78-1)</f>
        <v>546.847302897135</v>
      </c>
      <c r="CK107" s="0" t="n">
        <f aca="false">(SUM(CK81:CK83)&gt;0)*$G$21/12*(1+$G$22)^(CK78-1)</f>
        <v>546.847302897135</v>
      </c>
      <c r="CL107" s="0" t="n">
        <f aca="false">(SUM(CL81:CL83)&gt;0)*$G$21/12*(1+$G$22)^(CL78-1)</f>
        <v>560.518485469563</v>
      </c>
      <c r="CM107" s="0" t="n">
        <f aca="false">(SUM(CM81:CM83)&gt;0)*$G$21/12*(1+$G$22)^(CM78-1)</f>
        <v>560.518485469563</v>
      </c>
      <c r="CN107" s="0" t="n">
        <f aca="false">(SUM(CN81:CN83)&gt;0)*$G$21/12*(1+$G$22)^(CN78-1)</f>
        <v>560.518485469563</v>
      </c>
      <c r="CO107" s="0" t="n">
        <f aca="false">(SUM(CO81:CO83)&gt;0)*$G$21/12*(1+$G$22)^(CO78-1)</f>
        <v>560.518485469563</v>
      </c>
      <c r="CP107" s="0" t="n">
        <f aca="false">(SUM(CP81:CP83)&gt;0)*$G$21/12*(1+$G$22)^(CP78-1)</f>
        <v>560.518485469563</v>
      </c>
      <c r="CQ107" s="0" t="n">
        <f aca="false">(SUM(CQ81:CQ83)&gt;0)*$G$21/12*(1+$G$22)^(CQ78-1)</f>
        <v>560.518485469563</v>
      </c>
      <c r="CR107" s="0" t="n">
        <f aca="false">(SUM(CR81:CR83)&gt;0)*$G$21/12*(1+$G$22)^(CR78-1)</f>
        <v>560.518485469563</v>
      </c>
      <c r="CS107" s="0" t="n">
        <f aca="false">(SUM(CS81:CS83)&gt;0)*$G$21/12*(1+$G$22)^(CS78-1)</f>
        <v>560.518485469563</v>
      </c>
      <c r="CT107" s="0" t="n">
        <f aca="false">(SUM(CT81:CT83)&gt;0)*$G$21/12*(1+$G$22)^(CT78-1)</f>
        <v>560.518485469563</v>
      </c>
      <c r="CU107" s="0" t="n">
        <f aca="false">(SUM(CU81:CU83)&gt;0)*$G$21/12*(1+$G$22)^(CU78-1)</f>
        <v>560.518485469563</v>
      </c>
      <c r="CV107" s="0" t="n">
        <f aca="false">(SUM(CV81:CV83)&gt;0)*$G$21/12*(1+$G$22)^(CV78-1)</f>
        <v>560.518485469563</v>
      </c>
      <c r="CW107" s="0" t="n">
        <f aca="false">(SUM(CW81:CW83)&gt;0)*$G$21/12*(1+$G$22)^(CW78-1)</f>
        <v>560.518485469563</v>
      </c>
      <c r="CX107" s="0" t="n">
        <f aca="false">(SUM(CX81:CX83)&gt;0)*$G$21/12*(1+$G$22)^(CX78-1)</f>
        <v>574.531447606303</v>
      </c>
      <c r="CY107" s="0" t="n">
        <f aca="false">(SUM(CY81:CY83)&gt;0)*$G$21/12*(1+$G$22)^(CY78-1)</f>
        <v>574.531447606303</v>
      </c>
      <c r="CZ107" s="0" t="n">
        <f aca="false">(SUM(CZ81:CZ83)&gt;0)*$G$21/12*(1+$G$22)^(CZ78-1)</f>
        <v>574.531447606303</v>
      </c>
      <c r="DA107" s="0" t="n">
        <f aca="false">(SUM(DA81:DA83)&gt;0)*$G$21/12*(1+$G$22)^(DA78-1)</f>
        <v>574.531447606303</v>
      </c>
      <c r="DB107" s="0" t="n">
        <f aca="false">(SUM(DB81:DB83)&gt;0)*$G$21/12*(1+$G$22)^(DB78-1)</f>
        <v>574.531447606303</v>
      </c>
      <c r="DC107" s="0" t="n">
        <f aca="false">(SUM(DC81:DC83)&gt;0)*$G$21/12*(1+$G$22)^(DC78-1)</f>
        <v>574.531447606303</v>
      </c>
      <c r="DD107" s="0" t="n">
        <f aca="false">(SUM(DD81:DD83)&gt;0)*$G$21/12*(1+$G$22)^(DD78-1)</f>
        <v>574.531447606303</v>
      </c>
      <c r="DE107" s="0" t="n">
        <f aca="false">(SUM(DE81:DE83)&gt;0)*$G$21/12*(1+$G$22)^(DE78-1)</f>
        <v>574.531447606303</v>
      </c>
      <c r="DF107" s="0" t="n">
        <f aca="false">(SUM(DF81:DF83)&gt;0)*$G$21/12*(1+$G$22)^(DF78-1)</f>
        <v>574.531447606303</v>
      </c>
      <c r="DG107" s="0" t="n">
        <f aca="false">(SUM(DG81:DG83)&gt;0)*$G$21/12*(1+$G$22)^(DG78-1)</f>
        <v>574.531447606303</v>
      </c>
      <c r="DH107" s="0" t="n">
        <f aca="false">(SUM(DH81:DH83)&gt;0)*$G$21/12*(1+$G$22)^(DH78-1)</f>
        <v>574.531447606303</v>
      </c>
      <c r="DI107" s="0" t="n">
        <f aca="false">(SUM(DI81:DI83)&gt;0)*$G$21/12*(1+$G$22)^(DI78-1)</f>
        <v>574.531447606303</v>
      </c>
      <c r="DJ107" s="0" t="n">
        <f aca="false">(SUM(DJ81:DJ83)&gt;0)*$G$21/12*(1+$G$22)^(DJ78-1)</f>
        <v>588.89473379646</v>
      </c>
      <c r="DK107" s="0" t="n">
        <f aca="false">(SUM(DK81:DK83)&gt;0)*$G$21/12*(1+$G$22)^(DK78-1)</f>
        <v>588.89473379646</v>
      </c>
      <c r="DL107" s="0" t="n">
        <f aca="false">(SUM(DL81:DL83)&gt;0)*$G$21/12*(1+$G$22)^(DL78-1)</f>
        <v>588.89473379646</v>
      </c>
      <c r="DM107" s="0" t="n">
        <f aca="false">(SUM(DM81:DM83)&gt;0)*$G$21/12*(1+$G$22)^(DM78-1)</f>
        <v>588.89473379646</v>
      </c>
      <c r="DN107" s="0" t="n">
        <f aca="false">(SUM(DN81:DN83)&gt;0)*$G$21/12*(1+$G$22)^(DN78-1)</f>
        <v>588.89473379646</v>
      </c>
      <c r="DO107" s="0" t="n">
        <f aca="false">(SUM(DO81:DO83)&gt;0)*$G$21/12*(1+$G$22)^(DO78-1)</f>
        <v>588.89473379646</v>
      </c>
      <c r="DP107" s="0" t="n">
        <f aca="false">(SUM(DP81:DP83)&gt;0)*$G$21/12*(1+$G$22)^(DP78-1)</f>
        <v>588.89473379646</v>
      </c>
      <c r="DQ107" s="0" t="n">
        <f aca="false">(SUM(DQ81:DQ83)&gt;0)*$G$21/12*(1+$G$22)^(DQ78-1)</f>
        <v>588.89473379646</v>
      </c>
      <c r="DR107" s="0" t="n">
        <f aca="false">(SUM(DR81:DR83)&gt;0)*$G$21/12*(1+$G$22)^(DR78-1)</f>
        <v>588.89473379646</v>
      </c>
      <c r="DS107" s="0" t="n">
        <f aca="false">(SUM(DS81:DS83)&gt;0)*$G$21/12*(1+$G$22)^(DS78-1)</f>
        <v>588.89473379646</v>
      </c>
      <c r="DT107" s="0" t="n">
        <f aca="false">(SUM(DT81:DT83)&gt;0)*$G$21/12*(1+$G$22)^(DT78-1)</f>
        <v>588.89473379646</v>
      </c>
      <c r="DU107" s="0" t="n">
        <f aca="false">(SUM(DU81:DU83)&gt;0)*$G$21/12*(1+$G$22)^(DU78-1)</f>
        <v>588.89473379646</v>
      </c>
      <c r="DV107" s="0" t="n">
        <f aca="false">(SUM(DV81:DV83)&gt;0)*$G$21/12*(1+$G$22)^(DV78-1)</f>
        <v>603.617102141371</v>
      </c>
      <c r="DW107" s="0" t="n">
        <f aca="false">(SUM(DW81:DW83)&gt;0)*$G$21/12*(1+$G$22)^(DW78-1)</f>
        <v>603.617102141371</v>
      </c>
      <c r="DX107" s="0" t="n">
        <f aca="false">(SUM(DX81:DX83)&gt;0)*$G$21/12*(1+$G$22)^(DX78-1)</f>
        <v>603.617102141371</v>
      </c>
      <c r="DY107" s="0" t="n">
        <f aca="false">(SUM(DY81:DY83)&gt;0)*$G$21/12*(1+$G$22)^(DY78-1)</f>
        <v>603.617102141371</v>
      </c>
      <c r="DZ107" s="0" t="n">
        <f aca="false">(SUM(DZ81:DZ83)&gt;0)*$G$21/12*(1+$G$22)^(DZ78-1)</f>
        <v>603.617102141371</v>
      </c>
      <c r="EA107" s="0" t="n">
        <f aca="false">(SUM(EA81:EA83)&gt;0)*$G$21/12*(1+$G$22)^(EA78-1)</f>
        <v>603.617102141371</v>
      </c>
      <c r="EB107" s="0" t="n">
        <f aca="false">(SUM(EB81:EB83)&gt;0)*$G$21/12*(1+$G$22)^(EB78-1)</f>
        <v>603.617102141371</v>
      </c>
      <c r="EC107" s="0" t="n">
        <f aca="false">(SUM(EC81:EC83)&gt;0)*$G$21/12*(1+$G$22)^(EC78-1)</f>
        <v>603.617102141371</v>
      </c>
      <c r="ED107" s="0" t="n">
        <f aca="false">(SUM(ED81:ED83)&gt;0)*$G$21/12*(1+$G$22)^(ED78-1)</f>
        <v>603.617102141371</v>
      </c>
      <c r="EE107" s="0" t="n">
        <f aca="false">(SUM(EE81:EE83)&gt;0)*$G$21/12*(1+$G$22)^(EE78-1)</f>
        <v>603.617102141371</v>
      </c>
      <c r="EF107" s="0" t="n">
        <f aca="false">(SUM(EF81:EF83)&gt;0)*$G$21/12*(1+$G$22)^(EF78-1)</f>
        <v>603.617102141371</v>
      </c>
      <c r="EG107" s="0" t="n">
        <f aca="false">(SUM(EG81:EG83)&gt;0)*$G$21/12*(1+$G$22)^(EG78-1)</f>
        <v>603.617102141371</v>
      </c>
      <c r="EH107" s="0" t="n">
        <f aca="false">(SUM(EH81:EH83)&gt;0)*$G$21/12*(1+$G$22)^(EH78-1)</f>
        <v>618.707529694906</v>
      </c>
      <c r="EI107" s="0" t="n">
        <f aca="false">(SUM(EI81:EI83)&gt;0)*$G$21/12*(1+$G$22)^(EI78-1)</f>
        <v>618.707529694906</v>
      </c>
      <c r="EJ107" s="0" t="n">
        <f aca="false">(SUM(EJ81:EJ83)&gt;0)*$G$21/12*(1+$G$22)^(EJ78-1)</f>
        <v>618.707529694906</v>
      </c>
      <c r="EK107" s="0" t="n">
        <f aca="false">(SUM(EK81:EK83)&gt;0)*$G$21/12*(1+$G$22)^(EK78-1)</f>
        <v>618.707529694906</v>
      </c>
      <c r="EL107" s="0" t="n">
        <f aca="false">(SUM(EL81:EL83)&gt;0)*$G$21/12*(1+$G$22)^(EL78-1)</f>
        <v>618.707529694906</v>
      </c>
      <c r="EM107" s="0" t="n">
        <f aca="false">(SUM(EM81:EM83)&gt;0)*$G$21/12*(1+$G$22)^(EM78-1)</f>
        <v>618.707529694906</v>
      </c>
      <c r="EN107" s="0" t="n">
        <f aca="false">(SUM(EN81:EN83)&gt;0)*$G$21/12*(1+$G$22)^(EN78-1)</f>
        <v>618.707529694906</v>
      </c>
      <c r="EO107" s="0" t="n">
        <f aca="false">(SUM(EO81:EO83)&gt;0)*$G$21/12*(1+$G$22)^(EO78-1)</f>
        <v>618.707529694906</v>
      </c>
      <c r="EP107" s="0" t="n">
        <f aca="false">(SUM(EP81:EP83)&gt;0)*$G$21/12*(1+$G$22)^(EP78-1)</f>
        <v>618.707529694906</v>
      </c>
      <c r="EQ107" s="0" t="n">
        <f aca="false">(SUM(EQ81:EQ83)&gt;0)*$G$21/12*(1+$G$22)^(EQ78-1)</f>
        <v>618.707529694906</v>
      </c>
      <c r="ER107" s="0" t="n">
        <f aca="false">(SUM(ER81:ER83)&gt;0)*$G$21/12*(1+$G$22)^(ER78-1)</f>
        <v>618.707529694906</v>
      </c>
      <c r="ES107" s="0" t="n">
        <f aca="false">(SUM(ES81:ES83)&gt;0)*$G$21/12*(1+$G$22)^(ES78-1)</f>
        <v>618.707529694906</v>
      </c>
      <c r="ET107" s="0" t="n">
        <f aca="false">(SUM(ET81:ET83)&gt;0)*$G$21/12*(1+$G$22)^(ET78-1)</f>
        <v>634.175217937278</v>
      </c>
      <c r="EU107" s="0" t="n">
        <f aca="false">(SUM(EU81:EU83)&gt;0)*$G$21/12*(1+$G$22)^(EU78-1)</f>
        <v>634.175217937278</v>
      </c>
      <c r="EV107" s="0" t="n">
        <f aca="false">(SUM(EV81:EV83)&gt;0)*$G$21/12*(1+$G$22)^(EV78-1)</f>
        <v>634.175217937278</v>
      </c>
      <c r="EW107" s="0" t="n">
        <f aca="false">(SUM(EW81:EW83)&gt;0)*$G$21/12*(1+$G$22)^(EW78-1)</f>
        <v>634.175217937278</v>
      </c>
      <c r="EX107" s="0" t="n">
        <f aca="false">(SUM(EX81:EX83)&gt;0)*$G$21/12*(1+$G$22)^(EX78-1)</f>
        <v>634.175217937278</v>
      </c>
      <c r="EY107" s="0" t="n">
        <f aca="false">(SUM(EY81:EY83)&gt;0)*$G$21/12*(1+$G$22)^(EY78-1)</f>
        <v>634.175217937278</v>
      </c>
      <c r="EZ107" s="0" t="n">
        <f aca="false">(SUM(EZ81:EZ83)&gt;0)*$G$21/12*(1+$G$22)^(EZ78-1)</f>
        <v>634.175217937278</v>
      </c>
      <c r="FA107" s="0" t="n">
        <f aca="false">(SUM(FA81:FA83)&gt;0)*$G$21/12*(1+$G$22)^(FA78-1)</f>
        <v>634.175217937278</v>
      </c>
      <c r="FB107" s="0" t="n">
        <f aca="false">(SUM(FB81:FB83)&gt;0)*$G$21/12*(1+$G$22)^(FB78-1)</f>
        <v>634.175217937278</v>
      </c>
      <c r="FC107" s="0" t="n">
        <f aca="false">(SUM(FC81:FC83)&gt;0)*$G$21/12*(1+$G$22)^(FC78-1)</f>
        <v>634.175217937278</v>
      </c>
      <c r="FD107" s="0" t="n">
        <f aca="false">(SUM(FD81:FD83)&gt;0)*$G$21/12*(1+$G$22)^(FD78-1)</f>
        <v>634.175217937278</v>
      </c>
      <c r="FE107" s="0" t="n">
        <f aca="false">(SUM(FE81:FE83)&gt;0)*$G$21/12*(1+$G$22)^(FE78-1)</f>
        <v>634.175217937278</v>
      </c>
      <c r="FF107" s="0" t="n">
        <f aca="false">(SUM(FF81:FF83)&gt;0)*$G$21/12*(1+$G$22)^(FF78-1)</f>
        <v>650.02959838571</v>
      </c>
      <c r="FG107" s="0" t="n">
        <f aca="false">(SUM(FG81:FG83)&gt;0)*$G$21/12*(1+$G$22)^(FG78-1)</f>
        <v>650.02959838571</v>
      </c>
      <c r="FH107" s="0" t="n">
        <f aca="false">(SUM(FH81:FH83)&gt;0)*$G$21/12*(1+$G$22)^(FH78-1)</f>
        <v>650.02959838571</v>
      </c>
      <c r="FI107" s="0" t="n">
        <f aca="false">(SUM(FI81:FI83)&gt;0)*$G$21/12*(1+$G$22)^(FI78-1)</f>
        <v>650.02959838571</v>
      </c>
      <c r="FJ107" s="0" t="n">
        <f aca="false">(SUM(FJ81:FJ83)&gt;0)*$G$21/12*(1+$G$22)^(FJ78-1)</f>
        <v>650.02959838571</v>
      </c>
      <c r="FK107" s="0" t="n">
        <f aca="false">(SUM(FK81:FK83)&gt;0)*$G$21/12*(1+$G$22)^(FK78-1)</f>
        <v>650.02959838571</v>
      </c>
      <c r="FL107" s="0" t="n">
        <f aca="false">(SUM(FL81:FL83)&gt;0)*$G$21/12*(1+$G$22)^(FL78-1)</f>
        <v>650.02959838571</v>
      </c>
      <c r="FM107" s="0" t="n">
        <f aca="false">(SUM(FM81:FM83)&gt;0)*$G$21/12*(1+$G$22)^(FM78-1)</f>
        <v>650.02959838571</v>
      </c>
      <c r="FN107" s="0" t="n">
        <f aca="false">(SUM(FN81:FN83)&gt;0)*$G$21/12*(1+$G$22)^(FN78-1)</f>
        <v>650.02959838571</v>
      </c>
      <c r="FO107" s="0" t="n">
        <f aca="false">(SUM(FO81:FO83)&gt;0)*$G$21/12*(1+$G$22)^(FO78-1)</f>
        <v>650.02959838571</v>
      </c>
      <c r="FP107" s="0" t="n">
        <f aca="false">(SUM(FP81:FP83)&gt;0)*$G$21/12*(1+$G$22)^(FP78-1)</f>
        <v>650.02959838571</v>
      </c>
      <c r="FQ107" s="0" t="n">
        <f aca="false">(SUM(FQ81:FQ83)&gt;0)*$G$21/12*(1+$G$22)^(FQ78-1)</f>
        <v>650.02959838571</v>
      </c>
      <c r="FR107" s="0" t="n">
        <f aca="false">(SUM(FR81:FR83)&gt;0)*$G$21/12*(1+$G$22)^(FR78-1)</f>
        <v>0</v>
      </c>
      <c r="FS107" s="0" t="n">
        <f aca="false">(SUM(FS81:FS83)&gt;0)*$G$21/12*(1+$G$22)^(FS78-1)</f>
        <v>0</v>
      </c>
      <c r="FT107" s="0" t="n">
        <f aca="false">(SUM(FT81:FT83)&gt;0)*$G$21/12*(1+$G$22)^(FT78-1)</f>
        <v>0</v>
      </c>
      <c r="FU107" s="0" t="n">
        <f aca="false">(SUM(FU81:FU83)&gt;0)*$G$21/12*(1+$G$22)^(FU78-1)</f>
        <v>0</v>
      </c>
      <c r="FV107" s="0" t="n">
        <f aca="false">(SUM(FV81:FV83)&gt;0)*$G$21/12*(1+$G$22)^(FV78-1)</f>
        <v>0</v>
      </c>
      <c r="FW107" s="0" t="n">
        <f aca="false">(SUM(FW81:FW83)&gt;0)*$G$21/12*(1+$G$22)^(FW78-1)</f>
        <v>0</v>
      </c>
      <c r="FX107" s="0" t="n">
        <f aca="false">(SUM(FX81:FX83)&gt;0)*$G$21/12*(1+$G$22)^(FX78-1)</f>
        <v>0</v>
      </c>
      <c r="FY107" s="0" t="n">
        <f aca="false">(SUM(FY81:FY83)&gt;0)*$G$21/12*(1+$G$22)^(FY78-1)</f>
        <v>0</v>
      </c>
      <c r="FZ107" s="0" t="n">
        <f aca="false">(SUM(FZ81:FZ83)&gt;0)*$G$21/12*(1+$G$22)^(FZ78-1)</f>
        <v>0</v>
      </c>
      <c r="GA107" s="0" t="n">
        <f aca="false">(SUM(GA81:GA83)&gt;0)*$G$21/12*(1+$G$22)^(GA78-1)</f>
        <v>0</v>
      </c>
      <c r="GB107" s="0" t="n">
        <f aca="false">(SUM(GB81:GB83)&gt;0)*$G$21/12*(1+$G$22)^(GB78-1)</f>
        <v>0</v>
      </c>
      <c r="GC107" s="0" t="n">
        <f aca="false">(SUM(GC81:GC83)&gt;0)*$G$21/12*(1+$G$22)^(GC78-1)</f>
        <v>0</v>
      </c>
      <c r="GD107" s="0" t="n">
        <f aca="false">(SUM(GD81:GD83)&gt;0)*$G$21/12*(1+$G$22)^(GD78-1)</f>
        <v>0</v>
      </c>
      <c r="GE107" s="0" t="n">
        <f aca="false">(SUM(GE81:GE83)&gt;0)*$G$21/12*(1+$G$22)^(GE78-1)</f>
        <v>0</v>
      </c>
      <c r="GF107" s="0" t="n">
        <f aca="false">(SUM(GF81:GF83)&gt;0)*$G$21/12*(1+$G$22)^(GF78-1)</f>
        <v>0</v>
      </c>
      <c r="GG107" s="0" t="n">
        <f aca="false">(SUM(GG81:GG83)&gt;0)*$G$21/12*(1+$G$22)^(GG78-1)</f>
        <v>0</v>
      </c>
      <c r="GH107" s="0" t="n">
        <f aca="false">(SUM(GH81:GH83)&gt;0)*$G$21/12*(1+$G$22)^(GH78-1)</f>
        <v>0</v>
      </c>
      <c r="GI107" s="0" t="n">
        <f aca="false">(SUM(GI81:GI83)&gt;0)*$G$21/12*(1+$G$22)^(GI78-1)</f>
        <v>0</v>
      </c>
      <c r="GJ107" s="0" t="n">
        <f aca="false">(SUM(GJ81:GJ83)&gt;0)*$G$21/12*(1+$G$22)^(GJ78-1)</f>
        <v>0</v>
      </c>
      <c r="GK107" s="0" t="n">
        <f aca="false">(SUM(GK81:GK83)&gt;0)*$G$21/12*(1+$G$22)^(GK78-1)</f>
        <v>0</v>
      </c>
      <c r="GL107" s="0" t="n">
        <f aca="false">(SUM(GL81:GL83)&gt;0)*$G$21/12*(1+$G$22)^(GL78-1)</f>
        <v>0</v>
      </c>
      <c r="GM107" s="0" t="n">
        <f aca="false">(SUM(GM81:GM83)&gt;0)*$G$21/12*(1+$G$22)^(GM78-1)</f>
        <v>0</v>
      </c>
      <c r="GN107" s="0" t="n">
        <f aca="false">(SUM(GN81:GN83)&gt;0)*$G$21/12*(1+$G$22)^(GN78-1)</f>
        <v>0</v>
      </c>
      <c r="GO107" s="0" t="n">
        <f aca="false">(SUM(GO81:GO83)&gt;0)*$G$21/12*(1+$G$22)^(GO78-1)</f>
        <v>0</v>
      </c>
      <c r="GP107" s="0" t="n">
        <f aca="false">(SUM(GP81:GP83)&gt;0)*$G$21/12*(1+$G$22)^(GP78-1)</f>
        <v>0</v>
      </c>
      <c r="GQ107" s="0" t="n">
        <f aca="false">(SUM(GQ81:GQ83)&gt;0)*$G$21/12*(1+$G$22)^(GQ78-1)</f>
        <v>0</v>
      </c>
      <c r="GR107" s="0" t="n">
        <f aca="false">(SUM(GR81:GR83)&gt;0)*$G$21/12*(1+$G$22)^(GR78-1)</f>
        <v>0</v>
      </c>
      <c r="GS107" s="0" t="n">
        <f aca="false">(SUM(GS81:GS83)&gt;0)*$G$21/12*(1+$G$22)^(GS78-1)</f>
        <v>0</v>
      </c>
      <c r="GT107" s="0" t="n">
        <f aca="false">(SUM(GT81:GT83)&gt;0)*$G$21/12*(1+$G$22)^(GT78-1)</f>
        <v>0</v>
      </c>
      <c r="GU107" s="0" t="n">
        <f aca="false">(SUM(GU81:GU83)&gt;0)*$G$21/12*(1+$G$22)^(GU78-1)</f>
        <v>0</v>
      </c>
      <c r="GV107" s="0" t="n">
        <f aca="false">(SUM(GV81:GV83)&gt;0)*$G$21/12*(1+$G$22)^(GV78-1)</f>
        <v>0</v>
      </c>
      <c r="GW107" s="0" t="n">
        <f aca="false">(SUM(GW81:GW83)&gt;0)*$G$21/12*(1+$G$22)^(GW78-1)</f>
        <v>0</v>
      </c>
      <c r="GX107" s="0" t="n">
        <f aca="false">(SUM(GX81:GX83)&gt;0)*$G$21/12*(1+$G$22)^(GX78-1)</f>
        <v>0</v>
      </c>
      <c r="GY107" s="0" t="n">
        <f aca="false">(SUM(GY81:GY83)&gt;0)*$G$21/12*(1+$G$22)^(GY78-1)</f>
        <v>0</v>
      </c>
      <c r="GZ107" s="0" t="n">
        <f aca="false">(SUM(GZ81:GZ83)&gt;0)*$G$21/12*(1+$G$22)^(GZ78-1)</f>
        <v>0</v>
      </c>
      <c r="HA107" s="0" t="n">
        <f aca="false">(SUM(HA81:HA83)&gt;0)*$G$21/12*(1+$G$22)^(HA78-1)</f>
        <v>0</v>
      </c>
      <c r="HB107" s="0" t="n">
        <f aca="false">(SUM(HB81:HB83)&gt;0)*$G$21/12*(1+$G$22)^(HB78-1)</f>
        <v>0</v>
      </c>
      <c r="HC107" s="0" t="n">
        <f aca="false">(SUM(HC81:HC83)&gt;0)*$G$21/12*(1+$G$22)^(HC78-1)</f>
        <v>0</v>
      </c>
      <c r="HD107" s="0" t="n">
        <f aca="false">(SUM(HD81:HD83)&gt;0)*$G$21/12*(1+$G$22)^(HD78-1)</f>
        <v>0</v>
      </c>
      <c r="HE107" s="0" t="n">
        <f aca="false">(SUM(HE81:HE83)&gt;0)*$G$21/12*(1+$G$22)^(HE78-1)</f>
        <v>0</v>
      </c>
      <c r="HF107" s="0" t="n">
        <f aca="false">(SUM(HF81:HF83)&gt;0)*$G$21/12*(1+$G$22)^(HF78-1)</f>
        <v>0</v>
      </c>
      <c r="HG107" s="0" t="n">
        <f aca="false">(SUM(HG81:HG83)&gt;0)*$G$21/12*(1+$G$22)^(HG78-1)</f>
        <v>0</v>
      </c>
      <c r="HH107" s="0" t="n">
        <f aca="false">(SUM(HH81:HH83)&gt;0)*$G$21/12*(1+$G$22)^(HH78-1)</f>
        <v>0</v>
      </c>
      <c r="HI107" s="0" t="n">
        <f aca="false">(SUM(HI81:HI83)&gt;0)*$G$21/12*(1+$G$22)^(HI78-1)</f>
        <v>0</v>
      </c>
      <c r="HJ107" s="0" t="n">
        <f aca="false">(SUM(HJ81:HJ83)&gt;0)*$G$21/12*(1+$G$22)^(HJ78-1)</f>
        <v>0</v>
      </c>
      <c r="HK107" s="0" t="n">
        <f aca="false">(SUM(HK81:HK83)&gt;0)*$G$21/12*(1+$G$22)^(HK78-1)</f>
        <v>0</v>
      </c>
      <c r="HL107" s="0" t="n">
        <f aca="false">(SUM(HL81:HL83)&gt;0)*$G$21/12*(1+$G$22)^(HL78-1)</f>
        <v>0</v>
      </c>
      <c r="HM107" s="0" t="n">
        <f aca="false">(SUM(HM81:HM83)&gt;0)*$G$21/12*(1+$G$22)^(HM78-1)</f>
        <v>0</v>
      </c>
      <c r="HN107" s="0" t="n">
        <f aca="false">(SUM(HN81:HN83)&gt;0)*$G$21/12*(1+$G$22)^(HN78-1)</f>
        <v>0</v>
      </c>
      <c r="HO107" s="0" t="n">
        <f aca="false">(SUM(HO81:HO83)&gt;0)*$G$21/12*(1+$G$22)^(HO78-1)</f>
        <v>0</v>
      </c>
      <c r="HP107" s="0" t="n">
        <f aca="false">(SUM(HP81:HP83)&gt;0)*$G$21/12*(1+$G$22)^(HP78-1)</f>
        <v>0</v>
      </c>
      <c r="HQ107" s="0" t="n">
        <f aca="false">(SUM(HQ81:HQ83)&gt;0)*$G$21/12*(1+$G$22)^(HQ78-1)</f>
        <v>0</v>
      </c>
      <c r="HR107" s="0" t="n">
        <f aca="false">(SUM(HR81:HR83)&gt;0)*$G$21/12*(1+$G$22)^(HR78-1)</f>
        <v>0</v>
      </c>
      <c r="HS107" s="0" t="n">
        <f aca="false">(SUM(HS81:HS83)&gt;0)*$G$21/12*(1+$G$22)^(HS78-1)</f>
        <v>0</v>
      </c>
      <c r="HT107" s="0" t="n">
        <f aca="false">(SUM(HT81:HT83)&gt;0)*$G$21/12*(1+$G$22)^(HT78-1)</f>
        <v>0</v>
      </c>
      <c r="HU107" s="0" t="n">
        <f aca="false">(SUM(HU81:HU83)&gt;0)*$G$21/12*(1+$G$22)^(HU78-1)</f>
        <v>0</v>
      </c>
      <c r="HV107" s="0" t="n">
        <f aca="false">(SUM(HV81:HV83)&gt;0)*$G$21/12*(1+$G$22)^(HV78-1)</f>
        <v>0</v>
      </c>
      <c r="HW107" s="0" t="n">
        <f aca="false">(SUM(HW81:HW83)&gt;0)*$G$21/12*(1+$G$22)^(HW78-1)</f>
        <v>0</v>
      </c>
      <c r="HX107" s="0" t="n">
        <f aca="false">(SUM(HX81:HX83)&gt;0)*$G$21/12*(1+$G$22)^(HX78-1)</f>
        <v>0</v>
      </c>
      <c r="HY107" s="0" t="n">
        <f aca="false">(SUM(HY81:HY83)&gt;0)*$G$21/12*(1+$G$22)^(HY78-1)</f>
        <v>0</v>
      </c>
      <c r="HZ107" s="0" t="n">
        <f aca="false">(SUM(HZ81:HZ83)&gt;0)*$G$21/12*(1+$G$22)^(HZ78-1)</f>
        <v>0</v>
      </c>
      <c r="IA107" s="0" t="n">
        <f aca="false">(SUM(IA81:IA83)&gt;0)*$G$21/12*(1+$G$22)^(IA78-1)</f>
        <v>0</v>
      </c>
      <c r="IB107" s="0" t="n">
        <f aca="false">(SUM(IB81:IB83)&gt;0)*$G$21/12*(1+$G$22)^(IB78-1)</f>
        <v>0</v>
      </c>
      <c r="IC107" s="0" t="n">
        <f aca="false">(SUM(IC81:IC83)&gt;0)*$G$21/12*(1+$G$22)^(IC78-1)</f>
        <v>0</v>
      </c>
      <c r="ID107" s="0" t="n">
        <f aca="false">(SUM(ID81:ID83)&gt;0)*$G$21/12*(1+$G$22)^(ID78-1)</f>
        <v>0</v>
      </c>
      <c r="IE107" s="0" t="n">
        <f aca="false">(SUM(IE81:IE83)&gt;0)*$G$21/12*(1+$G$22)^(IE78-1)</f>
        <v>0</v>
      </c>
      <c r="IF107" s="0" t="n">
        <f aca="false">(SUM(IF81:IF83)&gt;0)*$G$21/12*(1+$G$22)^(IF78-1)</f>
        <v>0</v>
      </c>
      <c r="IG107" s="0" t="n">
        <f aca="false">(SUM(IG81:IG83)&gt;0)*$G$21/12*(1+$G$22)^(IG78-1)</f>
        <v>0</v>
      </c>
      <c r="IH107" s="0" t="n">
        <f aca="false">(SUM(IH81:IH83)&gt;0)*$G$21/12*(1+$G$22)^(IH78-1)</f>
        <v>0</v>
      </c>
      <c r="II107" s="0" t="n">
        <f aca="false">(SUM(II81:II83)&gt;0)*$G$21/12*(1+$G$22)^(II78-1)</f>
        <v>0</v>
      </c>
      <c r="IJ107" s="0" t="n">
        <f aca="false">(SUM(IJ81:IJ83)&gt;0)*$G$21/12*(1+$G$22)^(IJ78-1)</f>
        <v>0</v>
      </c>
      <c r="IK107" s="0" t="n">
        <f aca="false">(SUM(IK81:IK83)&gt;0)*$G$21/12*(1+$G$22)^(IK78-1)</f>
        <v>0</v>
      </c>
      <c r="IL107" s="0" t="n">
        <f aca="false">(SUM(IL81:IL83)&gt;0)*$G$21/12*(1+$G$22)^(IL78-1)</f>
        <v>0</v>
      </c>
      <c r="IM107" s="0" t="n">
        <f aca="false">(SUM(IM81:IM83)&gt;0)*$G$21/12*(1+$G$22)^(IM78-1)</f>
        <v>0</v>
      </c>
      <c r="IN107" s="0" t="n">
        <f aca="false">(SUM(IN81:IN83)&gt;0)*$G$21/12*(1+$G$22)^(IN78-1)</f>
        <v>0</v>
      </c>
      <c r="IO107" s="0" t="n">
        <f aca="false">(SUM(IO81:IO83)&gt;0)*$G$21/12*(1+$G$22)^(IO78-1)</f>
        <v>0</v>
      </c>
      <c r="IP107" s="0" t="n">
        <f aca="false">(SUM(IP81:IP83)&gt;0)*$G$21/12*(1+$G$22)^(IP78-1)</f>
        <v>0</v>
      </c>
      <c r="IQ107" s="0" t="n">
        <f aca="false">(SUM(IQ81:IQ83)&gt;0)*$G$21/12*(1+$G$22)^(IQ78-1)</f>
        <v>0</v>
      </c>
      <c r="IR107" s="0" t="n">
        <f aca="false">(SUM(IR81:IR83)&gt;0)*$G$21/12*(1+$G$22)^(IR78-1)</f>
        <v>0</v>
      </c>
      <c r="IS107" s="0" t="n">
        <f aca="false">(SUM(IS81:IS83)&gt;0)*$G$21/12*(1+$G$22)^(IS78-1)</f>
        <v>0</v>
      </c>
      <c r="IT107" s="0" t="n">
        <f aca="false">(SUM(IT81:IT83)&gt;0)*$G$21/12*(1+$G$22)^(IT78-1)</f>
        <v>0</v>
      </c>
      <c r="IU107" s="0" t="n">
        <f aca="false">(SUM(IU81:IU83)&gt;0)*$G$21/12*(1+$G$22)^(IU78-1)</f>
        <v>0</v>
      </c>
      <c r="IV107" s="0" t="n">
        <f aca="false">(SUM(IV81:IV83)&gt;0)*$G$21/12*(1+$G$22)^(IV78-1)</f>
        <v>0</v>
      </c>
      <c r="IW107" s="0" t="n">
        <f aca="false">(SUM(IW81:IW83)&gt;0)*$G$21/12*(1+$G$22)^(IW78-1)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95</v>
      </c>
    </row>
    <row r="6" customFormat="false" ht="15" hidden="false" customHeight="false" outlineLevel="0" collapsed="false">
      <c r="B6" s="0" t="s">
        <v>96</v>
      </c>
      <c r="K6" s="0" t="s">
        <v>97</v>
      </c>
    </row>
    <row r="7" customFormat="false" ht="15" hidden="false" customHeight="false" outlineLevel="0" collapsed="false">
      <c r="B7" s="0" t="s">
        <v>17</v>
      </c>
      <c r="E7" s="1" t="n">
        <f aca="false">C61</f>
        <v>0.0896571082063726</v>
      </c>
      <c r="K7" s="4" t="s">
        <v>98</v>
      </c>
      <c r="N7" s="7" t="n">
        <f aca="false">PMT(Inputs!M15/12,Inputs!M16,-Inputs!M14)</f>
        <v>29554.6733967241</v>
      </c>
    </row>
    <row r="8" customFormat="false" ht="15" hidden="false" customHeight="false" outlineLevel="0" collapsed="false">
      <c r="B8" s="0" t="s">
        <v>99</v>
      </c>
      <c r="E8" s="3" t="n">
        <f aca="false">C62</f>
        <v>2.22227882621583</v>
      </c>
      <c r="K8" s="4" t="s">
        <v>100</v>
      </c>
      <c r="N8" s="7" t="n">
        <f aca="false">PV(Inputs!M15/12,Inputs!M16-'Investment Returns'!N9,-Debt_Payment)</f>
        <v>3734235.51798289</v>
      </c>
    </row>
    <row r="9" customFormat="false" ht="15" hidden="false" customHeight="false" outlineLevel="0" collapsed="false">
      <c r="K9" s="0" t="s">
        <v>101</v>
      </c>
      <c r="N9" s="0" t="n">
        <f aca="false">Residual_Month</f>
        <v>156</v>
      </c>
    </row>
    <row r="11" customFormat="false" ht="15" hidden="false" customHeight="false" outlineLevel="0" collapsed="false">
      <c r="B11" s="0" t="s">
        <v>102</v>
      </c>
    </row>
    <row r="12" customFormat="false" ht="15" hidden="false" customHeight="false" outlineLevel="0" collapsed="false">
      <c r="B12" s="0" t="s">
        <v>17</v>
      </c>
      <c r="E12" s="1" t="n">
        <f aca="false">C66</f>
        <v>0.123742389288525</v>
      </c>
    </row>
    <row r="13" customFormat="false" ht="15" hidden="false" customHeight="false" outlineLevel="0" collapsed="false">
      <c r="B13" s="0" t="s">
        <v>99</v>
      </c>
      <c r="E13" s="3" t="n">
        <f aca="false">C67</f>
        <v>3.11646974972212</v>
      </c>
    </row>
    <row r="16" customFormat="false" ht="15" hidden="false" customHeight="false" outlineLevel="0" collapsed="false">
      <c r="B16" s="0" t="s">
        <v>103</v>
      </c>
      <c r="C16" s="0" t="n">
        <v>0</v>
      </c>
      <c r="D16" s="0" t="n">
        <v>1</v>
      </c>
      <c r="E16" s="0" t="n">
        <v>2</v>
      </c>
      <c r="F16" s="0" t="n">
        <v>3</v>
      </c>
      <c r="G16" s="0" t="n">
        <v>4</v>
      </c>
      <c r="H16" s="0" t="n">
        <v>5</v>
      </c>
      <c r="I16" s="0" t="n">
        <v>6</v>
      </c>
      <c r="J16" s="0" t="n">
        <v>7</v>
      </c>
      <c r="K16" s="0" t="n">
        <v>8</v>
      </c>
      <c r="L16" s="0" t="n">
        <v>9</v>
      </c>
      <c r="M16" s="0" t="n">
        <v>10</v>
      </c>
      <c r="N16" s="0" t="n">
        <v>11</v>
      </c>
      <c r="O16" s="0" t="n">
        <v>12</v>
      </c>
      <c r="P16" s="0" t="n">
        <v>13</v>
      </c>
      <c r="Q16" s="0" t="n">
        <v>14</v>
      </c>
      <c r="R16" s="0" t="n">
        <v>15</v>
      </c>
      <c r="S16" s="0" t="n">
        <v>16</v>
      </c>
      <c r="T16" s="0" t="n">
        <v>17</v>
      </c>
      <c r="U16" s="0" t="n">
        <v>18</v>
      </c>
      <c r="V16" s="0" t="n">
        <v>19</v>
      </c>
      <c r="W16" s="0" t="n">
        <v>20</v>
      </c>
    </row>
    <row r="17" customFormat="false" ht="15" hidden="false" customHeight="false" outlineLevel="0" collapsed="false">
      <c r="B17" s="0" t="s">
        <v>104</v>
      </c>
      <c r="C17" s="0" t="n">
        <f aca="false">SUMIF($C$37:$II$37,C$16,$C40:$II40)</f>
        <v>0</v>
      </c>
      <c r="D17" s="0" t="n">
        <f aca="false">SUMIF($C$37:$II$37,D$16,$C40:$II40)</f>
        <v>558250</v>
      </c>
      <c r="E17" s="0" t="n">
        <f aca="false">SUMIF($C$37:$II$37,E$16,$C40:$II40)</f>
        <v>569415</v>
      </c>
      <c r="F17" s="0" t="n">
        <f aca="false">SUMIF($C$37:$II$37,F$16,$C40:$II40)</f>
        <v>580803.3</v>
      </c>
      <c r="G17" s="0" t="n">
        <f aca="false">SUMIF($C$37:$II$37,G$16,$C40:$II40)</f>
        <v>592419.366</v>
      </c>
      <c r="H17" s="0" t="n">
        <f aca="false">SUMIF($C$37:$II$37,H$16,$C40:$II40)</f>
        <v>604267.75332</v>
      </c>
      <c r="I17" s="0" t="n">
        <f aca="false">SUMIF($C$37:$II$37,I$16,$C40:$II40)</f>
        <v>616353.1083864</v>
      </c>
      <c r="J17" s="0" t="n">
        <f aca="false">SUMIF($C$37:$II$37,J$16,$C40:$II40)</f>
        <v>628680.170554128</v>
      </c>
      <c r="K17" s="0" t="n">
        <f aca="false">SUMIF($C$37:$II$37,K$16,$C40:$II40)</f>
        <v>641253.773965211</v>
      </c>
      <c r="L17" s="0" t="n">
        <f aca="false">SUMIF($C$37:$II$37,L$16,$C40:$II40)</f>
        <v>497005.19461116</v>
      </c>
      <c r="M17" s="0" t="n">
        <f aca="false">SUMIF($C$37:$II$37,M$16,$C40:$II40)</f>
        <v>614455.19461116</v>
      </c>
      <c r="N17" s="0" t="n">
        <f aca="false">SUMIF($C$37:$II$37,N$16,$C40:$II40)</f>
        <v>614455.19461116</v>
      </c>
      <c r="O17" s="0" t="n">
        <f aca="false">SUMIF($C$37:$II$37,O$16,$C40:$II40)</f>
        <v>614455.19461116</v>
      </c>
      <c r="P17" s="0" t="n">
        <f aca="false">SUMIF($C$37:$II$37,P$16,$C40:$II40)</f>
        <v>614455.19461116</v>
      </c>
      <c r="Q17" s="0" t="n">
        <f aca="false">SUMIF($C$37:$II$37,Q$16,$C40:$II40)</f>
        <v>0</v>
      </c>
      <c r="R17" s="0" t="n">
        <f aca="false">SUMIF($C$37:$II$37,R$16,$C40:$II40)</f>
        <v>0</v>
      </c>
      <c r="S17" s="0" t="n">
        <f aca="false">SUMIF($C$37:$II$37,S$16,$C40:$II40)</f>
        <v>0</v>
      </c>
      <c r="T17" s="0" t="n">
        <f aca="false">SUMIF($C$37:$II$37,T$16,$C40:$II40)</f>
        <v>0</v>
      </c>
      <c r="U17" s="0" t="n">
        <f aca="false">SUMIF($C$37:$II$37,U$16,$C40:$II40)</f>
        <v>0</v>
      </c>
      <c r="V17" s="0" t="n">
        <f aca="false">SUMIF($C$37:$II$37,V$16,$C40:$II40)</f>
        <v>0</v>
      </c>
      <c r="W17" s="0" t="n">
        <f aca="false">SUMIF($C$37:$II$37,W$16,$C40:$II40)</f>
        <v>0</v>
      </c>
    </row>
    <row r="23" customFormat="false" ht="15" hidden="false" customHeight="false" outlineLevel="0" collapsed="false">
      <c r="B23" s="0" t="s">
        <v>76</v>
      </c>
      <c r="C23" s="0" t="n">
        <f aca="false">SUMIF($C$37:$II$37,C$16,$C46:$II46)</f>
        <v>0</v>
      </c>
      <c r="D23" s="0" t="n">
        <f aca="false">SUMIF($C$37:$II$37,D$16,$C46:$II46)</f>
        <v>559750</v>
      </c>
      <c r="E23" s="0" t="n">
        <f aca="false">SUMIF($C$37:$II$37,E$16,$C46:$II46)</f>
        <v>570945</v>
      </c>
      <c r="F23" s="0" t="n">
        <f aca="false">SUMIF($C$37:$II$37,F$16,$C46:$II46)</f>
        <v>582363.9</v>
      </c>
      <c r="G23" s="0" t="n">
        <f aca="false">SUMIF($C$37:$II$37,G$16,$C46:$II46)</f>
        <v>594011.178</v>
      </c>
      <c r="H23" s="0" t="n">
        <f aca="false">SUMIF($C$37:$II$37,H$16,$C46:$II46)</f>
        <v>605891.40156</v>
      </c>
      <c r="I23" s="0" t="n">
        <f aca="false">SUMIF($C$37:$II$37,I$16,$C46:$II46)</f>
        <v>618009.2295912</v>
      </c>
      <c r="J23" s="0" t="n">
        <f aca="false">SUMIF($C$37:$II$37,J$16,$C46:$II46)</f>
        <v>630369.414183024</v>
      </c>
      <c r="K23" s="0" t="n">
        <f aca="false">SUMIF($C$37:$II$37,K$16,$C46:$II46)</f>
        <v>642976.802466685</v>
      </c>
      <c r="L23" s="0" t="n">
        <f aca="false">SUMIF($C$37:$II$37,L$16,$C46:$II46)</f>
        <v>498762.683682664</v>
      </c>
      <c r="M23" s="0" t="n">
        <f aca="false">SUMIF($C$37:$II$37,M$16,$C46:$II46)</f>
        <v>616247.833464094</v>
      </c>
      <c r="N23" s="0" t="n">
        <f aca="false">SUMIF($C$37:$II$37,N$16,$C46:$II46)</f>
        <v>616283.686241153</v>
      </c>
      <c r="O23" s="0" t="n">
        <f aca="false">SUMIF($C$37:$II$37,O$16,$C46:$II46)</f>
        <v>616320.256073752</v>
      </c>
      <c r="P23" s="0" t="n">
        <f aca="false">SUMIF($C$37:$II$37,P$16,$C46:$II46)</f>
        <v>616357.557303004</v>
      </c>
      <c r="Q23" s="0" t="n">
        <f aca="false">SUMIF($C$37:$II$37,Q$16,$C46:$II46)</f>
        <v>0</v>
      </c>
      <c r="R23" s="0" t="n">
        <f aca="false">SUMIF($C$37:$II$37,R$16,$C46:$II46)</f>
        <v>0</v>
      </c>
      <c r="S23" s="0" t="n">
        <f aca="false">SUMIF($C$37:$II$37,S$16,$C46:$II46)</f>
        <v>0</v>
      </c>
      <c r="T23" s="0" t="n">
        <f aca="false">SUMIF($C$37:$II$37,T$16,$C46:$II46)</f>
        <v>0</v>
      </c>
      <c r="U23" s="0" t="n">
        <f aca="false">SUMIF($C$37:$II$37,U$16,$C46:$II46)</f>
        <v>0</v>
      </c>
      <c r="V23" s="0" t="n">
        <f aca="false">SUMIF($C$37:$II$37,V$16,$C46:$II46)</f>
        <v>0</v>
      </c>
      <c r="W23" s="0" t="n">
        <f aca="false">SUMIF($C$37:$II$37,W$16,$C46:$II46)</f>
        <v>0</v>
      </c>
    </row>
    <row r="25" customFormat="false" ht="15" hidden="false" customHeight="false" outlineLevel="0" collapsed="false">
      <c r="B25" s="0" t="s">
        <v>105</v>
      </c>
      <c r="C25" s="0" t="n">
        <f aca="false">SUMIF($C$37:$II$37,C$16,$C48:$II48)</f>
        <v>0</v>
      </c>
      <c r="D25" s="0" t="n">
        <f aca="false">SUMIF($C$37:$II$37,D$16,$C48:$II48)</f>
        <v>553950</v>
      </c>
      <c r="E25" s="0" t="n">
        <f aca="false">SUMIF($C$37:$II$37,E$16,$C48:$II48)</f>
        <v>565000</v>
      </c>
      <c r="F25" s="0" t="n">
        <f aca="false">SUMIF($C$37:$II$37,F$16,$C48:$II48)</f>
        <v>576270.275</v>
      </c>
      <c r="G25" s="0" t="n">
        <f aca="false">SUMIF($C$37:$II$37,G$16,$C48:$II48)</f>
        <v>587765.212375</v>
      </c>
      <c r="H25" s="0" t="n">
        <f aca="false">SUMIF($C$37:$II$37,H$16,$C48:$II48)</f>
        <v>599489.286794375</v>
      </c>
      <c r="I25" s="0" t="n">
        <f aca="false">SUMIF($C$37:$II$37,I$16,$C48:$II48)</f>
        <v>611447.061956435</v>
      </c>
      <c r="J25" s="0" t="n">
        <f aca="false">SUMIF($C$37:$II$37,J$16,$C48:$II48)</f>
        <v>623643.192357389</v>
      </c>
      <c r="K25" s="0" t="n">
        <f aca="false">SUMIF($C$37:$II$37,K$16,$C48:$II48)</f>
        <v>636082.425095409</v>
      </c>
      <c r="L25" s="0" t="n">
        <f aca="false">SUMIF($C$37:$II$37,L$16,$C48:$II48)</f>
        <v>491695.946877106</v>
      </c>
      <c r="M25" s="0" t="n">
        <f aca="false">SUMIF($C$37:$II$37,M$16,$C48:$II48)</f>
        <v>609004.428238397</v>
      </c>
      <c r="N25" s="0" t="n">
        <f aca="false">SUMIF($C$37:$II$37,N$16,$C48:$II48)</f>
        <v>608859.195884814</v>
      </c>
      <c r="O25" s="0" t="n">
        <f aca="false">SUMIF($C$37:$II$37,O$16,$C48:$II48)</f>
        <v>608710.153458505</v>
      </c>
      <c r="P25" s="0" t="n">
        <f aca="false">SUMIF($C$37:$II$37,P$16,$C48:$II48)</f>
        <v>608557.202122376</v>
      </c>
      <c r="Q25" s="0" t="n">
        <f aca="false">SUMIF($C$37:$II$37,Q$16,$C48:$II48)</f>
        <v>0</v>
      </c>
      <c r="R25" s="0" t="n">
        <f aca="false">SUMIF($C$37:$II$37,R$16,$C48:$II48)</f>
        <v>0</v>
      </c>
      <c r="S25" s="0" t="n">
        <f aca="false">SUMIF($C$37:$II$37,S$16,$C48:$II48)</f>
        <v>0</v>
      </c>
      <c r="T25" s="0" t="n">
        <f aca="false">SUMIF($C$37:$II$37,T$16,$C48:$II48)</f>
        <v>0</v>
      </c>
      <c r="U25" s="0" t="n">
        <f aca="false">SUMIF($C$37:$II$37,U$16,$C48:$II48)</f>
        <v>0</v>
      </c>
      <c r="V25" s="0" t="n">
        <f aca="false">SUMIF($C$37:$II$37,V$16,$C48:$II48)</f>
        <v>0</v>
      </c>
      <c r="W25" s="0" t="n">
        <f aca="false">SUMIF($C$37:$II$37,W$16,$C48:$II48)</f>
        <v>0</v>
      </c>
    </row>
    <row r="26" customFormat="false" ht="15" hidden="false" customHeight="false" outlineLevel="0" collapsed="false">
      <c r="B26" s="0" t="s">
        <v>106</v>
      </c>
      <c r="C26" s="0" t="n">
        <f aca="false">SUMIF($C$37:$II$37,C$16,$C49:$II49)</f>
        <v>0</v>
      </c>
      <c r="D26" s="0" t="n">
        <f aca="false">SUMIF($C$37:$II$37,D$16,$C49:$II49)</f>
        <v>354656.080760689</v>
      </c>
      <c r="E26" s="0" t="n">
        <f aca="false">SUMIF($C$37:$II$37,E$16,$C49:$II49)</f>
        <v>354656.080760689</v>
      </c>
      <c r="F26" s="0" t="n">
        <f aca="false">SUMIF($C$37:$II$37,F$16,$C49:$II49)</f>
        <v>354656.080760689</v>
      </c>
      <c r="G26" s="0" t="n">
        <f aca="false">SUMIF($C$37:$II$37,G$16,$C49:$II49)</f>
        <v>354656.080760689</v>
      </c>
      <c r="H26" s="0" t="n">
        <f aca="false">SUMIF($C$37:$II$37,H$16,$C49:$II49)</f>
        <v>354656.080760689</v>
      </c>
      <c r="I26" s="0" t="n">
        <f aca="false">SUMIF($C$37:$II$37,I$16,$C49:$II49)</f>
        <v>354656.080760689</v>
      </c>
      <c r="J26" s="0" t="n">
        <f aca="false">SUMIF($C$37:$II$37,J$16,$C49:$II49)</f>
        <v>354656.080760689</v>
      </c>
      <c r="K26" s="0" t="n">
        <f aca="false">SUMIF($C$37:$II$37,K$16,$C49:$II49)</f>
        <v>354656.080760689</v>
      </c>
      <c r="L26" s="0" t="n">
        <f aca="false">SUMIF($C$37:$II$37,L$16,$C49:$II49)</f>
        <v>354656.080760689</v>
      </c>
      <c r="M26" s="0" t="n">
        <f aca="false">SUMIF($C$37:$II$37,M$16,$C49:$II49)</f>
        <v>354656.080760689</v>
      </c>
      <c r="N26" s="0" t="n">
        <f aca="false">SUMIF($C$37:$II$37,N$16,$C49:$II49)</f>
        <v>354656.080760689</v>
      </c>
      <c r="O26" s="0" t="n">
        <f aca="false">SUMIF($C$37:$II$37,O$16,$C49:$II49)</f>
        <v>354656.080760689</v>
      </c>
      <c r="P26" s="0" t="n">
        <f aca="false">SUMIF($C$37:$II$37,P$16,$C49:$II49)</f>
        <v>354656.080760689</v>
      </c>
      <c r="Q26" s="0" t="n">
        <f aca="false">SUMIF($C$37:$II$37,Q$16,$C49:$II49)</f>
        <v>0</v>
      </c>
      <c r="R26" s="0" t="n">
        <f aca="false">SUMIF($C$37:$II$37,R$16,$C49:$II49)</f>
        <v>0</v>
      </c>
      <c r="S26" s="0" t="n">
        <f aca="false">SUMIF($C$37:$II$37,S$16,$C49:$II49)</f>
        <v>0</v>
      </c>
      <c r="T26" s="0" t="n">
        <f aca="false">SUMIF($C$37:$II$37,T$16,$C49:$II49)</f>
        <v>0</v>
      </c>
      <c r="U26" s="0" t="n">
        <f aca="false">SUMIF($C$37:$II$37,U$16,$C49:$II49)</f>
        <v>0</v>
      </c>
      <c r="V26" s="0" t="n">
        <f aca="false">SUMIF($C$37:$II$37,V$16,$C49:$II49)</f>
        <v>0</v>
      </c>
      <c r="W26" s="0" t="n">
        <f aca="false">SUMIF($C$37:$II$37,W$16,$C49:$II49)</f>
        <v>0</v>
      </c>
    </row>
    <row r="33" customFormat="false" ht="15" hidden="false" customHeight="false" outlineLevel="0" collapsed="false">
      <c r="B33" s="0" t="s">
        <v>107</v>
      </c>
      <c r="C33" s="0" t="n">
        <f aca="false">SUMIF($C$37:$II$37,C$16,$C56:$II56)</f>
        <v>-7575283.33333333</v>
      </c>
      <c r="D33" s="0" t="n">
        <f aca="false">SUMIF($C$37:$II$37,D$16,$C56:$II56)</f>
        <v>553950</v>
      </c>
      <c r="E33" s="0" t="n">
        <f aca="false">SUMIF($C$37:$II$37,E$16,$C56:$II56)</f>
        <v>565000</v>
      </c>
      <c r="F33" s="0" t="n">
        <f aca="false">SUMIF($C$37:$II$37,F$16,$C56:$II56)</f>
        <v>576270.275</v>
      </c>
      <c r="G33" s="0" t="n">
        <f aca="false">SUMIF($C$37:$II$37,G$16,$C56:$II56)</f>
        <v>587765.212375</v>
      </c>
      <c r="H33" s="0" t="n">
        <f aca="false">SUMIF($C$37:$II$37,H$16,$C56:$II56)</f>
        <v>599489.286794375</v>
      </c>
      <c r="I33" s="0" t="n">
        <f aca="false">SUMIF($C$37:$II$37,I$16,$C56:$II56)</f>
        <v>611447.061956435</v>
      </c>
      <c r="J33" s="0" t="n">
        <f aca="false">SUMIF($C$37:$II$37,J$16,$C56:$II56)</f>
        <v>623643.192357389</v>
      </c>
      <c r="K33" s="0" t="n">
        <f aca="false">SUMIF($C$37:$II$37,K$16,$C56:$II56)</f>
        <v>636082.425095409</v>
      </c>
      <c r="L33" s="0" t="n">
        <f aca="false">SUMIF($C$37:$II$37,L$16,$C56:$II56)</f>
        <v>491695.946877106</v>
      </c>
      <c r="M33" s="0" t="n">
        <f aca="false">SUMIF($C$37:$II$37,M$16,$C56:$II56)</f>
        <v>609004.428238397</v>
      </c>
      <c r="N33" s="0" t="n">
        <f aca="false">SUMIF($C$37:$II$37,N$16,$C56:$II56)</f>
        <v>608859.195884814</v>
      </c>
      <c r="O33" s="0" t="n">
        <f aca="false">SUMIF($C$37:$II$37,O$16,$C56:$II56)</f>
        <v>608710.153458505</v>
      </c>
      <c r="P33" s="0" t="n">
        <f aca="false">SUMIF($C$37:$II$37,P$16,$C56:$II56)</f>
        <v>9762474.57621495</v>
      </c>
      <c r="Q33" s="0" t="n">
        <f aca="false">SUMIF($C$37:$II$37,Q$16,$C56:$II56)</f>
        <v>0</v>
      </c>
      <c r="R33" s="0" t="n">
        <f aca="false">SUMIF($C$37:$II$37,R$16,$C56:$II56)</f>
        <v>0</v>
      </c>
      <c r="S33" s="0" t="n">
        <f aca="false">SUMIF($C$37:$II$37,S$16,$C56:$II56)</f>
        <v>0</v>
      </c>
      <c r="T33" s="0" t="n">
        <f aca="false">SUMIF($C$37:$II$37,T$16,$C56:$II56)</f>
        <v>0</v>
      </c>
      <c r="U33" s="0" t="n">
        <f aca="false">SUMIF($C$37:$II$37,U$16,$C56:$II56)</f>
        <v>0</v>
      </c>
      <c r="V33" s="0" t="n">
        <f aca="false">SUMIF($C$37:$II$37,V$16,$C56:$II56)</f>
        <v>0</v>
      </c>
      <c r="W33" s="0" t="n">
        <f aca="false">SUMIF($C$37:$II$37,W$16,$C56:$II56)</f>
        <v>0</v>
      </c>
    </row>
    <row r="34" customFormat="false" ht="15" hidden="false" customHeight="false" outlineLevel="0" collapsed="false">
      <c r="B34" s="0" t="s">
        <v>108</v>
      </c>
      <c r="C34" s="0" t="n">
        <f aca="false">SUMIF($C$37:$II$37,C$16,$C57:$II57)</f>
        <v>-2724116.66666667</v>
      </c>
      <c r="D34" s="0" t="n">
        <f aca="false">SUMIF($C$37:$II$37,D$16,$C57:$II57)</f>
        <v>199293.919239311</v>
      </c>
      <c r="E34" s="0" t="n">
        <f aca="false">SUMIF($C$37:$II$37,E$16,$C57:$II57)</f>
        <v>210343.919239311</v>
      </c>
      <c r="F34" s="0" t="n">
        <f aca="false">SUMIF($C$37:$II$37,F$16,$C57:$II57)</f>
        <v>221614.194239311</v>
      </c>
      <c r="G34" s="0" t="n">
        <f aca="false">SUMIF($C$37:$II$37,G$16,$C57:$II57)</f>
        <v>233109.131614311</v>
      </c>
      <c r="H34" s="0" t="n">
        <f aca="false">SUMIF($C$37:$II$37,H$16,$C57:$II57)</f>
        <v>244833.206033686</v>
      </c>
      <c r="I34" s="0" t="n">
        <f aca="false">SUMIF($C$37:$II$37,I$16,$C57:$II57)</f>
        <v>256790.981195745</v>
      </c>
      <c r="J34" s="0" t="n">
        <f aca="false">SUMIF($C$37:$II$37,J$16,$C57:$II57)</f>
        <v>268987.1115967</v>
      </c>
      <c r="K34" s="0" t="n">
        <f aca="false">SUMIF($C$37:$II$37,K$16,$C57:$II57)</f>
        <v>281426.34433472</v>
      </c>
      <c r="L34" s="0" t="n">
        <f aca="false">SUMIF($C$37:$II$37,L$16,$C57:$II57)</f>
        <v>137039.866116417</v>
      </c>
      <c r="M34" s="0" t="n">
        <f aca="false">SUMIF($C$37:$II$37,M$16,$C57:$II57)</f>
        <v>254348.347477708</v>
      </c>
      <c r="N34" s="0" t="n">
        <f aca="false">SUMIF($C$37:$II$37,N$16,$C57:$II57)</f>
        <v>254203.115124125</v>
      </c>
      <c r="O34" s="0" t="n">
        <f aca="false">SUMIF($C$37:$II$37,O$16,$C57:$II57)</f>
        <v>254054.072697816</v>
      </c>
      <c r="P34" s="0" t="n">
        <f aca="false">SUMIF($C$37:$II$37,P$16,$C57:$II57)</f>
        <v>5673582.97747136</v>
      </c>
      <c r="Q34" s="0" t="n">
        <f aca="false">SUMIF($C$37:$II$37,Q$16,$C57:$II57)</f>
        <v>0</v>
      </c>
      <c r="R34" s="0" t="n">
        <f aca="false">SUMIF($C$37:$II$37,R$16,$C57:$II57)</f>
        <v>0</v>
      </c>
      <c r="S34" s="0" t="n">
        <f aca="false">SUMIF($C$37:$II$37,S$16,$C57:$II57)</f>
        <v>0</v>
      </c>
      <c r="T34" s="0" t="n">
        <f aca="false">SUMIF($C$37:$II$37,T$16,$C57:$II57)</f>
        <v>0</v>
      </c>
      <c r="U34" s="0" t="n">
        <f aca="false">SUMIF($C$37:$II$37,U$16,$C57:$II57)</f>
        <v>0</v>
      </c>
      <c r="V34" s="0" t="n">
        <f aca="false">SUMIF($C$37:$II$37,V$16,$C57:$II57)</f>
        <v>0</v>
      </c>
      <c r="W34" s="0" t="n">
        <f aca="false">SUMIF($C$37:$II$37,W$16,$C57:$II57)</f>
        <v>0</v>
      </c>
    </row>
    <row r="36" customFormat="false" ht="15" hidden="false" customHeight="false" outlineLevel="0" collapsed="false">
      <c r="B36" s="0" t="s">
        <v>109</v>
      </c>
    </row>
    <row r="37" customFormat="false" ht="15" hidden="false" customHeight="false" outlineLevel="0" collapsed="false">
      <c r="B37" s="0" t="s">
        <v>86</v>
      </c>
      <c r="C37" s="0" t="n">
        <v>0</v>
      </c>
      <c r="D37" s="0" t="n">
        <f aca="false">IF(D38="","",ROUNDUP(D38/12,0))</f>
        <v>1</v>
      </c>
      <c r="E37" s="0" t="n">
        <f aca="false">IF(E38="","",ROUNDUP(E38/12,0))</f>
        <v>1</v>
      </c>
      <c r="F37" s="0" t="n">
        <f aca="false">IF(F38="","",ROUNDUP(F38/12,0))</f>
        <v>1</v>
      </c>
      <c r="G37" s="0" t="n">
        <f aca="false">IF(G38="","",ROUNDUP(G38/12,0))</f>
        <v>1</v>
      </c>
      <c r="H37" s="0" t="n">
        <f aca="false">IF(H38="","",ROUNDUP(H38/12,0))</f>
        <v>1</v>
      </c>
      <c r="I37" s="0" t="n">
        <f aca="false">IF(I38="","",ROUNDUP(I38/12,0))</f>
        <v>1</v>
      </c>
      <c r="J37" s="0" t="n">
        <f aca="false">IF(J38="","",ROUNDUP(J38/12,0))</f>
        <v>1</v>
      </c>
      <c r="K37" s="0" t="n">
        <f aca="false">IF(K38="","",ROUNDUP(K38/12,0))</f>
        <v>1</v>
      </c>
      <c r="L37" s="0" t="n">
        <f aca="false">IF(L38="","",ROUNDUP(L38/12,0))</f>
        <v>1</v>
      </c>
      <c r="M37" s="0" t="n">
        <f aca="false">IF(M38="","",ROUNDUP(M38/12,0))</f>
        <v>1</v>
      </c>
      <c r="N37" s="0" t="n">
        <f aca="false">IF(N38="","",ROUNDUP(N38/12,0))</f>
        <v>1</v>
      </c>
      <c r="O37" s="0" t="n">
        <f aca="false">IF(O38="","",ROUNDUP(O38/12,0))</f>
        <v>1</v>
      </c>
      <c r="P37" s="0" t="n">
        <f aca="false">IF(P38="","",ROUNDUP(P38/12,0))</f>
        <v>2</v>
      </c>
      <c r="Q37" s="0" t="n">
        <f aca="false">IF(Q38="","",ROUNDUP(Q38/12,0))</f>
        <v>2</v>
      </c>
      <c r="R37" s="0" t="n">
        <f aca="false">IF(R38="","",ROUNDUP(R38/12,0))</f>
        <v>2</v>
      </c>
      <c r="S37" s="0" t="n">
        <f aca="false">IF(S38="","",ROUNDUP(S38/12,0))</f>
        <v>2</v>
      </c>
      <c r="T37" s="0" t="n">
        <f aca="false">IF(T38="","",ROUNDUP(T38/12,0))</f>
        <v>2</v>
      </c>
      <c r="U37" s="0" t="n">
        <f aca="false">IF(U38="","",ROUNDUP(U38/12,0))</f>
        <v>2</v>
      </c>
      <c r="V37" s="0" t="n">
        <f aca="false">IF(V38="","",ROUNDUP(V38/12,0))</f>
        <v>2</v>
      </c>
      <c r="W37" s="0" t="n">
        <f aca="false">IF(W38="","",ROUNDUP(W38/12,0))</f>
        <v>2</v>
      </c>
      <c r="X37" s="0" t="n">
        <f aca="false">IF(X38="","",ROUNDUP(X38/12,0))</f>
        <v>2</v>
      </c>
      <c r="Y37" s="0" t="n">
        <f aca="false">IF(Y38="","",ROUNDUP(Y38/12,0))</f>
        <v>2</v>
      </c>
      <c r="Z37" s="0" t="n">
        <f aca="false">IF(Z38="","",ROUNDUP(Z38/12,0))</f>
        <v>2</v>
      </c>
      <c r="AA37" s="0" t="n">
        <f aca="false">IF(AA38="","",ROUNDUP(AA38/12,0))</f>
        <v>2</v>
      </c>
      <c r="AB37" s="0" t="n">
        <f aca="false">IF(AB38="","",ROUNDUP(AB38/12,0))</f>
        <v>3</v>
      </c>
      <c r="AC37" s="0" t="n">
        <f aca="false">IF(AC38="","",ROUNDUP(AC38/12,0))</f>
        <v>3</v>
      </c>
      <c r="AD37" s="0" t="n">
        <f aca="false">IF(AD38="","",ROUNDUP(AD38/12,0))</f>
        <v>3</v>
      </c>
      <c r="AE37" s="0" t="n">
        <f aca="false">IF(AE38="","",ROUNDUP(AE38/12,0))</f>
        <v>3</v>
      </c>
      <c r="AF37" s="0" t="n">
        <f aca="false">IF(AF38="","",ROUNDUP(AF38/12,0))</f>
        <v>3</v>
      </c>
      <c r="AG37" s="0" t="n">
        <f aca="false">IF(AG38="","",ROUNDUP(AG38/12,0))</f>
        <v>3</v>
      </c>
      <c r="AH37" s="0" t="n">
        <f aca="false">IF(AH38="","",ROUNDUP(AH38/12,0))</f>
        <v>3</v>
      </c>
      <c r="AI37" s="0" t="n">
        <f aca="false">IF(AI38="","",ROUNDUP(AI38/12,0))</f>
        <v>3</v>
      </c>
      <c r="AJ37" s="0" t="n">
        <f aca="false">IF(AJ38="","",ROUNDUP(AJ38/12,0))</f>
        <v>3</v>
      </c>
      <c r="AK37" s="0" t="n">
        <f aca="false">IF(AK38="","",ROUNDUP(AK38/12,0))</f>
        <v>3</v>
      </c>
      <c r="AL37" s="0" t="n">
        <f aca="false">IF(AL38="","",ROUNDUP(AL38/12,0))</f>
        <v>3</v>
      </c>
      <c r="AM37" s="0" t="n">
        <f aca="false">IF(AM38="","",ROUNDUP(AM38/12,0))</f>
        <v>3</v>
      </c>
      <c r="AN37" s="0" t="n">
        <f aca="false">IF(AN38="","",ROUNDUP(AN38/12,0))</f>
        <v>4</v>
      </c>
      <c r="AO37" s="0" t="n">
        <f aca="false">IF(AO38="","",ROUNDUP(AO38/12,0))</f>
        <v>4</v>
      </c>
      <c r="AP37" s="0" t="n">
        <f aca="false">IF(AP38="","",ROUNDUP(AP38/12,0))</f>
        <v>4</v>
      </c>
      <c r="AQ37" s="0" t="n">
        <f aca="false">IF(AQ38="","",ROUNDUP(AQ38/12,0))</f>
        <v>4</v>
      </c>
      <c r="AR37" s="0" t="n">
        <f aca="false">IF(AR38="","",ROUNDUP(AR38/12,0))</f>
        <v>4</v>
      </c>
      <c r="AS37" s="0" t="n">
        <f aca="false">IF(AS38="","",ROUNDUP(AS38/12,0))</f>
        <v>4</v>
      </c>
      <c r="AT37" s="0" t="n">
        <f aca="false">IF(AT38="","",ROUNDUP(AT38/12,0))</f>
        <v>4</v>
      </c>
      <c r="AU37" s="0" t="n">
        <f aca="false">IF(AU38="","",ROUNDUP(AU38/12,0))</f>
        <v>4</v>
      </c>
      <c r="AV37" s="0" t="n">
        <f aca="false">IF(AV38="","",ROUNDUP(AV38/12,0))</f>
        <v>4</v>
      </c>
      <c r="AW37" s="0" t="n">
        <f aca="false">IF(AW38="","",ROUNDUP(AW38/12,0))</f>
        <v>4</v>
      </c>
      <c r="AX37" s="0" t="n">
        <f aca="false">IF(AX38="","",ROUNDUP(AX38/12,0))</f>
        <v>4</v>
      </c>
      <c r="AY37" s="0" t="n">
        <f aca="false">IF(AY38="","",ROUNDUP(AY38/12,0))</f>
        <v>4</v>
      </c>
      <c r="AZ37" s="0" t="n">
        <f aca="false">IF(AZ38="","",ROUNDUP(AZ38/12,0))</f>
        <v>5</v>
      </c>
      <c r="BA37" s="0" t="n">
        <f aca="false">IF(BA38="","",ROUNDUP(BA38/12,0))</f>
        <v>5</v>
      </c>
      <c r="BB37" s="0" t="n">
        <f aca="false">IF(BB38="","",ROUNDUP(BB38/12,0))</f>
        <v>5</v>
      </c>
      <c r="BC37" s="0" t="n">
        <f aca="false">IF(BC38="","",ROUNDUP(BC38/12,0))</f>
        <v>5</v>
      </c>
      <c r="BD37" s="0" t="n">
        <f aca="false">IF(BD38="","",ROUNDUP(BD38/12,0))</f>
        <v>5</v>
      </c>
      <c r="BE37" s="0" t="n">
        <f aca="false">IF(BE38="","",ROUNDUP(BE38/12,0))</f>
        <v>5</v>
      </c>
      <c r="BF37" s="0" t="n">
        <f aca="false">IF(BF38="","",ROUNDUP(BF38/12,0))</f>
        <v>5</v>
      </c>
      <c r="BG37" s="0" t="n">
        <f aca="false">IF(BG38="","",ROUNDUP(BG38/12,0))</f>
        <v>5</v>
      </c>
      <c r="BH37" s="0" t="n">
        <f aca="false">IF(BH38="","",ROUNDUP(BH38/12,0))</f>
        <v>5</v>
      </c>
      <c r="BI37" s="0" t="n">
        <f aca="false">IF(BI38="","",ROUNDUP(BI38/12,0))</f>
        <v>5</v>
      </c>
      <c r="BJ37" s="0" t="n">
        <f aca="false">IF(BJ38="","",ROUNDUP(BJ38/12,0))</f>
        <v>5</v>
      </c>
      <c r="BK37" s="0" t="n">
        <f aca="false">IF(BK38="","",ROUNDUP(BK38/12,0))</f>
        <v>5</v>
      </c>
      <c r="BL37" s="0" t="n">
        <f aca="false">IF(BL38="","",ROUNDUP(BL38/12,0))</f>
        <v>6</v>
      </c>
      <c r="BM37" s="0" t="n">
        <f aca="false">IF(BM38="","",ROUNDUP(BM38/12,0))</f>
        <v>6</v>
      </c>
      <c r="BN37" s="0" t="n">
        <f aca="false">IF(BN38="","",ROUNDUP(BN38/12,0))</f>
        <v>6</v>
      </c>
      <c r="BO37" s="0" t="n">
        <f aca="false">IF(BO38="","",ROUNDUP(BO38/12,0))</f>
        <v>6</v>
      </c>
      <c r="BP37" s="0" t="n">
        <f aca="false">IF(BP38="","",ROUNDUP(BP38/12,0))</f>
        <v>6</v>
      </c>
      <c r="BQ37" s="0" t="n">
        <f aca="false">IF(BQ38="","",ROUNDUP(BQ38/12,0))</f>
        <v>6</v>
      </c>
      <c r="BR37" s="0" t="n">
        <f aca="false">IF(BR38="","",ROUNDUP(BR38/12,0))</f>
        <v>6</v>
      </c>
      <c r="BS37" s="0" t="n">
        <f aca="false">IF(BS38="","",ROUNDUP(BS38/12,0))</f>
        <v>6</v>
      </c>
      <c r="BT37" s="0" t="n">
        <f aca="false">IF(BT38="","",ROUNDUP(BT38/12,0))</f>
        <v>6</v>
      </c>
      <c r="BU37" s="0" t="n">
        <f aca="false">IF(BU38="","",ROUNDUP(BU38/12,0))</f>
        <v>6</v>
      </c>
      <c r="BV37" s="0" t="n">
        <f aca="false">IF(BV38="","",ROUNDUP(BV38/12,0))</f>
        <v>6</v>
      </c>
      <c r="BW37" s="0" t="n">
        <f aca="false">IF(BW38="","",ROUNDUP(BW38/12,0))</f>
        <v>6</v>
      </c>
      <c r="BX37" s="0" t="n">
        <f aca="false">IF(BX38="","",ROUNDUP(BX38/12,0))</f>
        <v>7</v>
      </c>
      <c r="BY37" s="0" t="n">
        <f aca="false">IF(BY38="","",ROUNDUP(BY38/12,0))</f>
        <v>7</v>
      </c>
      <c r="BZ37" s="0" t="n">
        <f aca="false">IF(BZ38="","",ROUNDUP(BZ38/12,0))</f>
        <v>7</v>
      </c>
      <c r="CA37" s="0" t="n">
        <f aca="false">IF(CA38="","",ROUNDUP(CA38/12,0))</f>
        <v>7</v>
      </c>
      <c r="CB37" s="0" t="n">
        <f aca="false">IF(CB38="","",ROUNDUP(CB38/12,0))</f>
        <v>7</v>
      </c>
      <c r="CC37" s="0" t="n">
        <f aca="false">IF(CC38="","",ROUNDUP(CC38/12,0))</f>
        <v>7</v>
      </c>
      <c r="CD37" s="0" t="n">
        <f aca="false">IF(CD38="","",ROUNDUP(CD38/12,0))</f>
        <v>7</v>
      </c>
      <c r="CE37" s="0" t="n">
        <f aca="false">IF(CE38="","",ROUNDUP(CE38/12,0))</f>
        <v>7</v>
      </c>
      <c r="CF37" s="0" t="n">
        <f aca="false">IF(CF38="","",ROUNDUP(CF38/12,0))</f>
        <v>7</v>
      </c>
      <c r="CG37" s="0" t="n">
        <f aca="false">IF(CG38="","",ROUNDUP(CG38/12,0))</f>
        <v>7</v>
      </c>
      <c r="CH37" s="0" t="n">
        <f aca="false">IF(CH38="","",ROUNDUP(CH38/12,0))</f>
        <v>7</v>
      </c>
      <c r="CI37" s="0" t="n">
        <f aca="false">IF(CI38="","",ROUNDUP(CI38/12,0))</f>
        <v>7</v>
      </c>
      <c r="CJ37" s="0" t="n">
        <f aca="false">IF(CJ38="","",ROUNDUP(CJ38/12,0))</f>
        <v>8</v>
      </c>
      <c r="CK37" s="0" t="n">
        <f aca="false">IF(CK38="","",ROUNDUP(CK38/12,0))</f>
        <v>8</v>
      </c>
      <c r="CL37" s="0" t="n">
        <f aca="false">IF(CL38="","",ROUNDUP(CL38/12,0))</f>
        <v>8</v>
      </c>
      <c r="CM37" s="0" t="n">
        <f aca="false">IF(CM38="","",ROUNDUP(CM38/12,0))</f>
        <v>8</v>
      </c>
      <c r="CN37" s="0" t="n">
        <f aca="false">IF(CN38="","",ROUNDUP(CN38/12,0))</f>
        <v>8</v>
      </c>
      <c r="CO37" s="0" t="n">
        <f aca="false">IF(CO38="","",ROUNDUP(CO38/12,0))</f>
        <v>8</v>
      </c>
      <c r="CP37" s="0" t="n">
        <f aca="false">IF(CP38="","",ROUNDUP(CP38/12,0))</f>
        <v>8</v>
      </c>
      <c r="CQ37" s="0" t="n">
        <f aca="false">IF(CQ38="","",ROUNDUP(CQ38/12,0))</f>
        <v>8</v>
      </c>
      <c r="CR37" s="0" t="n">
        <f aca="false">IF(CR38="","",ROUNDUP(CR38/12,0))</f>
        <v>8</v>
      </c>
      <c r="CS37" s="0" t="n">
        <f aca="false">IF(CS38="","",ROUNDUP(CS38/12,0))</f>
        <v>8</v>
      </c>
      <c r="CT37" s="0" t="n">
        <f aca="false">IF(CT38="","",ROUNDUP(CT38/12,0))</f>
        <v>8</v>
      </c>
      <c r="CU37" s="0" t="n">
        <f aca="false">IF(CU38="","",ROUNDUP(CU38/12,0))</f>
        <v>8</v>
      </c>
      <c r="CV37" s="0" t="n">
        <f aca="false">IF(CV38="","",ROUNDUP(CV38/12,0))</f>
        <v>9</v>
      </c>
      <c r="CW37" s="0" t="n">
        <f aca="false">IF(CW38="","",ROUNDUP(CW38/12,0))</f>
        <v>9</v>
      </c>
      <c r="CX37" s="0" t="n">
        <f aca="false">IF(CX38="","",ROUNDUP(CX38/12,0))</f>
        <v>9</v>
      </c>
      <c r="CY37" s="0" t="n">
        <f aca="false">IF(CY38="","",ROUNDUP(CY38/12,0))</f>
        <v>9</v>
      </c>
      <c r="CZ37" s="0" t="n">
        <f aca="false">IF(CZ38="","",ROUNDUP(CZ38/12,0))</f>
        <v>9</v>
      </c>
      <c r="DA37" s="0" t="n">
        <f aca="false">IF(DA38="","",ROUNDUP(DA38/12,0))</f>
        <v>9</v>
      </c>
      <c r="DB37" s="0" t="n">
        <f aca="false">IF(DB38="","",ROUNDUP(DB38/12,0))</f>
        <v>9</v>
      </c>
      <c r="DC37" s="0" t="n">
        <f aca="false">IF(DC38="","",ROUNDUP(DC38/12,0))</f>
        <v>9</v>
      </c>
      <c r="DD37" s="0" t="n">
        <f aca="false">IF(DD38="","",ROUNDUP(DD38/12,0))</f>
        <v>9</v>
      </c>
      <c r="DE37" s="0" t="n">
        <f aca="false">IF(DE38="","",ROUNDUP(DE38/12,0))</f>
        <v>9</v>
      </c>
      <c r="DF37" s="0" t="n">
        <f aca="false">IF(DF38="","",ROUNDUP(DF38/12,0))</f>
        <v>9</v>
      </c>
      <c r="DG37" s="0" t="n">
        <f aca="false">IF(DG38="","",ROUNDUP(DG38/12,0))</f>
        <v>9</v>
      </c>
      <c r="DH37" s="0" t="n">
        <f aca="false">IF(DH38="","",ROUNDUP(DH38/12,0))</f>
        <v>10</v>
      </c>
      <c r="DI37" s="0" t="n">
        <f aca="false">IF(DI38="","",ROUNDUP(DI38/12,0))</f>
        <v>10</v>
      </c>
      <c r="DJ37" s="0" t="n">
        <f aca="false">IF(DJ38="","",ROUNDUP(DJ38/12,0))</f>
        <v>10</v>
      </c>
      <c r="DK37" s="0" t="n">
        <f aca="false">IF(DK38="","",ROUNDUP(DK38/12,0))</f>
        <v>10</v>
      </c>
      <c r="DL37" s="0" t="n">
        <f aca="false">IF(DL38="","",ROUNDUP(DL38/12,0))</f>
        <v>10</v>
      </c>
      <c r="DM37" s="0" t="n">
        <f aca="false">IF(DM38="","",ROUNDUP(DM38/12,0))</f>
        <v>10</v>
      </c>
      <c r="DN37" s="0" t="n">
        <f aca="false">IF(DN38="","",ROUNDUP(DN38/12,0))</f>
        <v>10</v>
      </c>
      <c r="DO37" s="0" t="n">
        <f aca="false">IF(DO38="","",ROUNDUP(DO38/12,0))</f>
        <v>10</v>
      </c>
      <c r="DP37" s="0" t="n">
        <f aca="false">IF(DP38="","",ROUNDUP(DP38/12,0))</f>
        <v>10</v>
      </c>
      <c r="DQ37" s="0" t="n">
        <f aca="false">IF(DQ38="","",ROUNDUP(DQ38/12,0))</f>
        <v>10</v>
      </c>
      <c r="DR37" s="0" t="n">
        <f aca="false">IF(DR38="","",ROUNDUP(DR38/12,0))</f>
        <v>10</v>
      </c>
      <c r="DS37" s="0" t="n">
        <f aca="false">IF(DS38="","",ROUNDUP(DS38/12,0))</f>
        <v>10</v>
      </c>
      <c r="DT37" s="0" t="n">
        <f aca="false">IF(DT38="","",ROUNDUP(DT38/12,0))</f>
        <v>11</v>
      </c>
      <c r="DU37" s="0" t="n">
        <f aca="false">IF(DU38="","",ROUNDUP(DU38/12,0))</f>
        <v>11</v>
      </c>
      <c r="DV37" s="0" t="n">
        <f aca="false">IF(DV38="","",ROUNDUP(DV38/12,0))</f>
        <v>11</v>
      </c>
      <c r="DW37" s="0" t="n">
        <f aca="false">IF(DW38="","",ROUNDUP(DW38/12,0))</f>
        <v>11</v>
      </c>
      <c r="DX37" s="0" t="n">
        <f aca="false">IF(DX38="","",ROUNDUP(DX38/12,0))</f>
        <v>11</v>
      </c>
      <c r="DY37" s="0" t="n">
        <f aca="false">IF(DY38="","",ROUNDUP(DY38/12,0))</f>
        <v>11</v>
      </c>
      <c r="DZ37" s="0" t="n">
        <f aca="false">IF(DZ38="","",ROUNDUP(DZ38/12,0))</f>
        <v>11</v>
      </c>
      <c r="EA37" s="0" t="n">
        <f aca="false">IF(EA38="","",ROUNDUP(EA38/12,0))</f>
        <v>11</v>
      </c>
      <c r="EB37" s="0" t="n">
        <f aca="false">IF(EB38="","",ROUNDUP(EB38/12,0))</f>
        <v>11</v>
      </c>
      <c r="EC37" s="0" t="n">
        <f aca="false">IF(EC38="","",ROUNDUP(EC38/12,0))</f>
        <v>11</v>
      </c>
      <c r="ED37" s="0" t="n">
        <f aca="false">IF(ED38="","",ROUNDUP(ED38/12,0))</f>
        <v>11</v>
      </c>
      <c r="EE37" s="0" t="n">
        <f aca="false">IF(EE38="","",ROUNDUP(EE38/12,0))</f>
        <v>11</v>
      </c>
      <c r="EF37" s="0" t="n">
        <f aca="false">IF(EF38="","",ROUNDUP(EF38/12,0))</f>
        <v>12</v>
      </c>
      <c r="EG37" s="0" t="n">
        <f aca="false">IF(EG38="","",ROUNDUP(EG38/12,0))</f>
        <v>12</v>
      </c>
      <c r="EH37" s="0" t="n">
        <f aca="false">IF(EH38="","",ROUNDUP(EH38/12,0))</f>
        <v>12</v>
      </c>
      <c r="EI37" s="0" t="n">
        <f aca="false">IF(EI38="","",ROUNDUP(EI38/12,0))</f>
        <v>12</v>
      </c>
      <c r="EJ37" s="0" t="n">
        <f aca="false">IF(EJ38="","",ROUNDUP(EJ38/12,0))</f>
        <v>12</v>
      </c>
      <c r="EK37" s="0" t="n">
        <f aca="false">IF(EK38="","",ROUNDUP(EK38/12,0))</f>
        <v>12</v>
      </c>
      <c r="EL37" s="0" t="n">
        <f aca="false">IF(EL38="","",ROUNDUP(EL38/12,0))</f>
        <v>12</v>
      </c>
      <c r="EM37" s="0" t="n">
        <f aca="false">IF(EM38="","",ROUNDUP(EM38/12,0))</f>
        <v>12</v>
      </c>
      <c r="EN37" s="0" t="n">
        <f aca="false">IF(EN38="","",ROUNDUP(EN38/12,0))</f>
        <v>12</v>
      </c>
      <c r="EO37" s="0" t="n">
        <f aca="false">IF(EO38="","",ROUNDUP(EO38/12,0))</f>
        <v>12</v>
      </c>
      <c r="EP37" s="0" t="n">
        <f aca="false">IF(EP38="","",ROUNDUP(EP38/12,0))</f>
        <v>12</v>
      </c>
      <c r="EQ37" s="0" t="n">
        <f aca="false">IF(EQ38="","",ROUNDUP(EQ38/12,0))</f>
        <v>12</v>
      </c>
      <c r="ER37" s="0" t="n">
        <f aca="false">IF(ER38="","",ROUNDUP(ER38/12,0))</f>
        <v>13</v>
      </c>
      <c r="ES37" s="0" t="n">
        <f aca="false">IF(ES38="","",ROUNDUP(ES38/12,0))</f>
        <v>13</v>
      </c>
      <c r="ET37" s="0" t="n">
        <f aca="false">IF(ET38="","",ROUNDUP(ET38/12,0))</f>
        <v>13</v>
      </c>
      <c r="EU37" s="0" t="n">
        <f aca="false">IF(EU38="","",ROUNDUP(EU38/12,0))</f>
        <v>13</v>
      </c>
      <c r="EV37" s="0" t="n">
        <f aca="false">IF(EV38="","",ROUNDUP(EV38/12,0))</f>
        <v>13</v>
      </c>
      <c r="EW37" s="0" t="n">
        <f aca="false">IF(EW38="","",ROUNDUP(EW38/12,0))</f>
        <v>13</v>
      </c>
      <c r="EX37" s="0" t="n">
        <f aca="false">IF(EX38="","",ROUNDUP(EX38/12,0))</f>
        <v>13</v>
      </c>
      <c r="EY37" s="0" t="n">
        <f aca="false">IF(EY38="","",ROUNDUP(EY38/12,0))</f>
        <v>13</v>
      </c>
      <c r="EZ37" s="0" t="n">
        <f aca="false">IF(EZ38="","",ROUNDUP(EZ38/12,0))</f>
        <v>13</v>
      </c>
      <c r="FA37" s="0" t="n">
        <f aca="false">IF(FA38="","",ROUNDUP(FA38/12,0))</f>
        <v>13</v>
      </c>
      <c r="FB37" s="0" t="n">
        <f aca="false">IF(FB38="","",ROUNDUP(FB38/12,0))</f>
        <v>13</v>
      </c>
      <c r="FC37" s="0" t="n">
        <f aca="false">IF(FC38="","",ROUNDUP(FC38/12,0))</f>
        <v>13</v>
      </c>
      <c r="FD37" s="0" t="str">
        <f aca="false">IF(FD38="","",ROUNDUP(FD38/12,0))</f>
        <v/>
      </c>
      <c r="FE37" s="0" t="e">
        <f aca="false">IF(FE38="","",ROUNDUP(FE38/12,0))</f>
        <v>#VALUE!</v>
      </c>
      <c r="FF37" s="0" t="e">
        <f aca="false">IF(FF38="","",ROUNDUP(FF38/12,0))</f>
        <v>#VALUE!</v>
      </c>
      <c r="FG37" s="0" t="e">
        <f aca="false">IF(FG38="","",ROUNDUP(FG38/12,0))</f>
        <v>#VALUE!</v>
      </c>
      <c r="FH37" s="0" t="e">
        <f aca="false">IF(FH38="","",ROUNDUP(FH38/12,0))</f>
        <v>#VALUE!</v>
      </c>
      <c r="FI37" s="0" t="e">
        <f aca="false">IF(FI38="","",ROUNDUP(FI38/12,0))</f>
        <v>#VALUE!</v>
      </c>
      <c r="FJ37" s="0" t="e">
        <f aca="false">IF(FJ38="","",ROUNDUP(FJ38/12,0))</f>
        <v>#VALUE!</v>
      </c>
      <c r="FK37" s="0" t="e">
        <f aca="false">IF(FK38="","",ROUNDUP(FK38/12,0))</f>
        <v>#VALUE!</v>
      </c>
      <c r="FL37" s="0" t="e">
        <f aca="false">IF(FL38="","",ROUNDUP(FL38/12,0))</f>
        <v>#VALUE!</v>
      </c>
      <c r="FM37" s="0" t="e">
        <f aca="false">IF(FM38="","",ROUNDUP(FM38/12,0))</f>
        <v>#VALUE!</v>
      </c>
      <c r="FN37" s="0" t="e">
        <f aca="false">IF(FN38="","",ROUNDUP(FN38/12,0))</f>
        <v>#VALUE!</v>
      </c>
      <c r="FO37" s="0" t="e">
        <f aca="false">IF(FO38="","",ROUNDUP(FO38/12,0))</f>
        <v>#VALUE!</v>
      </c>
      <c r="FP37" s="0" t="e">
        <f aca="false">IF(FP38="","",ROUNDUP(FP38/12,0))</f>
        <v>#VALUE!</v>
      </c>
      <c r="FQ37" s="0" t="e">
        <f aca="false">IF(FQ38="","",ROUNDUP(FQ38/12,0))</f>
        <v>#VALUE!</v>
      </c>
      <c r="FR37" s="0" t="e">
        <f aca="false">IF(FR38="","",ROUNDUP(FR38/12,0))</f>
        <v>#VALUE!</v>
      </c>
      <c r="FS37" s="0" t="e">
        <f aca="false">IF(FS38="","",ROUNDUP(FS38/12,0))</f>
        <v>#VALUE!</v>
      </c>
      <c r="FT37" s="0" t="e">
        <f aca="false">IF(FT38="","",ROUNDUP(FT38/12,0))</f>
        <v>#VALUE!</v>
      </c>
      <c r="FU37" s="0" t="e">
        <f aca="false">IF(FU38="","",ROUNDUP(FU38/12,0))</f>
        <v>#VALUE!</v>
      </c>
      <c r="FV37" s="0" t="e">
        <f aca="false">IF(FV38="","",ROUNDUP(FV38/12,0))</f>
        <v>#VALUE!</v>
      </c>
      <c r="FW37" s="0" t="e">
        <f aca="false">IF(FW38="","",ROUNDUP(FW38/12,0))</f>
        <v>#VALUE!</v>
      </c>
      <c r="FX37" s="0" t="e">
        <f aca="false">IF(FX38="","",ROUNDUP(FX38/12,0))</f>
        <v>#VALUE!</v>
      </c>
      <c r="FY37" s="0" t="e">
        <f aca="false">IF(FY38="","",ROUNDUP(FY38/12,0))</f>
        <v>#VALUE!</v>
      </c>
      <c r="FZ37" s="0" t="e">
        <f aca="false">IF(FZ38="","",ROUNDUP(FZ38/12,0))</f>
        <v>#VALUE!</v>
      </c>
      <c r="GA37" s="0" t="e">
        <f aca="false">IF(GA38="","",ROUNDUP(GA38/12,0))</f>
        <v>#VALUE!</v>
      </c>
      <c r="GB37" s="0" t="e">
        <f aca="false">IF(GB38="","",ROUNDUP(GB38/12,0))</f>
        <v>#VALUE!</v>
      </c>
      <c r="GC37" s="0" t="e">
        <f aca="false">IF(GC38="","",ROUNDUP(GC38/12,0))</f>
        <v>#VALUE!</v>
      </c>
      <c r="GD37" s="0" t="e">
        <f aca="false">IF(GD38="","",ROUNDUP(GD38/12,0))</f>
        <v>#VALUE!</v>
      </c>
      <c r="GE37" s="0" t="e">
        <f aca="false">IF(GE38="","",ROUNDUP(GE38/12,0))</f>
        <v>#VALUE!</v>
      </c>
      <c r="GF37" s="0" t="e">
        <f aca="false">IF(GF38="","",ROUNDUP(GF38/12,0))</f>
        <v>#VALUE!</v>
      </c>
      <c r="GG37" s="0" t="e">
        <f aca="false">IF(GG38="","",ROUNDUP(GG38/12,0))</f>
        <v>#VALUE!</v>
      </c>
      <c r="GH37" s="0" t="e">
        <f aca="false">IF(GH38="","",ROUNDUP(GH38/12,0))</f>
        <v>#VALUE!</v>
      </c>
      <c r="GI37" s="0" t="e">
        <f aca="false">IF(GI38="","",ROUNDUP(GI38/12,0))</f>
        <v>#VALUE!</v>
      </c>
      <c r="GJ37" s="0" t="e">
        <f aca="false">IF(GJ38="","",ROUNDUP(GJ38/12,0))</f>
        <v>#VALUE!</v>
      </c>
      <c r="GK37" s="0" t="e">
        <f aca="false">IF(GK38="","",ROUNDUP(GK38/12,0))</f>
        <v>#VALUE!</v>
      </c>
      <c r="GL37" s="0" t="e">
        <f aca="false">IF(GL38="","",ROUNDUP(GL38/12,0))</f>
        <v>#VALUE!</v>
      </c>
      <c r="GM37" s="0" t="e">
        <f aca="false">IF(GM38="","",ROUNDUP(GM38/12,0))</f>
        <v>#VALUE!</v>
      </c>
      <c r="GN37" s="0" t="e">
        <f aca="false">IF(GN38="","",ROUNDUP(GN38/12,0))</f>
        <v>#VALUE!</v>
      </c>
      <c r="GO37" s="0" t="e">
        <f aca="false">IF(GO38="","",ROUNDUP(GO38/12,0))</f>
        <v>#VALUE!</v>
      </c>
      <c r="GP37" s="0" t="e">
        <f aca="false">IF(GP38="","",ROUNDUP(GP38/12,0))</f>
        <v>#VALUE!</v>
      </c>
      <c r="GQ37" s="0" t="e">
        <f aca="false">IF(GQ38="","",ROUNDUP(GQ38/12,0))</f>
        <v>#VALUE!</v>
      </c>
      <c r="GR37" s="0" t="e">
        <f aca="false">IF(GR38="","",ROUNDUP(GR38/12,0))</f>
        <v>#VALUE!</v>
      </c>
      <c r="GS37" s="0" t="e">
        <f aca="false">IF(GS38="","",ROUNDUP(GS38/12,0))</f>
        <v>#VALUE!</v>
      </c>
      <c r="GT37" s="0" t="e">
        <f aca="false">IF(GT38="","",ROUNDUP(GT38/12,0))</f>
        <v>#VALUE!</v>
      </c>
      <c r="GU37" s="0" t="e">
        <f aca="false">IF(GU38="","",ROUNDUP(GU38/12,0))</f>
        <v>#VALUE!</v>
      </c>
      <c r="GV37" s="0" t="e">
        <f aca="false">IF(GV38="","",ROUNDUP(GV38/12,0))</f>
        <v>#VALUE!</v>
      </c>
      <c r="GW37" s="0" t="e">
        <f aca="false">IF(GW38="","",ROUNDUP(GW38/12,0))</f>
        <v>#VALUE!</v>
      </c>
      <c r="GX37" s="0" t="e">
        <f aca="false">IF(GX38="","",ROUNDUP(GX38/12,0))</f>
        <v>#VALUE!</v>
      </c>
      <c r="GY37" s="0" t="e">
        <f aca="false">IF(GY38="","",ROUNDUP(GY38/12,0))</f>
        <v>#VALUE!</v>
      </c>
      <c r="GZ37" s="0" t="e">
        <f aca="false">IF(GZ38="","",ROUNDUP(GZ38/12,0))</f>
        <v>#VALUE!</v>
      </c>
      <c r="HA37" s="0" t="e">
        <f aca="false">IF(HA38="","",ROUNDUP(HA38/12,0))</f>
        <v>#VALUE!</v>
      </c>
      <c r="HB37" s="0" t="e">
        <f aca="false">IF(HB38="","",ROUNDUP(HB38/12,0))</f>
        <v>#VALUE!</v>
      </c>
      <c r="HC37" s="0" t="e">
        <f aca="false">IF(HC38="","",ROUNDUP(HC38/12,0))</f>
        <v>#VALUE!</v>
      </c>
      <c r="HD37" s="0" t="e">
        <f aca="false">IF(HD38="","",ROUNDUP(HD38/12,0))</f>
        <v>#VALUE!</v>
      </c>
      <c r="HE37" s="0" t="e">
        <f aca="false">IF(HE38="","",ROUNDUP(HE38/12,0))</f>
        <v>#VALUE!</v>
      </c>
      <c r="HF37" s="0" t="e">
        <f aca="false">IF(HF38="","",ROUNDUP(HF38/12,0))</f>
        <v>#VALUE!</v>
      </c>
      <c r="HG37" s="0" t="e">
        <f aca="false">IF(HG38="","",ROUNDUP(HG38/12,0))</f>
        <v>#VALUE!</v>
      </c>
      <c r="HH37" s="0" t="e">
        <f aca="false">IF(HH38="","",ROUNDUP(HH38/12,0))</f>
        <v>#VALUE!</v>
      </c>
      <c r="HI37" s="0" t="e">
        <f aca="false">IF(HI38="","",ROUNDUP(HI38/12,0))</f>
        <v>#VALUE!</v>
      </c>
      <c r="HJ37" s="0" t="e">
        <f aca="false">IF(HJ38="","",ROUNDUP(HJ38/12,0))</f>
        <v>#VALUE!</v>
      </c>
      <c r="HK37" s="0" t="e">
        <f aca="false">IF(HK38="","",ROUNDUP(HK38/12,0))</f>
        <v>#VALUE!</v>
      </c>
      <c r="HL37" s="0" t="e">
        <f aca="false">IF(HL38="","",ROUNDUP(HL38/12,0))</f>
        <v>#VALUE!</v>
      </c>
      <c r="HM37" s="0" t="e">
        <f aca="false">IF(HM38="","",ROUNDUP(HM38/12,0))</f>
        <v>#VALUE!</v>
      </c>
      <c r="HN37" s="0" t="e">
        <f aca="false">IF(HN38="","",ROUNDUP(HN38/12,0))</f>
        <v>#VALUE!</v>
      </c>
      <c r="HO37" s="0" t="e">
        <f aca="false">IF(HO38="","",ROUNDUP(HO38/12,0))</f>
        <v>#VALUE!</v>
      </c>
      <c r="HP37" s="0" t="e">
        <f aca="false">IF(HP38="","",ROUNDUP(HP38/12,0))</f>
        <v>#VALUE!</v>
      </c>
      <c r="HQ37" s="0" t="e">
        <f aca="false">IF(HQ38="","",ROUNDUP(HQ38/12,0))</f>
        <v>#VALUE!</v>
      </c>
      <c r="HR37" s="0" t="e">
        <f aca="false">IF(HR38="","",ROUNDUP(HR38/12,0))</f>
        <v>#VALUE!</v>
      </c>
      <c r="HS37" s="0" t="e">
        <f aca="false">IF(HS38="","",ROUNDUP(HS38/12,0))</f>
        <v>#VALUE!</v>
      </c>
      <c r="HT37" s="0" t="e">
        <f aca="false">IF(HT38="","",ROUNDUP(HT38/12,0))</f>
        <v>#VALUE!</v>
      </c>
      <c r="HU37" s="0" t="e">
        <f aca="false">IF(HU38="","",ROUNDUP(HU38/12,0))</f>
        <v>#VALUE!</v>
      </c>
      <c r="HV37" s="0" t="e">
        <f aca="false">IF(HV38="","",ROUNDUP(HV38/12,0))</f>
        <v>#VALUE!</v>
      </c>
      <c r="HW37" s="0" t="e">
        <f aca="false">IF(HW38="","",ROUNDUP(HW38/12,0))</f>
        <v>#VALUE!</v>
      </c>
      <c r="HX37" s="0" t="e">
        <f aca="false">IF(HX38="","",ROUNDUP(HX38/12,0))</f>
        <v>#VALUE!</v>
      </c>
      <c r="HY37" s="0" t="e">
        <f aca="false">IF(HY38="","",ROUNDUP(HY38/12,0))</f>
        <v>#VALUE!</v>
      </c>
      <c r="HZ37" s="0" t="e">
        <f aca="false">IF(HZ38="","",ROUNDUP(HZ38/12,0))</f>
        <v>#VALUE!</v>
      </c>
      <c r="IA37" s="0" t="e">
        <f aca="false">IF(IA38="","",ROUNDUP(IA38/12,0))</f>
        <v>#VALUE!</v>
      </c>
      <c r="IB37" s="0" t="e">
        <f aca="false">IF(IB38="","",ROUNDUP(IB38/12,0))</f>
        <v>#VALUE!</v>
      </c>
      <c r="IC37" s="0" t="e">
        <f aca="false">IF(IC38="","",ROUNDUP(IC38/12,0))</f>
        <v>#VALUE!</v>
      </c>
      <c r="ID37" s="0" t="e">
        <f aca="false">IF(ID38="","",ROUNDUP(ID38/12,0))</f>
        <v>#VALUE!</v>
      </c>
      <c r="IE37" s="0" t="e">
        <f aca="false">IF(IE38="","",ROUNDUP(IE38/12,0))</f>
        <v>#VALUE!</v>
      </c>
      <c r="IF37" s="0" t="e">
        <f aca="false">IF(IF38="","",ROUNDUP(IF38/12,0))</f>
        <v>#VALUE!</v>
      </c>
      <c r="IG37" s="0" t="e">
        <f aca="false">IF(IG38="","",ROUNDUP(IG38/12,0))</f>
        <v>#VALUE!</v>
      </c>
      <c r="IH37" s="0" t="e">
        <f aca="false">IF(IH38="","",ROUNDUP(IH38/12,0))</f>
        <v>#VALUE!</v>
      </c>
      <c r="II37" s="0" t="e">
        <f aca="false">IF(II38="","",ROUNDUP(II38/12,0))</f>
        <v>#VALUE!</v>
      </c>
    </row>
    <row r="38" customFormat="false" ht="15" hidden="false" customHeight="false" outlineLevel="0" collapsed="false">
      <c r="B38" s="0" t="s">
        <v>87</v>
      </c>
      <c r="C38" s="0" t="n">
        <v>0</v>
      </c>
      <c r="D38" s="0" t="n">
        <f aca="false">IF(C38+1&gt;Residual_Month,"",C38+1)</f>
        <v>1</v>
      </c>
      <c r="E38" s="0" t="n">
        <f aca="false">IF(D38+1&gt;Residual_Month,"",D38+1)</f>
        <v>2</v>
      </c>
      <c r="F38" s="0" t="n">
        <f aca="false">IF(E38+1&gt;Residual_Month,"",E38+1)</f>
        <v>3</v>
      </c>
      <c r="G38" s="0" t="n">
        <f aca="false">IF(F38+1&gt;Residual_Month,"",F38+1)</f>
        <v>4</v>
      </c>
      <c r="H38" s="0" t="n">
        <f aca="false">IF(G38+1&gt;Residual_Month,"",G38+1)</f>
        <v>5</v>
      </c>
      <c r="I38" s="0" t="n">
        <f aca="false">IF(H38+1&gt;Residual_Month,"",H38+1)</f>
        <v>6</v>
      </c>
      <c r="J38" s="0" t="n">
        <f aca="false">IF(I38+1&gt;Residual_Month,"",I38+1)</f>
        <v>7</v>
      </c>
      <c r="K38" s="0" t="n">
        <f aca="false">IF(J38+1&gt;Residual_Month,"",J38+1)</f>
        <v>8</v>
      </c>
      <c r="L38" s="0" t="n">
        <f aca="false">IF(K38+1&gt;Residual_Month,"",K38+1)</f>
        <v>9</v>
      </c>
      <c r="M38" s="0" t="n">
        <f aca="false">IF(L38+1&gt;Residual_Month,"",L38+1)</f>
        <v>10</v>
      </c>
      <c r="N38" s="0" t="n">
        <f aca="false">IF(M38+1&gt;Residual_Month,"",M38+1)</f>
        <v>11</v>
      </c>
      <c r="O38" s="0" t="n">
        <f aca="false">IF(N38+1&gt;Residual_Month,"",N38+1)</f>
        <v>12</v>
      </c>
      <c r="P38" s="0" t="n">
        <f aca="false">IF(O38+1&gt;Residual_Month,"",O38+1)</f>
        <v>13</v>
      </c>
      <c r="Q38" s="0" t="n">
        <f aca="false">IF(P38+1&gt;Residual_Month,"",P38+1)</f>
        <v>14</v>
      </c>
      <c r="R38" s="0" t="n">
        <f aca="false">IF(Q38+1&gt;Residual_Month,"",Q38+1)</f>
        <v>15</v>
      </c>
      <c r="S38" s="0" t="n">
        <f aca="false">IF(R38+1&gt;Residual_Month,"",R38+1)</f>
        <v>16</v>
      </c>
      <c r="T38" s="0" t="n">
        <f aca="false">IF(S38+1&gt;Residual_Month,"",S38+1)</f>
        <v>17</v>
      </c>
      <c r="U38" s="0" t="n">
        <f aca="false">IF(T38+1&gt;Residual_Month,"",T38+1)</f>
        <v>18</v>
      </c>
      <c r="V38" s="0" t="n">
        <f aca="false">IF(U38+1&gt;Residual_Month,"",U38+1)</f>
        <v>19</v>
      </c>
      <c r="W38" s="0" t="n">
        <f aca="false">IF(V38+1&gt;Residual_Month,"",V38+1)</f>
        <v>20</v>
      </c>
      <c r="X38" s="0" t="n">
        <f aca="false">IF(W38+1&gt;Residual_Month,"",W38+1)</f>
        <v>21</v>
      </c>
      <c r="Y38" s="0" t="n">
        <f aca="false">IF(X38+1&gt;Residual_Month,"",X38+1)</f>
        <v>22</v>
      </c>
      <c r="Z38" s="0" t="n">
        <f aca="false">IF(Y38+1&gt;Residual_Month,"",Y38+1)</f>
        <v>23</v>
      </c>
      <c r="AA38" s="0" t="n">
        <f aca="false">IF(Z38+1&gt;Residual_Month,"",Z38+1)</f>
        <v>24</v>
      </c>
      <c r="AB38" s="0" t="n">
        <f aca="false">IF(AA38+1&gt;Residual_Month,"",AA38+1)</f>
        <v>25</v>
      </c>
      <c r="AC38" s="0" t="n">
        <f aca="false">IF(AB38+1&gt;Residual_Month,"",AB38+1)</f>
        <v>26</v>
      </c>
      <c r="AD38" s="0" t="n">
        <f aca="false">IF(AC38+1&gt;Residual_Month,"",AC38+1)</f>
        <v>27</v>
      </c>
      <c r="AE38" s="0" t="n">
        <f aca="false">IF(AD38+1&gt;Residual_Month,"",AD38+1)</f>
        <v>28</v>
      </c>
      <c r="AF38" s="0" t="n">
        <f aca="false">IF(AE38+1&gt;Residual_Month,"",AE38+1)</f>
        <v>29</v>
      </c>
      <c r="AG38" s="0" t="n">
        <f aca="false">IF(AF38+1&gt;Residual_Month,"",AF38+1)</f>
        <v>30</v>
      </c>
      <c r="AH38" s="0" t="n">
        <f aca="false">IF(AG38+1&gt;Residual_Month,"",AG38+1)</f>
        <v>31</v>
      </c>
      <c r="AI38" s="0" t="n">
        <f aca="false">IF(AH38+1&gt;Residual_Month,"",AH38+1)</f>
        <v>32</v>
      </c>
      <c r="AJ38" s="0" t="n">
        <f aca="false">IF(AI38+1&gt;Residual_Month,"",AI38+1)</f>
        <v>33</v>
      </c>
      <c r="AK38" s="0" t="n">
        <f aca="false">IF(AJ38+1&gt;Residual_Month,"",AJ38+1)</f>
        <v>34</v>
      </c>
      <c r="AL38" s="0" t="n">
        <f aca="false">IF(AK38+1&gt;Residual_Month,"",AK38+1)</f>
        <v>35</v>
      </c>
      <c r="AM38" s="0" t="n">
        <f aca="false">IF(AL38+1&gt;Residual_Month,"",AL38+1)</f>
        <v>36</v>
      </c>
      <c r="AN38" s="0" t="n">
        <f aca="false">IF(AM38+1&gt;Residual_Month,"",AM38+1)</f>
        <v>37</v>
      </c>
      <c r="AO38" s="0" t="n">
        <f aca="false">IF(AN38+1&gt;Residual_Month,"",AN38+1)</f>
        <v>38</v>
      </c>
      <c r="AP38" s="0" t="n">
        <f aca="false">IF(AO38+1&gt;Residual_Month,"",AO38+1)</f>
        <v>39</v>
      </c>
      <c r="AQ38" s="0" t="n">
        <f aca="false">IF(AP38+1&gt;Residual_Month,"",AP38+1)</f>
        <v>40</v>
      </c>
      <c r="AR38" s="0" t="n">
        <f aca="false">IF(AQ38+1&gt;Residual_Month,"",AQ38+1)</f>
        <v>41</v>
      </c>
      <c r="AS38" s="0" t="n">
        <f aca="false">IF(AR38+1&gt;Residual_Month,"",AR38+1)</f>
        <v>42</v>
      </c>
      <c r="AT38" s="0" t="n">
        <f aca="false">IF(AS38+1&gt;Residual_Month,"",AS38+1)</f>
        <v>43</v>
      </c>
      <c r="AU38" s="0" t="n">
        <f aca="false">IF(AT38+1&gt;Residual_Month,"",AT38+1)</f>
        <v>44</v>
      </c>
      <c r="AV38" s="0" t="n">
        <f aca="false">IF(AU38+1&gt;Residual_Month,"",AU38+1)</f>
        <v>45</v>
      </c>
      <c r="AW38" s="0" t="n">
        <f aca="false">IF(AV38+1&gt;Residual_Month,"",AV38+1)</f>
        <v>46</v>
      </c>
      <c r="AX38" s="0" t="n">
        <f aca="false">IF(AW38+1&gt;Residual_Month,"",AW38+1)</f>
        <v>47</v>
      </c>
      <c r="AY38" s="0" t="n">
        <f aca="false">IF(AX38+1&gt;Residual_Month,"",AX38+1)</f>
        <v>48</v>
      </c>
      <c r="AZ38" s="0" t="n">
        <f aca="false">IF(AY38+1&gt;Residual_Month,"",AY38+1)</f>
        <v>49</v>
      </c>
      <c r="BA38" s="0" t="n">
        <f aca="false">IF(AZ38+1&gt;Residual_Month,"",AZ38+1)</f>
        <v>50</v>
      </c>
      <c r="BB38" s="0" t="n">
        <f aca="false">IF(BA38+1&gt;Residual_Month,"",BA38+1)</f>
        <v>51</v>
      </c>
      <c r="BC38" s="0" t="n">
        <f aca="false">IF(BB38+1&gt;Residual_Month,"",BB38+1)</f>
        <v>52</v>
      </c>
      <c r="BD38" s="0" t="n">
        <f aca="false">IF(BC38+1&gt;Residual_Month,"",BC38+1)</f>
        <v>53</v>
      </c>
      <c r="BE38" s="0" t="n">
        <f aca="false">IF(BD38+1&gt;Residual_Month,"",BD38+1)</f>
        <v>54</v>
      </c>
      <c r="BF38" s="0" t="n">
        <f aca="false">IF(BE38+1&gt;Residual_Month,"",BE38+1)</f>
        <v>55</v>
      </c>
      <c r="BG38" s="0" t="n">
        <f aca="false">IF(BF38+1&gt;Residual_Month,"",BF38+1)</f>
        <v>56</v>
      </c>
      <c r="BH38" s="0" t="n">
        <f aca="false">IF(BG38+1&gt;Residual_Month,"",BG38+1)</f>
        <v>57</v>
      </c>
      <c r="BI38" s="0" t="n">
        <f aca="false">IF(BH38+1&gt;Residual_Month,"",BH38+1)</f>
        <v>58</v>
      </c>
      <c r="BJ38" s="0" t="n">
        <f aca="false">IF(BI38+1&gt;Residual_Month,"",BI38+1)</f>
        <v>59</v>
      </c>
      <c r="BK38" s="0" t="n">
        <f aca="false">IF(BJ38+1&gt;Residual_Month,"",BJ38+1)</f>
        <v>60</v>
      </c>
      <c r="BL38" s="0" t="n">
        <f aca="false">IF(BK38+1&gt;Residual_Month,"",BK38+1)</f>
        <v>61</v>
      </c>
      <c r="BM38" s="0" t="n">
        <f aca="false">IF(BL38+1&gt;Residual_Month,"",BL38+1)</f>
        <v>62</v>
      </c>
      <c r="BN38" s="0" t="n">
        <f aca="false">IF(BM38+1&gt;Residual_Month,"",BM38+1)</f>
        <v>63</v>
      </c>
      <c r="BO38" s="0" t="n">
        <f aca="false">IF(BN38+1&gt;Residual_Month,"",BN38+1)</f>
        <v>64</v>
      </c>
      <c r="BP38" s="0" t="n">
        <f aca="false">IF(BO38+1&gt;Residual_Month,"",BO38+1)</f>
        <v>65</v>
      </c>
      <c r="BQ38" s="0" t="n">
        <f aca="false">IF(BP38+1&gt;Residual_Month,"",BP38+1)</f>
        <v>66</v>
      </c>
      <c r="BR38" s="0" t="n">
        <f aca="false">IF(BQ38+1&gt;Residual_Month,"",BQ38+1)</f>
        <v>67</v>
      </c>
      <c r="BS38" s="0" t="n">
        <f aca="false">IF(BR38+1&gt;Residual_Month,"",BR38+1)</f>
        <v>68</v>
      </c>
      <c r="BT38" s="0" t="n">
        <f aca="false">IF(BS38+1&gt;Residual_Month,"",BS38+1)</f>
        <v>69</v>
      </c>
      <c r="BU38" s="0" t="n">
        <f aca="false">IF(BT38+1&gt;Residual_Month,"",BT38+1)</f>
        <v>70</v>
      </c>
      <c r="BV38" s="0" t="n">
        <f aca="false">IF(BU38+1&gt;Residual_Month,"",BU38+1)</f>
        <v>71</v>
      </c>
      <c r="BW38" s="0" t="n">
        <f aca="false">IF(BV38+1&gt;Residual_Month,"",BV38+1)</f>
        <v>72</v>
      </c>
      <c r="BX38" s="0" t="n">
        <f aca="false">IF(BW38+1&gt;Residual_Month,"",BW38+1)</f>
        <v>73</v>
      </c>
      <c r="BY38" s="0" t="n">
        <f aca="false">IF(BX38+1&gt;Residual_Month,"",BX38+1)</f>
        <v>74</v>
      </c>
      <c r="BZ38" s="0" t="n">
        <f aca="false">IF(BY38+1&gt;Residual_Month,"",BY38+1)</f>
        <v>75</v>
      </c>
      <c r="CA38" s="0" t="n">
        <f aca="false">IF(BZ38+1&gt;Residual_Month,"",BZ38+1)</f>
        <v>76</v>
      </c>
      <c r="CB38" s="0" t="n">
        <f aca="false">IF(CA38+1&gt;Residual_Month,"",CA38+1)</f>
        <v>77</v>
      </c>
      <c r="CC38" s="0" t="n">
        <f aca="false">IF(CB38+1&gt;Residual_Month,"",CB38+1)</f>
        <v>78</v>
      </c>
      <c r="CD38" s="0" t="n">
        <f aca="false">IF(CC38+1&gt;Residual_Month,"",CC38+1)</f>
        <v>79</v>
      </c>
      <c r="CE38" s="0" t="n">
        <f aca="false">IF(CD38+1&gt;Residual_Month,"",CD38+1)</f>
        <v>80</v>
      </c>
      <c r="CF38" s="0" t="n">
        <f aca="false">IF(CE38+1&gt;Residual_Month,"",CE38+1)</f>
        <v>81</v>
      </c>
      <c r="CG38" s="0" t="n">
        <f aca="false">IF(CF38+1&gt;Residual_Month,"",CF38+1)</f>
        <v>82</v>
      </c>
      <c r="CH38" s="0" t="n">
        <f aca="false">IF(CG38+1&gt;Residual_Month,"",CG38+1)</f>
        <v>83</v>
      </c>
      <c r="CI38" s="0" t="n">
        <f aca="false">IF(CH38+1&gt;Residual_Month,"",CH38+1)</f>
        <v>84</v>
      </c>
      <c r="CJ38" s="0" t="n">
        <f aca="false">IF(CI38+1&gt;Residual_Month,"",CI38+1)</f>
        <v>85</v>
      </c>
      <c r="CK38" s="0" t="n">
        <f aca="false">IF(CJ38+1&gt;Residual_Month,"",CJ38+1)</f>
        <v>86</v>
      </c>
      <c r="CL38" s="0" t="n">
        <f aca="false">IF(CK38+1&gt;Residual_Month,"",CK38+1)</f>
        <v>87</v>
      </c>
      <c r="CM38" s="0" t="n">
        <f aca="false">IF(CL38+1&gt;Residual_Month,"",CL38+1)</f>
        <v>88</v>
      </c>
      <c r="CN38" s="0" t="n">
        <f aca="false">IF(CM38+1&gt;Residual_Month,"",CM38+1)</f>
        <v>89</v>
      </c>
      <c r="CO38" s="0" t="n">
        <f aca="false">IF(CN38+1&gt;Residual_Month,"",CN38+1)</f>
        <v>90</v>
      </c>
      <c r="CP38" s="0" t="n">
        <f aca="false">IF(CO38+1&gt;Residual_Month,"",CO38+1)</f>
        <v>91</v>
      </c>
      <c r="CQ38" s="0" t="n">
        <f aca="false">IF(CP38+1&gt;Residual_Month,"",CP38+1)</f>
        <v>92</v>
      </c>
      <c r="CR38" s="0" t="n">
        <f aca="false">IF(CQ38+1&gt;Residual_Month,"",CQ38+1)</f>
        <v>93</v>
      </c>
      <c r="CS38" s="0" t="n">
        <f aca="false">IF(CR38+1&gt;Residual_Month,"",CR38+1)</f>
        <v>94</v>
      </c>
      <c r="CT38" s="0" t="n">
        <f aca="false">IF(CS38+1&gt;Residual_Month,"",CS38+1)</f>
        <v>95</v>
      </c>
      <c r="CU38" s="0" t="n">
        <f aca="false">IF(CT38+1&gt;Residual_Month,"",CT38+1)</f>
        <v>96</v>
      </c>
      <c r="CV38" s="0" t="n">
        <f aca="false">IF(CU38+1&gt;Residual_Month,"",CU38+1)</f>
        <v>97</v>
      </c>
      <c r="CW38" s="0" t="n">
        <f aca="false">IF(CV38+1&gt;Residual_Month,"",CV38+1)</f>
        <v>98</v>
      </c>
      <c r="CX38" s="0" t="n">
        <f aca="false">IF(CW38+1&gt;Residual_Month,"",CW38+1)</f>
        <v>99</v>
      </c>
      <c r="CY38" s="0" t="n">
        <f aca="false">IF(CX38+1&gt;Residual_Month,"",CX38+1)</f>
        <v>100</v>
      </c>
      <c r="CZ38" s="0" t="n">
        <f aca="false">IF(CY38+1&gt;Residual_Month,"",CY38+1)</f>
        <v>101</v>
      </c>
      <c r="DA38" s="0" t="n">
        <f aca="false">IF(CZ38+1&gt;Residual_Month,"",CZ38+1)</f>
        <v>102</v>
      </c>
      <c r="DB38" s="0" t="n">
        <f aca="false">IF(DA38+1&gt;Residual_Month,"",DA38+1)</f>
        <v>103</v>
      </c>
      <c r="DC38" s="0" t="n">
        <f aca="false">IF(DB38+1&gt;Residual_Month,"",DB38+1)</f>
        <v>104</v>
      </c>
      <c r="DD38" s="0" t="n">
        <f aca="false">IF(DC38+1&gt;Residual_Month,"",DC38+1)</f>
        <v>105</v>
      </c>
      <c r="DE38" s="0" t="n">
        <f aca="false">IF(DD38+1&gt;Residual_Month,"",DD38+1)</f>
        <v>106</v>
      </c>
      <c r="DF38" s="0" t="n">
        <f aca="false">IF(DE38+1&gt;Residual_Month,"",DE38+1)</f>
        <v>107</v>
      </c>
      <c r="DG38" s="0" t="n">
        <f aca="false">IF(DF38+1&gt;Residual_Month,"",DF38+1)</f>
        <v>108</v>
      </c>
      <c r="DH38" s="0" t="n">
        <f aca="false">IF(DG38+1&gt;Residual_Month,"",DG38+1)</f>
        <v>109</v>
      </c>
      <c r="DI38" s="0" t="n">
        <f aca="false">IF(DH38+1&gt;Residual_Month,"",DH38+1)</f>
        <v>110</v>
      </c>
      <c r="DJ38" s="0" t="n">
        <f aca="false">IF(DI38+1&gt;Residual_Month,"",DI38+1)</f>
        <v>111</v>
      </c>
      <c r="DK38" s="0" t="n">
        <f aca="false">IF(DJ38+1&gt;Residual_Month,"",DJ38+1)</f>
        <v>112</v>
      </c>
      <c r="DL38" s="0" t="n">
        <f aca="false">IF(DK38+1&gt;Residual_Month,"",DK38+1)</f>
        <v>113</v>
      </c>
      <c r="DM38" s="0" t="n">
        <f aca="false">IF(DL38+1&gt;Residual_Month,"",DL38+1)</f>
        <v>114</v>
      </c>
      <c r="DN38" s="0" t="n">
        <f aca="false">IF(DM38+1&gt;Residual_Month,"",DM38+1)</f>
        <v>115</v>
      </c>
      <c r="DO38" s="0" t="n">
        <f aca="false">IF(DN38+1&gt;Residual_Month,"",DN38+1)</f>
        <v>116</v>
      </c>
      <c r="DP38" s="0" t="n">
        <f aca="false">IF(DO38+1&gt;Residual_Month,"",DO38+1)</f>
        <v>117</v>
      </c>
      <c r="DQ38" s="0" t="n">
        <f aca="false">IF(DP38+1&gt;Residual_Month,"",DP38+1)</f>
        <v>118</v>
      </c>
      <c r="DR38" s="0" t="n">
        <f aca="false">IF(DQ38+1&gt;Residual_Month,"",DQ38+1)</f>
        <v>119</v>
      </c>
      <c r="DS38" s="0" t="n">
        <f aca="false">IF(DR38+1&gt;Residual_Month,"",DR38+1)</f>
        <v>120</v>
      </c>
      <c r="DT38" s="0" t="n">
        <f aca="false">IF(DS38+1&gt;Residual_Month,"",DS38+1)</f>
        <v>121</v>
      </c>
      <c r="DU38" s="0" t="n">
        <f aca="false">IF(DT38+1&gt;Residual_Month,"",DT38+1)</f>
        <v>122</v>
      </c>
      <c r="DV38" s="0" t="n">
        <f aca="false">IF(DU38+1&gt;Residual_Month,"",DU38+1)</f>
        <v>123</v>
      </c>
      <c r="DW38" s="0" t="n">
        <f aca="false">IF(DV38+1&gt;Residual_Month,"",DV38+1)</f>
        <v>124</v>
      </c>
      <c r="DX38" s="0" t="n">
        <f aca="false">IF(DW38+1&gt;Residual_Month,"",DW38+1)</f>
        <v>125</v>
      </c>
      <c r="DY38" s="0" t="n">
        <f aca="false">IF(DX38+1&gt;Residual_Month,"",DX38+1)</f>
        <v>126</v>
      </c>
      <c r="DZ38" s="0" t="n">
        <f aca="false">IF(DY38+1&gt;Residual_Month,"",DY38+1)</f>
        <v>127</v>
      </c>
      <c r="EA38" s="0" t="n">
        <f aca="false">IF(DZ38+1&gt;Residual_Month,"",DZ38+1)</f>
        <v>128</v>
      </c>
      <c r="EB38" s="0" t="n">
        <f aca="false">IF(EA38+1&gt;Residual_Month,"",EA38+1)</f>
        <v>129</v>
      </c>
      <c r="EC38" s="0" t="n">
        <f aca="false">IF(EB38+1&gt;Residual_Month,"",EB38+1)</f>
        <v>130</v>
      </c>
      <c r="ED38" s="0" t="n">
        <f aca="false">IF(EC38+1&gt;Residual_Month,"",EC38+1)</f>
        <v>131</v>
      </c>
      <c r="EE38" s="0" t="n">
        <f aca="false">IF(ED38+1&gt;Residual_Month,"",ED38+1)</f>
        <v>132</v>
      </c>
      <c r="EF38" s="0" t="n">
        <f aca="false">IF(EE38+1&gt;Residual_Month,"",EE38+1)</f>
        <v>133</v>
      </c>
      <c r="EG38" s="0" t="n">
        <f aca="false">IF(EF38+1&gt;Residual_Month,"",EF38+1)</f>
        <v>134</v>
      </c>
      <c r="EH38" s="0" t="n">
        <f aca="false">IF(EG38+1&gt;Residual_Month,"",EG38+1)</f>
        <v>135</v>
      </c>
      <c r="EI38" s="0" t="n">
        <f aca="false">IF(EH38+1&gt;Residual_Month,"",EH38+1)</f>
        <v>136</v>
      </c>
      <c r="EJ38" s="0" t="n">
        <f aca="false">IF(EI38+1&gt;Residual_Month,"",EI38+1)</f>
        <v>137</v>
      </c>
      <c r="EK38" s="0" t="n">
        <f aca="false">IF(EJ38+1&gt;Residual_Month,"",EJ38+1)</f>
        <v>138</v>
      </c>
      <c r="EL38" s="0" t="n">
        <f aca="false">IF(EK38+1&gt;Residual_Month,"",EK38+1)</f>
        <v>139</v>
      </c>
      <c r="EM38" s="0" t="n">
        <f aca="false">IF(EL38+1&gt;Residual_Month,"",EL38+1)</f>
        <v>140</v>
      </c>
      <c r="EN38" s="0" t="n">
        <f aca="false">IF(EM38+1&gt;Residual_Month,"",EM38+1)</f>
        <v>141</v>
      </c>
      <c r="EO38" s="0" t="n">
        <f aca="false">IF(EN38+1&gt;Residual_Month,"",EN38+1)</f>
        <v>142</v>
      </c>
      <c r="EP38" s="0" t="n">
        <f aca="false">IF(EO38+1&gt;Residual_Month,"",EO38+1)</f>
        <v>143</v>
      </c>
      <c r="EQ38" s="0" t="n">
        <f aca="false">IF(EP38+1&gt;Residual_Month,"",EP38+1)</f>
        <v>144</v>
      </c>
      <c r="ER38" s="0" t="n">
        <f aca="false">IF(EQ38+1&gt;Residual_Month,"",EQ38+1)</f>
        <v>145</v>
      </c>
      <c r="ES38" s="0" t="n">
        <f aca="false">IF(ER38+1&gt;Residual_Month,"",ER38+1)</f>
        <v>146</v>
      </c>
      <c r="ET38" s="0" t="n">
        <f aca="false">IF(ES38+1&gt;Residual_Month,"",ES38+1)</f>
        <v>147</v>
      </c>
      <c r="EU38" s="0" t="n">
        <f aca="false">IF(ET38+1&gt;Residual_Month,"",ET38+1)</f>
        <v>148</v>
      </c>
      <c r="EV38" s="0" t="n">
        <f aca="false">IF(EU38+1&gt;Residual_Month,"",EU38+1)</f>
        <v>149</v>
      </c>
      <c r="EW38" s="0" t="n">
        <f aca="false">IF(EV38+1&gt;Residual_Month,"",EV38+1)</f>
        <v>150</v>
      </c>
      <c r="EX38" s="0" t="n">
        <f aca="false">IF(EW38+1&gt;Residual_Month,"",EW38+1)</f>
        <v>151</v>
      </c>
      <c r="EY38" s="0" t="n">
        <f aca="false">IF(EX38+1&gt;Residual_Month,"",EX38+1)</f>
        <v>152</v>
      </c>
      <c r="EZ38" s="0" t="n">
        <f aca="false">IF(EY38+1&gt;Residual_Month,"",EY38+1)</f>
        <v>153</v>
      </c>
      <c r="FA38" s="0" t="n">
        <f aca="false">IF(EZ38+1&gt;Residual_Month,"",EZ38+1)</f>
        <v>154</v>
      </c>
      <c r="FB38" s="0" t="n">
        <f aca="false">IF(FA38+1&gt;Residual_Month,"",FA38+1)</f>
        <v>155</v>
      </c>
      <c r="FC38" s="0" t="n">
        <f aca="false">IF(FB38+1&gt;Residual_Month,"",FB38+1)</f>
        <v>156</v>
      </c>
      <c r="FD38" s="0" t="str">
        <f aca="false">IF(FC38+1&gt;Residual_Month,"",FC38+1)</f>
        <v/>
      </c>
      <c r="FE38" s="0" t="e">
        <f aca="false">IF(FD38+1&gt;Residual_Month,"",FD38+1)</f>
        <v>#VALUE!</v>
      </c>
      <c r="FF38" s="0" t="e">
        <f aca="false">IF(FE38+1&gt;Residual_Month,"",FE38+1)</f>
        <v>#VALUE!</v>
      </c>
      <c r="FG38" s="0" t="e">
        <f aca="false">IF(FF38+1&gt;Residual_Month,"",FF38+1)</f>
        <v>#VALUE!</v>
      </c>
      <c r="FH38" s="0" t="e">
        <f aca="false">IF(FG38+1&gt;Residual_Month,"",FG38+1)</f>
        <v>#VALUE!</v>
      </c>
      <c r="FI38" s="0" t="e">
        <f aca="false">IF(FH38+1&gt;Residual_Month,"",FH38+1)</f>
        <v>#VALUE!</v>
      </c>
      <c r="FJ38" s="0" t="e">
        <f aca="false">IF(FI38+1&gt;Residual_Month,"",FI38+1)</f>
        <v>#VALUE!</v>
      </c>
      <c r="FK38" s="0" t="e">
        <f aca="false">IF(FJ38+1&gt;Residual_Month,"",FJ38+1)</f>
        <v>#VALUE!</v>
      </c>
      <c r="FL38" s="0" t="e">
        <f aca="false">IF(FK38+1&gt;Residual_Month,"",FK38+1)</f>
        <v>#VALUE!</v>
      </c>
      <c r="FM38" s="0" t="e">
        <f aca="false">IF(FL38+1&gt;Residual_Month,"",FL38+1)</f>
        <v>#VALUE!</v>
      </c>
      <c r="FN38" s="0" t="e">
        <f aca="false">IF(FM38+1&gt;Residual_Month,"",FM38+1)</f>
        <v>#VALUE!</v>
      </c>
      <c r="FO38" s="0" t="e">
        <f aca="false">IF(FN38+1&gt;Residual_Month,"",FN38+1)</f>
        <v>#VALUE!</v>
      </c>
      <c r="FP38" s="0" t="e">
        <f aca="false">IF(FO38+1&gt;Residual_Month,"",FO38+1)</f>
        <v>#VALUE!</v>
      </c>
      <c r="FQ38" s="0" t="e">
        <f aca="false">IF(FP38+1&gt;Residual_Month,"",FP38+1)</f>
        <v>#VALUE!</v>
      </c>
      <c r="FR38" s="0" t="e">
        <f aca="false">IF(FQ38+1&gt;Residual_Month,"",FQ38+1)</f>
        <v>#VALUE!</v>
      </c>
      <c r="FS38" s="0" t="e">
        <f aca="false">IF(FR38+1&gt;Residual_Month,"",FR38+1)</f>
        <v>#VALUE!</v>
      </c>
      <c r="FT38" s="0" t="e">
        <f aca="false">IF(FS38+1&gt;Residual_Month,"",FS38+1)</f>
        <v>#VALUE!</v>
      </c>
      <c r="FU38" s="0" t="e">
        <f aca="false">IF(FT38+1&gt;Residual_Month,"",FT38+1)</f>
        <v>#VALUE!</v>
      </c>
      <c r="FV38" s="0" t="e">
        <f aca="false">IF(FU38+1&gt;Residual_Month,"",FU38+1)</f>
        <v>#VALUE!</v>
      </c>
      <c r="FW38" s="0" t="e">
        <f aca="false">IF(FV38+1&gt;Residual_Month,"",FV38+1)</f>
        <v>#VALUE!</v>
      </c>
      <c r="FX38" s="0" t="e">
        <f aca="false">IF(FW38+1&gt;Residual_Month,"",FW38+1)</f>
        <v>#VALUE!</v>
      </c>
      <c r="FY38" s="0" t="e">
        <f aca="false">IF(FX38+1&gt;Residual_Month,"",FX38+1)</f>
        <v>#VALUE!</v>
      </c>
      <c r="FZ38" s="0" t="e">
        <f aca="false">IF(FY38+1&gt;Residual_Month,"",FY38+1)</f>
        <v>#VALUE!</v>
      </c>
      <c r="GA38" s="0" t="e">
        <f aca="false">IF(FZ38+1&gt;Residual_Month,"",FZ38+1)</f>
        <v>#VALUE!</v>
      </c>
      <c r="GB38" s="0" t="e">
        <f aca="false">IF(GA38+1&gt;Residual_Month,"",GA38+1)</f>
        <v>#VALUE!</v>
      </c>
      <c r="GC38" s="0" t="e">
        <f aca="false">IF(GB38+1&gt;Residual_Month,"",GB38+1)</f>
        <v>#VALUE!</v>
      </c>
      <c r="GD38" s="0" t="e">
        <f aca="false">IF(GC38+1&gt;Residual_Month,"",GC38+1)</f>
        <v>#VALUE!</v>
      </c>
      <c r="GE38" s="0" t="e">
        <f aca="false">IF(GD38+1&gt;Residual_Month,"",GD38+1)</f>
        <v>#VALUE!</v>
      </c>
      <c r="GF38" s="0" t="e">
        <f aca="false">IF(GE38+1&gt;Residual_Month,"",GE38+1)</f>
        <v>#VALUE!</v>
      </c>
      <c r="GG38" s="0" t="e">
        <f aca="false">IF(GF38+1&gt;Residual_Month,"",GF38+1)</f>
        <v>#VALUE!</v>
      </c>
      <c r="GH38" s="0" t="e">
        <f aca="false">IF(GG38+1&gt;Residual_Month,"",GG38+1)</f>
        <v>#VALUE!</v>
      </c>
      <c r="GI38" s="0" t="e">
        <f aca="false">IF(GH38+1&gt;Residual_Month,"",GH38+1)</f>
        <v>#VALUE!</v>
      </c>
      <c r="GJ38" s="0" t="e">
        <f aca="false">IF(GI38+1&gt;Residual_Month,"",GI38+1)</f>
        <v>#VALUE!</v>
      </c>
      <c r="GK38" s="0" t="e">
        <f aca="false">IF(GJ38+1&gt;Residual_Month,"",GJ38+1)</f>
        <v>#VALUE!</v>
      </c>
      <c r="GL38" s="0" t="e">
        <f aca="false">IF(GK38+1&gt;Residual_Month,"",GK38+1)</f>
        <v>#VALUE!</v>
      </c>
      <c r="GM38" s="0" t="e">
        <f aca="false">IF(GL38+1&gt;Residual_Month,"",GL38+1)</f>
        <v>#VALUE!</v>
      </c>
      <c r="GN38" s="0" t="e">
        <f aca="false">IF(GM38+1&gt;Residual_Month,"",GM38+1)</f>
        <v>#VALUE!</v>
      </c>
      <c r="GO38" s="0" t="e">
        <f aca="false">IF(GN38+1&gt;Residual_Month,"",GN38+1)</f>
        <v>#VALUE!</v>
      </c>
      <c r="GP38" s="0" t="e">
        <f aca="false">IF(GO38+1&gt;Residual_Month,"",GO38+1)</f>
        <v>#VALUE!</v>
      </c>
      <c r="GQ38" s="0" t="e">
        <f aca="false">IF(GP38+1&gt;Residual_Month,"",GP38+1)</f>
        <v>#VALUE!</v>
      </c>
      <c r="GR38" s="0" t="e">
        <f aca="false">IF(GQ38+1&gt;Residual_Month,"",GQ38+1)</f>
        <v>#VALUE!</v>
      </c>
      <c r="GS38" s="0" t="e">
        <f aca="false">IF(GR38+1&gt;Residual_Month,"",GR38+1)</f>
        <v>#VALUE!</v>
      </c>
      <c r="GT38" s="0" t="e">
        <f aca="false">IF(GS38+1&gt;Residual_Month,"",GS38+1)</f>
        <v>#VALUE!</v>
      </c>
      <c r="GU38" s="0" t="e">
        <f aca="false">IF(GT38+1&gt;Residual_Month,"",GT38+1)</f>
        <v>#VALUE!</v>
      </c>
      <c r="GV38" s="0" t="e">
        <f aca="false">IF(GU38+1&gt;Residual_Month,"",GU38+1)</f>
        <v>#VALUE!</v>
      </c>
      <c r="GW38" s="0" t="e">
        <f aca="false">IF(GV38+1&gt;Residual_Month,"",GV38+1)</f>
        <v>#VALUE!</v>
      </c>
      <c r="GX38" s="0" t="e">
        <f aca="false">IF(GW38+1&gt;Residual_Month,"",GW38+1)</f>
        <v>#VALUE!</v>
      </c>
      <c r="GY38" s="0" t="e">
        <f aca="false">IF(GX38+1&gt;Residual_Month,"",GX38+1)</f>
        <v>#VALUE!</v>
      </c>
      <c r="GZ38" s="0" t="e">
        <f aca="false">IF(GY38+1&gt;Residual_Month,"",GY38+1)</f>
        <v>#VALUE!</v>
      </c>
      <c r="HA38" s="0" t="e">
        <f aca="false">IF(GZ38+1&gt;Residual_Month,"",GZ38+1)</f>
        <v>#VALUE!</v>
      </c>
      <c r="HB38" s="0" t="e">
        <f aca="false">IF(HA38+1&gt;Residual_Month,"",HA38+1)</f>
        <v>#VALUE!</v>
      </c>
      <c r="HC38" s="0" t="e">
        <f aca="false">IF(HB38+1&gt;Residual_Month,"",HB38+1)</f>
        <v>#VALUE!</v>
      </c>
      <c r="HD38" s="0" t="e">
        <f aca="false">IF(HC38+1&gt;Residual_Month,"",HC38+1)</f>
        <v>#VALUE!</v>
      </c>
      <c r="HE38" s="0" t="e">
        <f aca="false">IF(HD38+1&gt;Residual_Month,"",HD38+1)</f>
        <v>#VALUE!</v>
      </c>
      <c r="HF38" s="0" t="e">
        <f aca="false">IF(HE38+1&gt;Residual_Month,"",HE38+1)</f>
        <v>#VALUE!</v>
      </c>
      <c r="HG38" s="0" t="e">
        <f aca="false">IF(HF38+1&gt;Residual_Month,"",HF38+1)</f>
        <v>#VALUE!</v>
      </c>
      <c r="HH38" s="0" t="e">
        <f aca="false">IF(HG38+1&gt;Residual_Month,"",HG38+1)</f>
        <v>#VALUE!</v>
      </c>
      <c r="HI38" s="0" t="e">
        <f aca="false">IF(HH38+1&gt;Residual_Month,"",HH38+1)</f>
        <v>#VALUE!</v>
      </c>
      <c r="HJ38" s="0" t="e">
        <f aca="false">IF(HI38+1&gt;Residual_Month,"",HI38+1)</f>
        <v>#VALUE!</v>
      </c>
      <c r="HK38" s="0" t="e">
        <f aca="false">IF(HJ38+1&gt;Residual_Month,"",HJ38+1)</f>
        <v>#VALUE!</v>
      </c>
      <c r="HL38" s="0" t="e">
        <f aca="false">IF(HK38+1&gt;Residual_Month,"",HK38+1)</f>
        <v>#VALUE!</v>
      </c>
      <c r="HM38" s="0" t="e">
        <f aca="false">IF(HL38+1&gt;Residual_Month,"",HL38+1)</f>
        <v>#VALUE!</v>
      </c>
      <c r="HN38" s="0" t="e">
        <f aca="false">IF(HM38+1&gt;Residual_Month,"",HM38+1)</f>
        <v>#VALUE!</v>
      </c>
      <c r="HO38" s="0" t="e">
        <f aca="false">IF(HN38+1&gt;Residual_Month,"",HN38+1)</f>
        <v>#VALUE!</v>
      </c>
      <c r="HP38" s="0" t="e">
        <f aca="false">IF(HO38+1&gt;Residual_Month,"",HO38+1)</f>
        <v>#VALUE!</v>
      </c>
      <c r="HQ38" s="0" t="e">
        <f aca="false">IF(HP38+1&gt;Residual_Month,"",HP38+1)</f>
        <v>#VALUE!</v>
      </c>
      <c r="HR38" s="0" t="e">
        <f aca="false">IF(HQ38+1&gt;Residual_Month,"",HQ38+1)</f>
        <v>#VALUE!</v>
      </c>
      <c r="HS38" s="0" t="e">
        <f aca="false">IF(HR38+1&gt;Residual_Month,"",HR38+1)</f>
        <v>#VALUE!</v>
      </c>
      <c r="HT38" s="0" t="e">
        <f aca="false">IF(HS38+1&gt;Residual_Month,"",HS38+1)</f>
        <v>#VALUE!</v>
      </c>
      <c r="HU38" s="0" t="e">
        <f aca="false">IF(HT38+1&gt;Residual_Month,"",HT38+1)</f>
        <v>#VALUE!</v>
      </c>
      <c r="HV38" s="0" t="e">
        <f aca="false">IF(HU38+1&gt;Residual_Month,"",HU38+1)</f>
        <v>#VALUE!</v>
      </c>
      <c r="HW38" s="0" t="e">
        <f aca="false">IF(HV38+1&gt;Residual_Month,"",HV38+1)</f>
        <v>#VALUE!</v>
      </c>
      <c r="HX38" s="0" t="e">
        <f aca="false">IF(HW38+1&gt;Residual_Month,"",HW38+1)</f>
        <v>#VALUE!</v>
      </c>
      <c r="HY38" s="0" t="e">
        <f aca="false">IF(HX38+1&gt;Residual_Month,"",HX38+1)</f>
        <v>#VALUE!</v>
      </c>
      <c r="HZ38" s="0" t="e">
        <f aca="false">IF(HY38+1&gt;Residual_Month,"",HY38+1)</f>
        <v>#VALUE!</v>
      </c>
      <c r="IA38" s="0" t="e">
        <f aca="false">IF(HZ38+1&gt;Residual_Month,"",HZ38+1)</f>
        <v>#VALUE!</v>
      </c>
      <c r="IB38" s="0" t="e">
        <f aca="false">IF(IA38+1&gt;Residual_Month,"",IA38+1)</f>
        <v>#VALUE!</v>
      </c>
      <c r="IC38" s="0" t="e">
        <f aca="false">IF(IB38+1&gt;Residual_Month,"",IB38+1)</f>
        <v>#VALUE!</v>
      </c>
      <c r="ID38" s="0" t="e">
        <f aca="false">IF(IC38+1&gt;Residual_Month,"",IC38+1)</f>
        <v>#VALUE!</v>
      </c>
      <c r="IE38" s="0" t="e">
        <f aca="false">IF(ID38+1&gt;Residual_Month,"",ID38+1)</f>
        <v>#VALUE!</v>
      </c>
      <c r="IF38" s="0" t="e">
        <f aca="false">IF(IE38+1&gt;Residual_Month,"",IE38+1)</f>
        <v>#VALUE!</v>
      </c>
      <c r="IG38" s="0" t="e">
        <f aca="false">IF(IF38+1&gt;Residual_Month,"",IF38+1)</f>
        <v>#VALUE!</v>
      </c>
      <c r="IH38" s="0" t="e">
        <f aca="false">IF(IG38+1&gt;Residual_Month,"",IG38+1)</f>
        <v>#VALUE!</v>
      </c>
      <c r="II38" s="0" t="e">
        <f aca="false">IF(IH38+1&gt;Residual_Month,"",IH38+1)</f>
        <v>#VALUE!</v>
      </c>
    </row>
    <row r="39" customFormat="false" ht="15" hidden="false" customHeight="false" outlineLevel="0" collapsed="false">
      <c r="B39" s="0" t="s">
        <v>88</v>
      </c>
      <c r="C39" s="5" t="n">
        <f aca="false">EOMONTH(D39,-1)</f>
        <v>46022</v>
      </c>
      <c r="D39" s="5" t="n">
        <f aca="false">IF(D38="","",EOMONTH(Inputs!$G$7,D38-1))</f>
        <v>46053</v>
      </c>
      <c r="E39" s="5" t="n">
        <f aca="false">IF(E38="","",EOMONTH(Inputs!$G$7,E38-1))</f>
        <v>46081</v>
      </c>
      <c r="F39" s="5" t="n">
        <f aca="false">IF(F38="","",EOMONTH(Inputs!$G$7,F38-1))</f>
        <v>46112</v>
      </c>
      <c r="G39" s="5" t="n">
        <f aca="false">IF(G38="","",EOMONTH(Inputs!$G$7,G38-1))</f>
        <v>46142</v>
      </c>
      <c r="H39" s="5" t="n">
        <f aca="false">IF(H38="","",EOMONTH(Inputs!$G$7,H38-1))</f>
        <v>46173</v>
      </c>
      <c r="I39" s="5" t="n">
        <f aca="false">IF(I38="","",EOMONTH(Inputs!$G$7,I38-1))</f>
        <v>46203</v>
      </c>
      <c r="J39" s="5" t="n">
        <f aca="false">IF(J38="","",EOMONTH(Inputs!$G$7,J38-1))</f>
        <v>46234</v>
      </c>
      <c r="K39" s="5" t="n">
        <f aca="false">IF(K38="","",EOMONTH(Inputs!$G$7,K38-1))</f>
        <v>46265</v>
      </c>
      <c r="L39" s="5" t="n">
        <f aca="false">IF(L38="","",EOMONTH(Inputs!$G$7,L38-1))</f>
        <v>46295</v>
      </c>
      <c r="M39" s="5" t="n">
        <f aca="false">IF(M38="","",EOMONTH(Inputs!$G$7,M38-1))</f>
        <v>46326</v>
      </c>
      <c r="N39" s="5" t="n">
        <f aca="false">IF(N38="","",EOMONTH(Inputs!$G$7,N38-1))</f>
        <v>46356</v>
      </c>
      <c r="O39" s="5" t="n">
        <f aca="false">IF(O38="","",EOMONTH(Inputs!$G$7,O38-1))</f>
        <v>46387</v>
      </c>
      <c r="P39" s="5" t="n">
        <f aca="false">IF(P38="","",EOMONTH(Inputs!$G$7,P38-1))</f>
        <v>46418</v>
      </c>
      <c r="Q39" s="5" t="n">
        <f aca="false">IF(Q38="","",EOMONTH(Inputs!$G$7,Q38-1))</f>
        <v>46446</v>
      </c>
      <c r="R39" s="5" t="n">
        <f aca="false">IF(R38="","",EOMONTH(Inputs!$G$7,R38-1))</f>
        <v>46477</v>
      </c>
      <c r="S39" s="5" t="n">
        <f aca="false">IF(S38="","",EOMONTH(Inputs!$G$7,S38-1))</f>
        <v>46507</v>
      </c>
      <c r="T39" s="5" t="n">
        <f aca="false">IF(T38="","",EOMONTH(Inputs!$G$7,T38-1))</f>
        <v>46538</v>
      </c>
      <c r="U39" s="5" t="n">
        <f aca="false">IF(U38="","",EOMONTH(Inputs!$G$7,U38-1))</f>
        <v>46568</v>
      </c>
      <c r="V39" s="5" t="n">
        <f aca="false">IF(V38="","",EOMONTH(Inputs!$G$7,V38-1))</f>
        <v>46599</v>
      </c>
      <c r="W39" s="5" t="n">
        <f aca="false">IF(W38="","",EOMONTH(Inputs!$G$7,W38-1))</f>
        <v>46630</v>
      </c>
      <c r="X39" s="5" t="n">
        <f aca="false">IF(X38="","",EOMONTH(Inputs!$G$7,X38-1))</f>
        <v>46660</v>
      </c>
      <c r="Y39" s="5" t="n">
        <f aca="false">IF(Y38="","",EOMONTH(Inputs!$G$7,Y38-1))</f>
        <v>46691</v>
      </c>
      <c r="Z39" s="5" t="n">
        <f aca="false">IF(Z38="","",EOMONTH(Inputs!$G$7,Z38-1))</f>
        <v>46721</v>
      </c>
      <c r="AA39" s="5" t="n">
        <f aca="false">IF(AA38="","",EOMONTH(Inputs!$G$7,AA38-1))</f>
        <v>46752</v>
      </c>
      <c r="AB39" s="5" t="n">
        <f aca="false">IF(AB38="","",EOMONTH(Inputs!$G$7,AB38-1))</f>
        <v>46783</v>
      </c>
      <c r="AC39" s="5" t="n">
        <f aca="false">IF(AC38="","",EOMONTH(Inputs!$G$7,AC38-1))</f>
        <v>46812</v>
      </c>
      <c r="AD39" s="5" t="n">
        <f aca="false">IF(AD38="","",EOMONTH(Inputs!$G$7,AD38-1))</f>
        <v>46843</v>
      </c>
      <c r="AE39" s="5" t="n">
        <f aca="false">IF(AE38="","",EOMONTH(Inputs!$G$7,AE38-1))</f>
        <v>46873</v>
      </c>
      <c r="AF39" s="5" t="n">
        <f aca="false">IF(AF38="","",EOMONTH(Inputs!$G$7,AF38-1))</f>
        <v>46904</v>
      </c>
      <c r="AG39" s="5" t="n">
        <f aca="false">IF(AG38="","",EOMONTH(Inputs!$G$7,AG38-1))</f>
        <v>46934</v>
      </c>
      <c r="AH39" s="5" t="n">
        <f aca="false">IF(AH38="","",EOMONTH(Inputs!$G$7,AH38-1))</f>
        <v>46965</v>
      </c>
      <c r="AI39" s="5" t="n">
        <f aca="false">IF(AI38="","",EOMONTH(Inputs!$G$7,AI38-1))</f>
        <v>46996</v>
      </c>
      <c r="AJ39" s="5" t="n">
        <f aca="false">IF(AJ38="","",EOMONTH(Inputs!$G$7,AJ38-1))</f>
        <v>47026</v>
      </c>
      <c r="AK39" s="5" t="n">
        <f aca="false">IF(AK38="","",EOMONTH(Inputs!$G$7,AK38-1))</f>
        <v>47057</v>
      </c>
      <c r="AL39" s="5" t="n">
        <f aca="false">IF(AL38="","",EOMONTH(Inputs!$G$7,AL38-1))</f>
        <v>47087</v>
      </c>
      <c r="AM39" s="5" t="n">
        <f aca="false">IF(AM38="","",EOMONTH(Inputs!$G$7,AM38-1))</f>
        <v>47118</v>
      </c>
      <c r="AN39" s="5" t="n">
        <f aca="false">IF(AN38="","",EOMONTH(Inputs!$G$7,AN38-1))</f>
        <v>47149</v>
      </c>
      <c r="AO39" s="5" t="n">
        <f aca="false">IF(AO38="","",EOMONTH(Inputs!$G$7,AO38-1))</f>
        <v>47177</v>
      </c>
      <c r="AP39" s="5" t="n">
        <f aca="false">IF(AP38="","",EOMONTH(Inputs!$G$7,AP38-1))</f>
        <v>47208</v>
      </c>
      <c r="AQ39" s="5" t="n">
        <f aca="false">IF(AQ38="","",EOMONTH(Inputs!$G$7,AQ38-1))</f>
        <v>47238</v>
      </c>
      <c r="AR39" s="5" t="n">
        <f aca="false">IF(AR38="","",EOMONTH(Inputs!$G$7,AR38-1))</f>
        <v>47269</v>
      </c>
      <c r="AS39" s="5" t="n">
        <f aca="false">IF(AS38="","",EOMONTH(Inputs!$G$7,AS38-1))</f>
        <v>47299</v>
      </c>
      <c r="AT39" s="5" t="n">
        <f aca="false">IF(AT38="","",EOMONTH(Inputs!$G$7,AT38-1))</f>
        <v>47330</v>
      </c>
      <c r="AU39" s="5" t="n">
        <f aca="false">IF(AU38="","",EOMONTH(Inputs!$G$7,AU38-1))</f>
        <v>47361</v>
      </c>
      <c r="AV39" s="5" t="n">
        <f aca="false">IF(AV38="","",EOMONTH(Inputs!$G$7,AV38-1))</f>
        <v>47391</v>
      </c>
      <c r="AW39" s="5" t="n">
        <f aca="false">IF(AW38="","",EOMONTH(Inputs!$G$7,AW38-1))</f>
        <v>47422</v>
      </c>
      <c r="AX39" s="5" t="n">
        <f aca="false">IF(AX38="","",EOMONTH(Inputs!$G$7,AX38-1))</f>
        <v>47452</v>
      </c>
      <c r="AY39" s="5" t="n">
        <f aca="false">IF(AY38="","",EOMONTH(Inputs!$G$7,AY38-1))</f>
        <v>47483</v>
      </c>
      <c r="AZ39" s="5" t="n">
        <f aca="false">IF(AZ38="","",EOMONTH(Inputs!$G$7,AZ38-1))</f>
        <v>47514</v>
      </c>
      <c r="BA39" s="5" t="n">
        <f aca="false">IF(BA38="","",EOMONTH(Inputs!$G$7,BA38-1))</f>
        <v>47542</v>
      </c>
      <c r="BB39" s="5" t="n">
        <f aca="false">IF(BB38="","",EOMONTH(Inputs!$G$7,BB38-1))</f>
        <v>47573</v>
      </c>
      <c r="BC39" s="5" t="n">
        <f aca="false">IF(BC38="","",EOMONTH(Inputs!$G$7,BC38-1))</f>
        <v>47603</v>
      </c>
      <c r="BD39" s="5" t="n">
        <f aca="false">IF(BD38="","",EOMONTH(Inputs!$G$7,BD38-1))</f>
        <v>47634</v>
      </c>
      <c r="BE39" s="5" t="n">
        <f aca="false">IF(BE38="","",EOMONTH(Inputs!$G$7,BE38-1))</f>
        <v>47664</v>
      </c>
      <c r="BF39" s="5" t="n">
        <f aca="false">IF(BF38="","",EOMONTH(Inputs!$G$7,BF38-1))</f>
        <v>47695</v>
      </c>
      <c r="BG39" s="5" t="n">
        <f aca="false">IF(BG38="","",EOMONTH(Inputs!$G$7,BG38-1))</f>
        <v>47726</v>
      </c>
      <c r="BH39" s="5" t="n">
        <f aca="false">IF(BH38="","",EOMONTH(Inputs!$G$7,BH38-1))</f>
        <v>47756</v>
      </c>
      <c r="BI39" s="5" t="n">
        <f aca="false">IF(BI38="","",EOMONTH(Inputs!$G$7,BI38-1))</f>
        <v>47787</v>
      </c>
      <c r="BJ39" s="5" t="n">
        <f aca="false">IF(BJ38="","",EOMONTH(Inputs!$G$7,BJ38-1))</f>
        <v>47817</v>
      </c>
      <c r="BK39" s="5" t="n">
        <f aca="false">IF(BK38="","",EOMONTH(Inputs!$G$7,BK38-1))</f>
        <v>47848</v>
      </c>
      <c r="BL39" s="5" t="n">
        <f aca="false">IF(BL38="","",EOMONTH(Inputs!$G$7,BL38-1))</f>
        <v>47879</v>
      </c>
      <c r="BM39" s="5" t="n">
        <f aca="false">IF(BM38="","",EOMONTH(Inputs!$G$7,BM38-1))</f>
        <v>47907</v>
      </c>
      <c r="BN39" s="5" t="n">
        <f aca="false">IF(BN38="","",EOMONTH(Inputs!$G$7,BN38-1))</f>
        <v>47938</v>
      </c>
      <c r="BO39" s="5" t="n">
        <f aca="false">IF(BO38="","",EOMONTH(Inputs!$G$7,BO38-1))</f>
        <v>47968</v>
      </c>
      <c r="BP39" s="5" t="n">
        <f aca="false">IF(BP38="","",EOMONTH(Inputs!$G$7,BP38-1))</f>
        <v>47999</v>
      </c>
      <c r="BQ39" s="5" t="n">
        <f aca="false">IF(BQ38="","",EOMONTH(Inputs!$G$7,BQ38-1))</f>
        <v>48029</v>
      </c>
      <c r="BR39" s="5" t="n">
        <f aca="false">IF(BR38="","",EOMONTH(Inputs!$G$7,BR38-1))</f>
        <v>48060</v>
      </c>
      <c r="BS39" s="5" t="n">
        <f aca="false">IF(BS38="","",EOMONTH(Inputs!$G$7,BS38-1))</f>
        <v>48091</v>
      </c>
      <c r="BT39" s="5" t="n">
        <f aca="false">IF(BT38="","",EOMONTH(Inputs!$G$7,BT38-1))</f>
        <v>48121</v>
      </c>
      <c r="BU39" s="5" t="n">
        <f aca="false">IF(BU38="","",EOMONTH(Inputs!$G$7,BU38-1))</f>
        <v>48152</v>
      </c>
      <c r="BV39" s="5" t="n">
        <f aca="false">IF(BV38="","",EOMONTH(Inputs!$G$7,BV38-1))</f>
        <v>48182</v>
      </c>
      <c r="BW39" s="5" t="n">
        <f aca="false">IF(BW38="","",EOMONTH(Inputs!$G$7,BW38-1))</f>
        <v>48213</v>
      </c>
      <c r="BX39" s="5" t="n">
        <f aca="false">IF(BX38="","",EOMONTH(Inputs!$G$7,BX38-1))</f>
        <v>48244</v>
      </c>
      <c r="BY39" s="5" t="n">
        <f aca="false">IF(BY38="","",EOMONTH(Inputs!$G$7,BY38-1))</f>
        <v>48273</v>
      </c>
      <c r="BZ39" s="5" t="n">
        <f aca="false">IF(BZ38="","",EOMONTH(Inputs!$G$7,BZ38-1))</f>
        <v>48304</v>
      </c>
      <c r="CA39" s="5" t="n">
        <f aca="false">IF(CA38="","",EOMONTH(Inputs!$G$7,CA38-1))</f>
        <v>48334</v>
      </c>
      <c r="CB39" s="5" t="n">
        <f aca="false">IF(CB38="","",EOMONTH(Inputs!$G$7,CB38-1))</f>
        <v>48365</v>
      </c>
      <c r="CC39" s="5" t="n">
        <f aca="false">IF(CC38="","",EOMONTH(Inputs!$G$7,CC38-1))</f>
        <v>48395</v>
      </c>
      <c r="CD39" s="5" t="n">
        <f aca="false">IF(CD38="","",EOMONTH(Inputs!$G$7,CD38-1))</f>
        <v>48426</v>
      </c>
      <c r="CE39" s="5" t="n">
        <f aca="false">IF(CE38="","",EOMONTH(Inputs!$G$7,CE38-1))</f>
        <v>48457</v>
      </c>
      <c r="CF39" s="5" t="n">
        <f aca="false">IF(CF38="","",EOMONTH(Inputs!$G$7,CF38-1))</f>
        <v>48487</v>
      </c>
      <c r="CG39" s="5" t="n">
        <f aca="false">IF(CG38="","",EOMONTH(Inputs!$G$7,CG38-1))</f>
        <v>48518</v>
      </c>
      <c r="CH39" s="5" t="n">
        <f aca="false">IF(CH38="","",EOMONTH(Inputs!$G$7,CH38-1))</f>
        <v>48548</v>
      </c>
      <c r="CI39" s="5" t="n">
        <f aca="false">IF(CI38="","",EOMONTH(Inputs!$G$7,CI38-1))</f>
        <v>48579</v>
      </c>
      <c r="CJ39" s="5" t="n">
        <f aca="false">IF(CJ38="","",EOMONTH(Inputs!$G$7,CJ38-1))</f>
        <v>48610</v>
      </c>
      <c r="CK39" s="5" t="n">
        <f aca="false">IF(CK38="","",EOMONTH(Inputs!$G$7,CK38-1))</f>
        <v>48638</v>
      </c>
      <c r="CL39" s="5" t="n">
        <f aca="false">IF(CL38="","",EOMONTH(Inputs!$G$7,CL38-1))</f>
        <v>48669</v>
      </c>
      <c r="CM39" s="5" t="n">
        <f aca="false">IF(CM38="","",EOMONTH(Inputs!$G$7,CM38-1))</f>
        <v>48699</v>
      </c>
      <c r="CN39" s="5" t="n">
        <f aca="false">IF(CN38="","",EOMONTH(Inputs!$G$7,CN38-1))</f>
        <v>48730</v>
      </c>
      <c r="CO39" s="5" t="n">
        <f aca="false">IF(CO38="","",EOMONTH(Inputs!$G$7,CO38-1))</f>
        <v>48760</v>
      </c>
      <c r="CP39" s="5" t="n">
        <f aca="false">IF(CP38="","",EOMONTH(Inputs!$G$7,CP38-1))</f>
        <v>48791</v>
      </c>
      <c r="CQ39" s="5" t="n">
        <f aca="false">IF(CQ38="","",EOMONTH(Inputs!$G$7,CQ38-1))</f>
        <v>48822</v>
      </c>
      <c r="CR39" s="5" t="n">
        <f aca="false">IF(CR38="","",EOMONTH(Inputs!$G$7,CR38-1))</f>
        <v>48852</v>
      </c>
      <c r="CS39" s="5" t="n">
        <f aca="false">IF(CS38="","",EOMONTH(Inputs!$G$7,CS38-1))</f>
        <v>48883</v>
      </c>
      <c r="CT39" s="5" t="n">
        <f aca="false">IF(CT38="","",EOMONTH(Inputs!$G$7,CT38-1))</f>
        <v>48913</v>
      </c>
      <c r="CU39" s="5" t="n">
        <f aca="false">IF(CU38="","",EOMONTH(Inputs!$G$7,CU38-1))</f>
        <v>48944</v>
      </c>
      <c r="CV39" s="5" t="n">
        <f aca="false">IF(CV38="","",EOMONTH(Inputs!$G$7,CV38-1))</f>
        <v>48975</v>
      </c>
      <c r="CW39" s="5" t="n">
        <f aca="false">IF(CW38="","",EOMONTH(Inputs!$G$7,CW38-1))</f>
        <v>49003</v>
      </c>
      <c r="CX39" s="5" t="n">
        <f aca="false">IF(CX38="","",EOMONTH(Inputs!$G$7,CX38-1))</f>
        <v>49034</v>
      </c>
      <c r="CY39" s="5" t="n">
        <f aca="false">IF(CY38="","",EOMONTH(Inputs!$G$7,CY38-1))</f>
        <v>49064</v>
      </c>
      <c r="CZ39" s="5" t="n">
        <f aca="false">IF(CZ38="","",EOMONTH(Inputs!$G$7,CZ38-1))</f>
        <v>49095</v>
      </c>
      <c r="DA39" s="5" t="n">
        <f aca="false">IF(DA38="","",EOMONTH(Inputs!$G$7,DA38-1))</f>
        <v>49125</v>
      </c>
      <c r="DB39" s="5" t="n">
        <f aca="false">IF(DB38="","",EOMONTH(Inputs!$G$7,DB38-1))</f>
        <v>49156</v>
      </c>
      <c r="DC39" s="5" t="n">
        <f aca="false">IF(DC38="","",EOMONTH(Inputs!$G$7,DC38-1))</f>
        <v>49187</v>
      </c>
      <c r="DD39" s="5" t="n">
        <f aca="false">IF(DD38="","",EOMONTH(Inputs!$G$7,DD38-1))</f>
        <v>49217</v>
      </c>
      <c r="DE39" s="5" t="n">
        <f aca="false">IF(DE38="","",EOMONTH(Inputs!$G$7,DE38-1))</f>
        <v>49248</v>
      </c>
      <c r="DF39" s="5" t="n">
        <f aca="false">IF(DF38="","",EOMONTH(Inputs!$G$7,DF38-1))</f>
        <v>49278</v>
      </c>
      <c r="DG39" s="5" t="n">
        <f aca="false">IF(DG38="","",EOMONTH(Inputs!$G$7,DG38-1))</f>
        <v>49309</v>
      </c>
      <c r="DH39" s="5" t="n">
        <f aca="false">IF(DH38="","",EOMONTH(Inputs!$G$7,DH38-1))</f>
        <v>49340</v>
      </c>
      <c r="DI39" s="5" t="n">
        <f aca="false">IF(DI38="","",EOMONTH(Inputs!$G$7,DI38-1))</f>
        <v>49368</v>
      </c>
      <c r="DJ39" s="5" t="n">
        <f aca="false">IF(DJ38="","",EOMONTH(Inputs!$G$7,DJ38-1))</f>
        <v>49399</v>
      </c>
      <c r="DK39" s="5" t="n">
        <f aca="false">IF(DK38="","",EOMONTH(Inputs!$G$7,DK38-1))</f>
        <v>49429</v>
      </c>
      <c r="DL39" s="5" t="n">
        <f aca="false">IF(DL38="","",EOMONTH(Inputs!$G$7,DL38-1))</f>
        <v>49460</v>
      </c>
      <c r="DM39" s="5" t="n">
        <f aca="false">IF(DM38="","",EOMONTH(Inputs!$G$7,DM38-1))</f>
        <v>49490</v>
      </c>
      <c r="DN39" s="5" t="n">
        <f aca="false">IF(DN38="","",EOMONTH(Inputs!$G$7,DN38-1))</f>
        <v>49521</v>
      </c>
      <c r="DO39" s="5" t="n">
        <f aca="false">IF(DO38="","",EOMONTH(Inputs!$G$7,DO38-1))</f>
        <v>49552</v>
      </c>
      <c r="DP39" s="5" t="n">
        <f aca="false">IF(DP38="","",EOMONTH(Inputs!$G$7,DP38-1))</f>
        <v>49582</v>
      </c>
      <c r="DQ39" s="5" t="n">
        <f aca="false">IF(DQ38="","",EOMONTH(Inputs!$G$7,DQ38-1))</f>
        <v>49613</v>
      </c>
      <c r="DR39" s="5" t="n">
        <f aca="false">IF(DR38="","",EOMONTH(Inputs!$G$7,DR38-1))</f>
        <v>49643</v>
      </c>
      <c r="DS39" s="5" t="n">
        <f aca="false">IF(DS38="","",EOMONTH(Inputs!$G$7,DS38-1))</f>
        <v>49674</v>
      </c>
      <c r="DT39" s="5" t="n">
        <f aca="false">IF(DT38="","",EOMONTH(Inputs!$G$7,DT38-1))</f>
        <v>49705</v>
      </c>
      <c r="DU39" s="5" t="n">
        <f aca="false">IF(DU38="","",EOMONTH(Inputs!$G$7,DU38-1))</f>
        <v>49734</v>
      </c>
      <c r="DV39" s="5" t="n">
        <f aca="false">IF(DV38="","",EOMONTH(Inputs!$G$7,DV38-1))</f>
        <v>49765</v>
      </c>
      <c r="DW39" s="5" t="n">
        <f aca="false">IF(DW38="","",EOMONTH(Inputs!$G$7,DW38-1))</f>
        <v>49795</v>
      </c>
      <c r="DX39" s="5" t="n">
        <f aca="false">IF(DX38="","",EOMONTH(Inputs!$G$7,DX38-1))</f>
        <v>49826</v>
      </c>
      <c r="DY39" s="5" t="n">
        <f aca="false">IF(DY38="","",EOMONTH(Inputs!$G$7,DY38-1))</f>
        <v>49856</v>
      </c>
      <c r="DZ39" s="5" t="n">
        <f aca="false">IF(DZ38="","",EOMONTH(Inputs!$G$7,DZ38-1))</f>
        <v>49887</v>
      </c>
      <c r="EA39" s="5" t="n">
        <f aca="false">IF(EA38="","",EOMONTH(Inputs!$G$7,EA38-1))</f>
        <v>49918</v>
      </c>
      <c r="EB39" s="5" t="n">
        <f aca="false">IF(EB38="","",EOMONTH(Inputs!$G$7,EB38-1))</f>
        <v>49948</v>
      </c>
      <c r="EC39" s="5" t="n">
        <f aca="false">IF(EC38="","",EOMONTH(Inputs!$G$7,EC38-1))</f>
        <v>49979</v>
      </c>
      <c r="ED39" s="5" t="n">
        <f aca="false">IF(ED38="","",EOMONTH(Inputs!$G$7,ED38-1))</f>
        <v>50009</v>
      </c>
      <c r="EE39" s="5" t="n">
        <f aca="false">IF(EE38="","",EOMONTH(Inputs!$G$7,EE38-1))</f>
        <v>50040</v>
      </c>
      <c r="EF39" s="5" t="n">
        <f aca="false">IF(EF38="","",EOMONTH(Inputs!$G$7,EF38-1))</f>
        <v>50071</v>
      </c>
      <c r="EG39" s="5" t="n">
        <f aca="false">IF(EG38="","",EOMONTH(Inputs!$G$7,EG38-1))</f>
        <v>50099</v>
      </c>
      <c r="EH39" s="5" t="n">
        <f aca="false">IF(EH38="","",EOMONTH(Inputs!$G$7,EH38-1))</f>
        <v>50130</v>
      </c>
      <c r="EI39" s="5" t="n">
        <f aca="false">IF(EI38="","",EOMONTH(Inputs!$G$7,EI38-1))</f>
        <v>50160</v>
      </c>
      <c r="EJ39" s="5" t="n">
        <f aca="false">IF(EJ38="","",EOMONTH(Inputs!$G$7,EJ38-1))</f>
        <v>50191</v>
      </c>
      <c r="EK39" s="5" t="n">
        <f aca="false">IF(EK38="","",EOMONTH(Inputs!$G$7,EK38-1))</f>
        <v>50221</v>
      </c>
      <c r="EL39" s="5" t="n">
        <f aca="false">IF(EL38="","",EOMONTH(Inputs!$G$7,EL38-1))</f>
        <v>50252</v>
      </c>
      <c r="EM39" s="5" t="n">
        <f aca="false">IF(EM38="","",EOMONTH(Inputs!$G$7,EM38-1))</f>
        <v>50283</v>
      </c>
      <c r="EN39" s="5" t="n">
        <f aca="false">IF(EN38="","",EOMONTH(Inputs!$G$7,EN38-1))</f>
        <v>50313</v>
      </c>
      <c r="EO39" s="5" t="n">
        <f aca="false">IF(EO38="","",EOMONTH(Inputs!$G$7,EO38-1))</f>
        <v>50344</v>
      </c>
      <c r="EP39" s="5" t="n">
        <f aca="false">IF(EP38="","",EOMONTH(Inputs!$G$7,EP38-1))</f>
        <v>50374</v>
      </c>
      <c r="EQ39" s="5" t="n">
        <f aca="false">IF(EQ38="","",EOMONTH(Inputs!$G$7,EQ38-1))</f>
        <v>50405</v>
      </c>
      <c r="ER39" s="5" t="n">
        <f aca="false">IF(ER38="","",EOMONTH(Inputs!$G$7,ER38-1))</f>
        <v>50436</v>
      </c>
      <c r="ES39" s="5" t="n">
        <f aca="false">IF(ES38="","",EOMONTH(Inputs!$G$7,ES38-1))</f>
        <v>50464</v>
      </c>
      <c r="ET39" s="5" t="n">
        <f aca="false">IF(ET38="","",EOMONTH(Inputs!$G$7,ET38-1))</f>
        <v>50495</v>
      </c>
      <c r="EU39" s="5" t="n">
        <f aca="false">IF(EU38="","",EOMONTH(Inputs!$G$7,EU38-1))</f>
        <v>50525</v>
      </c>
      <c r="EV39" s="5" t="n">
        <f aca="false">IF(EV38="","",EOMONTH(Inputs!$G$7,EV38-1))</f>
        <v>50556</v>
      </c>
      <c r="EW39" s="5" t="n">
        <f aca="false">IF(EW38="","",EOMONTH(Inputs!$G$7,EW38-1))</f>
        <v>50586</v>
      </c>
      <c r="EX39" s="5" t="n">
        <f aca="false">IF(EX38="","",EOMONTH(Inputs!$G$7,EX38-1))</f>
        <v>50617</v>
      </c>
      <c r="EY39" s="5" t="n">
        <f aca="false">IF(EY38="","",EOMONTH(Inputs!$G$7,EY38-1))</f>
        <v>50648</v>
      </c>
      <c r="EZ39" s="5" t="n">
        <f aca="false">IF(EZ38="","",EOMONTH(Inputs!$G$7,EZ38-1))</f>
        <v>50678</v>
      </c>
      <c r="FA39" s="5" t="n">
        <f aca="false">IF(FA38="","",EOMONTH(Inputs!$G$7,FA38-1))</f>
        <v>50709</v>
      </c>
      <c r="FB39" s="5" t="n">
        <f aca="false">IF(FB38="","",EOMONTH(Inputs!$G$7,FB38-1))</f>
        <v>50739</v>
      </c>
      <c r="FC39" s="5" t="n">
        <f aca="false">IF(FC38="","",EOMONTH(Inputs!$G$7,FC38-1))</f>
        <v>50770</v>
      </c>
      <c r="FD39" s="5" t="str">
        <f aca="false">IF(FD38="","",EOMONTH(Inputs!$G$7,FD38-1))</f>
        <v/>
      </c>
      <c r="FE39" s="5" t="e">
        <f aca="false">IF(FE38="","",EOMONTH(Inputs!$G$7,FE38-1))</f>
        <v>#VALUE!</v>
      </c>
      <c r="FF39" s="5" t="e">
        <f aca="false">IF(FF38="","",EOMONTH(Inputs!$G$7,FF38-1))</f>
        <v>#VALUE!</v>
      </c>
      <c r="FG39" s="5" t="e">
        <f aca="false">IF(FG38="","",EOMONTH(Inputs!$G$7,FG38-1))</f>
        <v>#VALUE!</v>
      </c>
      <c r="FH39" s="5" t="e">
        <f aca="false">IF(FH38="","",EOMONTH(Inputs!$G$7,FH38-1))</f>
        <v>#VALUE!</v>
      </c>
      <c r="FI39" s="5" t="e">
        <f aca="false">IF(FI38="","",EOMONTH(Inputs!$G$7,FI38-1))</f>
        <v>#VALUE!</v>
      </c>
      <c r="FJ39" s="5" t="e">
        <f aca="false">IF(FJ38="","",EOMONTH(Inputs!$G$7,FJ38-1))</f>
        <v>#VALUE!</v>
      </c>
      <c r="FK39" s="5" t="e">
        <f aca="false">IF(FK38="","",EOMONTH(Inputs!$G$7,FK38-1))</f>
        <v>#VALUE!</v>
      </c>
      <c r="FL39" s="5" t="e">
        <f aca="false">IF(FL38="","",EOMONTH(Inputs!$G$7,FL38-1))</f>
        <v>#VALUE!</v>
      </c>
      <c r="FM39" s="5" t="e">
        <f aca="false">IF(FM38="","",EOMONTH(Inputs!$G$7,FM38-1))</f>
        <v>#VALUE!</v>
      </c>
      <c r="FN39" s="5" t="e">
        <f aca="false">IF(FN38="","",EOMONTH(Inputs!$G$7,FN38-1))</f>
        <v>#VALUE!</v>
      </c>
      <c r="FO39" s="5" t="e">
        <f aca="false">IF(FO38="","",EOMONTH(Inputs!$G$7,FO38-1))</f>
        <v>#VALUE!</v>
      </c>
      <c r="FP39" s="5" t="e">
        <f aca="false">IF(FP38="","",EOMONTH(Inputs!$G$7,FP38-1))</f>
        <v>#VALUE!</v>
      </c>
      <c r="FQ39" s="5" t="e">
        <f aca="false">IF(FQ38="","",EOMONTH(Inputs!$G$7,FQ38-1))</f>
        <v>#VALUE!</v>
      </c>
      <c r="FR39" s="5" t="e">
        <f aca="false">IF(FR38="","",EOMONTH(Inputs!$G$7,FR38-1))</f>
        <v>#VALUE!</v>
      </c>
      <c r="FS39" s="5" t="e">
        <f aca="false">IF(FS38="","",EOMONTH(Inputs!$G$7,FS38-1))</f>
        <v>#VALUE!</v>
      </c>
      <c r="FT39" s="5" t="e">
        <f aca="false">IF(FT38="","",EOMONTH(Inputs!$G$7,FT38-1))</f>
        <v>#VALUE!</v>
      </c>
      <c r="FU39" s="5" t="e">
        <f aca="false">IF(FU38="","",EOMONTH(Inputs!$G$7,FU38-1))</f>
        <v>#VALUE!</v>
      </c>
      <c r="FV39" s="5" t="e">
        <f aca="false">IF(FV38="","",EOMONTH(Inputs!$G$7,FV38-1))</f>
        <v>#VALUE!</v>
      </c>
      <c r="FW39" s="5" t="e">
        <f aca="false">IF(FW38="","",EOMONTH(Inputs!$G$7,FW38-1))</f>
        <v>#VALUE!</v>
      </c>
      <c r="FX39" s="5" t="e">
        <f aca="false">IF(FX38="","",EOMONTH(Inputs!$G$7,FX38-1))</f>
        <v>#VALUE!</v>
      </c>
      <c r="FY39" s="5" t="e">
        <f aca="false">IF(FY38="","",EOMONTH(Inputs!$G$7,FY38-1))</f>
        <v>#VALUE!</v>
      </c>
      <c r="FZ39" s="5" t="e">
        <f aca="false">IF(FZ38="","",EOMONTH(Inputs!$G$7,FZ38-1))</f>
        <v>#VALUE!</v>
      </c>
      <c r="GA39" s="5" t="e">
        <f aca="false">IF(GA38="","",EOMONTH(Inputs!$G$7,GA38-1))</f>
        <v>#VALUE!</v>
      </c>
      <c r="GB39" s="5" t="e">
        <f aca="false">IF(GB38="","",EOMONTH(Inputs!$G$7,GB38-1))</f>
        <v>#VALUE!</v>
      </c>
      <c r="GC39" s="5" t="e">
        <f aca="false">IF(GC38="","",EOMONTH(Inputs!$G$7,GC38-1))</f>
        <v>#VALUE!</v>
      </c>
      <c r="GD39" s="5" t="e">
        <f aca="false">IF(GD38="","",EOMONTH(Inputs!$G$7,GD38-1))</f>
        <v>#VALUE!</v>
      </c>
      <c r="GE39" s="5" t="e">
        <f aca="false">IF(GE38="","",EOMONTH(Inputs!$G$7,GE38-1))</f>
        <v>#VALUE!</v>
      </c>
      <c r="GF39" s="5" t="e">
        <f aca="false">IF(GF38="","",EOMONTH(Inputs!$G$7,GF38-1))</f>
        <v>#VALUE!</v>
      </c>
      <c r="GG39" s="5" t="e">
        <f aca="false">IF(GG38="","",EOMONTH(Inputs!$G$7,GG38-1))</f>
        <v>#VALUE!</v>
      </c>
      <c r="GH39" s="5" t="e">
        <f aca="false">IF(GH38="","",EOMONTH(Inputs!$G$7,GH38-1))</f>
        <v>#VALUE!</v>
      </c>
      <c r="GI39" s="5" t="e">
        <f aca="false">IF(GI38="","",EOMONTH(Inputs!$G$7,GI38-1))</f>
        <v>#VALUE!</v>
      </c>
      <c r="GJ39" s="5" t="e">
        <f aca="false">IF(GJ38="","",EOMONTH(Inputs!$G$7,GJ38-1))</f>
        <v>#VALUE!</v>
      </c>
      <c r="GK39" s="5" t="e">
        <f aca="false">IF(GK38="","",EOMONTH(Inputs!$G$7,GK38-1))</f>
        <v>#VALUE!</v>
      </c>
      <c r="GL39" s="5" t="e">
        <f aca="false">IF(GL38="","",EOMONTH(Inputs!$G$7,GL38-1))</f>
        <v>#VALUE!</v>
      </c>
      <c r="GM39" s="5" t="e">
        <f aca="false">IF(GM38="","",EOMONTH(Inputs!$G$7,GM38-1))</f>
        <v>#VALUE!</v>
      </c>
      <c r="GN39" s="5" t="e">
        <f aca="false">IF(GN38="","",EOMONTH(Inputs!$G$7,GN38-1))</f>
        <v>#VALUE!</v>
      </c>
      <c r="GO39" s="5" t="e">
        <f aca="false">IF(GO38="","",EOMONTH(Inputs!$G$7,GO38-1))</f>
        <v>#VALUE!</v>
      </c>
      <c r="GP39" s="5" t="e">
        <f aca="false">IF(GP38="","",EOMONTH(Inputs!$G$7,GP38-1))</f>
        <v>#VALUE!</v>
      </c>
      <c r="GQ39" s="5" t="e">
        <f aca="false">IF(GQ38="","",EOMONTH(Inputs!$G$7,GQ38-1))</f>
        <v>#VALUE!</v>
      </c>
      <c r="GR39" s="5" t="e">
        <f aca="false">IF(GR38="","",EOMONTH(Inputs!$G$7,GR38-1))</f>
        <v>#VALUE!</v>
      </c>
      <c r="GS39" s="5" t="e">
        <f aca="false">IF(GS38="","",EOMONTH(Inputs!$G$7,GS38-1))</f>
        <v>#VALUE!</v>
      </c>
      <c r="GT39" s="5" t="e">
        <f aca="false">IF(GT38="","",EOMONTH(Inputs!$G$7,GT38-1))</f>
        <v>#VALUE!</v>
      </c>
      <c r="GU39" s="5" t="e">
        <f aca="false">IF(GU38="","",EOMONTH(Inputs!$G$7,GU38-1))</f>
        <v>#VALUE!</v>
      </c>
      <c r="GV39" s="5" t="e">
        <f aca="false">IF(GV38="","",EOMONTH(Inputs!$G$7,GV38-1))</f>
        <v>#VALUE!</v>
      </c>
      <c r="GW39" s="5" t="e">
        <f aca="false">IF(GW38="","",EOMONTH(Inputs!$G$7,GW38-1))</f>
        <v>#VALUE!</v>
      </c>
      <c r="GX39" s="5" t="e">
        <f aca="false">IF(GX38="","",EOMONTH(Inputs!$G$7,GX38-1))</f>
        <v>#VALUE!</v>
      </c>
      <c r="GY39" s="5" t="e">
        <f aca="false">IF(GY38="","",EOMONTH(Inputs!$G$7,GY38-1))</f>
        <v>#VALUE!</v>
      </c>
      <c r="GZ39" s="5" t="e">
        <f aca="false">IF(GZ38="","",EOMONTH(Inputs!$G$7,GZ38-1))</f>
        <v>#VALUE!</v>
      </c>
      <c r="HA39" s="5" t="e">
        <f aca="false">IF(HA38="","",EOMONTH(Inputs!$G$7,HA38-1))</f>
        <v>#VALUE!</v>
      </c>
      <c r="HB39" s="5" t="e">
        <f aca="false">IF(HB38="","",EOMONTH(Inputs!$G$7,HB38-1))</f>
        <v>#VALUE!</v>
      </c>
      <c r="HC39" s="5" t="e">
        <f aca="false">IF(HC38="","",EOMONTH(Inputs!$G$7,HC38-1))</f>
        <v>#VALUE!</v>
      </c>
      <c r="HD39" s="5" t="e">
        <f aca="false">IF(HD38="","",EOMONTH(Inputs!$G$7,HD38-1))</f>
        <v>#VALUE!</v>
      </c>
      <c r="HE39" s="5" t="e">
        <f aca="false">IF(HE38="","",EOMONTH(Inputs!$G$7,HE38-1))</f>
        <v>#VALUE!</v>
      </c>
      <c r="HF39" s="5" t="e">
        <f aca="false">IF(HF38="","",EOMONTH(Inputs!$G$7,HF38-1))</f>
        <v>#VALUE!</v>
      </c>
      <c r="HG39" s="5" t="e">
        <f aca="false">IF(HG38="","",EOMONTH(Inputs!$G$7,HG38-1))</f>
        <v>#VALUE!</v>
      </c>
      <c r="HH39" s="5" t="e">
        <f aca="false">IF(HH38="","",EOMONTH(Inputs!$G$7,HH38-1))</f>
        <v>#VALUE!</v>
      </c>
      <c r="HI39" s="5" t="e">
        <f aca="false">IF(HI38="","",EOMONTH(Inputs!$G$7,HI38-1))</f>
        <v>#VALUE!</v>
      </c>
      <c r="HJ39" s="5" t="e">
        <f aca="false">IF(HJ38="","",EOMONTH(Inputs!$G$7,HJ38-1))</f>
        <v>#VALUE!</v>
      </c>
      <c r="HK39" s="5" t="e">
        <f aca="false">IF(HK38="","",EOMONTH(Inputs!$G$7,HK38-1))</f>
        <v>#VALUE!</v>
      </c>
      <c r="HL39" s="5" t="e">
        <f aca="false">IF(HL38="","",EOMONTH(Inputs!$G$7,HL38-1))</f>
        <v>#VALUE!</v>
      </c>
      <c r="HM39" s="5" t="e">
        <f aca="false">IF(HM38="","",EOMONTH(Inputs!$G$7,HM38-1))</f>
        <v>#VALUE!</v>
      </c>
      <c r="HN39" s="5" t="e">
        <f aca="false">IF(HN38="","",EOMONTH(Inputs!$G$7,HN38-1))</f>
        <v>#VALUE!</v>
      </c>
      <c r="HO39" s="5" t="e">
        <f aca="false">IF(HO38="","",EOMONTH(Inputs!$G$7,HO38-1))</f>
        <v>#VALUE!</v>
      </c>
      <c r="HP39" s="5" t="e">
        <f aca="false">IF(HP38="","",EOMONTH(Inputs!$G$7,HP38-1))</f>
        <v>#VALUE!</v>
      </c>
      <c r="HQ39" s="5" t="e">
        <f aca="false">IF(HQ38="","",EOMONTH(Inputs!$G$7,HQ38-1))</f>
        <v>#VALUE!</v>
      </c>
      <c r="HR39" s="5" t="e">
        <f aca="false">IF(HR38="","",EOMONTH(Inputs!$G$7,HR38-1))</f>
        <v>#VALUE!</v>
      </c>
      <c r="HS39" s="5" t="e">
        <f aca="false">IF(HS38="","",EOMONTH(Inputs!$G$7,HS38-1))</f>
        <v>#VALUE!</v>
      </c>
      <c r="HT39" s="5" t="e">
        <f aca="false">IF(HT38="","",EOMONTH(Inputs!$G$7,HT38-1))</f>
        <v>#VALUE!</v>
      </c>
      <c r="HU39" s="5" t="e">
        <f aca="false">IF(HU38="","",EOMONTH(Inputs!$G$7,HU38-1))</f>
        <v>#VALUE!</v>
      </c>
      <c r="HV39" s="5" t="e">
        <f aca="false">IF(HV38="","",EOMONTH(Inputs!$G$7,HV38-1))</f>
        <v>#VALUE!</v>
      </c>
      <c r="HW39" s="5" t="e">
        <f aca="false">IF(HW38="","",EOMONTH(Inputs!$G$7,HW38-1))</f>
        <v>#VALUE!</v>
      </c>
      <c r="HX39" s="5" t="e">
        <f aca="false">IF(HX38="","",EOMONTH(Inputs!$G$7,HX38-1))</f>
        <v>#VALUE!</v>
      </c>
      <c r="HY39" s="5" t="e">
        <f aca="false">IF(HY38="","",EOMONTH(Inputs!$G$7,HY38-1))</f>
        <v>#VALUE!</v>
      </c>
      <c r="HZ39" s="5" t="e">
        <f aca="false">IF(HZ38="","",EOMONTH(Inputs!$G$7,HZ38-1))</f>
        <v>#VALUE!</v>
      </c>
      <c r="IA39" s="5" t="e">
        <f aca="false">IF(IA38="","",EOMONTH(Inputs!$G$7,IA38-1))</f>
        <v>#VALUE!</v>
      </c>
      <c r="IB39" s="5" t="e">
        <f aca="false">IF(IB38="","",EOMONTH(Inputs!$G$7,IB38-1))</f>
        <v>#VALUE!</v>
      </c>
      <c r="IC39" s="5" t="e">
        <f aca="false">IF(IC38="","",EOMONTH(Inputs!$G$7,IC38-1))</f>
        <v>#VALUE!</v>
      </c>
      <c r="ID39" s="5" t="e">
        <f aca="false">IF(ID38="","",EOMONTH(Inputs!$G$7,ID38-1))</f>
        <v>#VALUE!</v>
      </c>
      <c r="IE39" s="5" t="e">
        <f aca="false">IF(IE38="","",EOMONTH(Inputs!$G$7,IE38-1))</f>
        <v>#VALUE!</v>
      </c>
      <c r="IF39" s="5" t="e">
        <f aca="false">IF(IF38="","",EOMONTH(Inputs!$G$7,IF38-1))</f>
        <v>#VALUE!</v>
      </c>
      <c r="IG39" s="5" t="e">
        <f aca="false">IF(IG38="","",EOMONTH(Inputs!$G$7,IG38-1))</f>
        <v>#VALUE!</v>
      </c>
      <c r="IH39" s="5" t="e">
        <f aca="false">IF(IH38="","",EOMONTH(Inputs!$G$7,IH38-1))</f>
        <v>#VALUE!</v>
      </c>
      <c r="II39" s="5" t="e">
        <f aca="false">IF(II38="","",EOMONTH(Inputs!$G$7,II38-1))</f>
        <v>#VALUE!</v>
      </c>
    </row>
    <row r="40" customFormat="false" ht="15" hidden="false" customHeight="false" outlineLevel="0" collapsed="false">
      <c r="B40" s="0" t="s">
        <v>104</v>
      </c>
      <c r="C40" s="0" t="n">
        <f aca="false">IF(C38="","",SUM(Inputs!Q81:Q83))</f>
        <v>0</v>
      </c>
      <c r="D40" s="0" t="n">
        <f aca="false">IF(D38="","",SUM(Inputs!R81:R83))</f>
        <v>46520.8333333333</v>
      </c>
      <c r="E40" s="0" t="n">
        <f aca="false">IF(E38="","",SUM(Inputs!S81:S83))</f>
        <v>46520.8333333333</v>
      </c>
      <c r="F40" s="0" t="n">
        <f aca="false">IF(F38="","",SUM(Inputs!T81:T83))</f>
        <v>46520.8333333333</v>
      </c>
      <c r="G40" s="0" t="n">
        <f aca="false">IF(G38="","",SUM(Inputs!U81:U83))</f>
        <v>46520.8333333333</v>
      </c>
      <c r="H40" s="0" t="n">
        <f aca="false">IF(H38="","",SUM(Inputs!V81:V83))</f>
        <v>46520.8333333333</v>
      </c>
      <c r="I40" s="0" t="n">
        <f aca="false">IF(I38="","",SUM(Inputs!W81:W83))</f>
        <v>46520.8333333333</v>
      </c>
      <c r="J40" s="0" t="n">
        <f aca="false">IF(J38="","",SUM(Inputs!X81:X83))</f>
        <v>46520.8333333333</v>
      </c>
      <c r="K40" s="0" t="n">
        <f aca="false">IF(K38="","",SUM(Inputs!Y81:Y83))</f>
        <v>46520.8333333333</v>
      </c>
      <c r="L40" s="0" t="n">
        <f aca="false">IF(L38="","",SUM(Inputs!Z81:Z83))</f>
        <v>46520.8333333333</v>
      </c>
      <c r="M40" s="0" t="n">
        <f aca="false">IF(M38="","",SUM(Inputs!AA81:AA83))</f>
        <v>46520.8333333333</v>
      </c>
      <c r="N40" s="0" t="n">
        <f aca="false">IF(N38="","",SUM(Inputs!AB81:AB83))</f>
        <v>46520.8333333333</v>
      </c>
      <c r="O40" s="0" t="n">
        <f aca="false">IF(O38="","",SUM(Inputs!AC81:AC83))</f>
        <v>46520.8333333333</v>
      </c>
      <c r="P40" s="0" t="n">
        <f aca="false">IF(P38="","",SUM(Inputs!AD81:AD83))</f>
        <v>47451.25</v>
      </c>
      <c r="Q40" s="0" t="n">
        <f aca="false">IF(Q38="","",SUM(Inputs!AE81:AE83))</f>
        <v>47451.25</v>
      </c>
      <c r="R40" s="0" t="n">
        <f aca="false">IF(R38="","",SUM(Inputs!AF81:AF83))</f>
        <v>47451.25</v>
      </c>
      <c r="S40" s="0" t="n">
        <f aca="false">IF(S38="","",SUM(Inputs!AG81:AG83))</f>
        <v>47451.25</v>
      </c>
      <c r="T40" s="0" t="n">
        <f aca="false">IF(T38="","",SUM(Inputs!AH81:AH83))</f>
        <v>47451.25</v>
      </c>
      <c r="U40" s="0" t="n">
        <f aca="false">IF(U38="","",SUM(Inputs!AI81:AI83))</f>
        <v>47451.25</v>
      </c>
      <c r="V40" s="0" t="n">
        <f aca="false">IF(V38="","",SUM(Inputs!AJ81:AJ83))</f>
        <v>47451.25</v>
      </c>
      <c r="W40" s="0" t="n">
        <f aca="false">IF(W38="","",SUM(Inputs!AK81:AK83))</f>
        <v>47451.25</v>
      </c>
      <c r="X40" s="0" t="n">
        <f aca="false">IF(X38="","",SUM(Inputs!AL81:AL83))</f>
        <v>47451.25</v>
      </c>
      <c r="Y40" s="0" t="n">
        <f aca="false">IF(Y38="","",SUM(Inputs!AM81:AM83))</f>
        <v>47451.25</v>
      </c>
      <c r="Z40" s="0" t="n">
        <f aca="false">IF(Z38="","",SUM(Inputs!AN81:AN83))</f>
        <v>47451.25</v>
      </c>
      <c r="AA40" s="0" t="n">
        <f aca="false">IF(AA38="","",SUM(Inputs!AO81:AO83))</f>
        <v>47451.25</v>
      </c>
      <c r="AB40" s="0" t="n">
        <f aca="false">IF(AB38="","",SUM(Inputs!AP81:AP83))</f>
        <v>48400.275</v>
      </c>
      <c r="AC40" s="0" t="n">
        <f aca="false">IF(AC38="","",SUM(Inputs!AQ81:AQ83))</f>
        <v>48400.275</v>
      </c>
      <c r="AD40" s="0" t="n">
        <f aca="false">IF(AD38="","",SUM(Inputs!AR81:AR83))</f>
        <v>48400.275</v>
      </c>
      <c r="AE40" s="0" t="n">
        <f aca="false">IF(AE38="","",SUM(Inputs!AS81:AS83))</f>
        <v>48400.275</v>
      </c>
      <c r="AF40" s="0" t="n">
        <f aca="false">IF(AF38="","",SUM(Inputs!AT81:AT83))</f>
        <v>48400.275</v>
      </c>
      <c r="AG40" s="0" t="n">
        <f aca="false">IF(AG38="","",SUM(Inputs!AU81:AU83))</f>
        <v>48400.275</v>
      </c>
      <c r="AH40" s="0" t="n">
        <f aca="false">IF(AH38="","",SUM(Inputs!AV81:AV83))</f>
        <v>48400.275</v>
      </c>
      <c r="AI40" s="0" t="n">
        <f aca="false">IF(AI38="","",SUM(Inputs!AW81:AW83))</f>
        <v>48400.275</v>
      </c>
      <c r="AJ40" s="0" t="n">
        <f aca="false">IF(AJ38="","",SUM(Inputs!AX81:AX83))</f>
        <v>48400.275</v>
      </c>
      <c r="AK40" s="0" t="n">
        <f aca="false">IF(AK38="","",SUM(Inputs!AY81:AY83))</f>
        <v>48400.275</v>
      </c>
      <c r="AL40" s="0" t="n">
        <f aca="false">IF(AL38="","",SUM(Inputs!AZ81:AZ83))</f>
        <v>48400.275</v>
      </c>
      <c r="AM40" s="0" t="n">
        <f aca="false">IF(AM38="","",SUM(Inputs!BA81:BA83))</f>
        <v>48400.275</v>
      </c>
      <c r="AN40" s="0" t="n">
        <f aca="false">IF(AN38="","",SUM(Inputs!BB81:BB83))</f>
        <v>49368.2805</v>
      </c>
      <c r="AO40" s="0" t="n">
        <f aca="false">IF(AO38="","",SUM(Inputs!BC81:BC83))</f>
        <v>49368.2805</v>
      </c>
      <c r="AP40" s="0" t="n">
        <f aca="false">IF(AP38="","",SUM(Inputs!BD81:BD83))</f>
        <v>49368.2805</v>
      </c>
      <c r="AQ40" s="0" t="n">
        <f aca="false">IF(AQ38="","",SUM(Inputs!BE81:BE83))</f>
        <v>49368.2805</v>
      </c>
      <c r="AR40" s="0" t="n">
        <f aca="false">IF(AR38="","",SUM(Inputs!BF81:BF83))</f>
        <v>49368.2805</v>
      </c>
      <c r="AS40" s="0" t="n">
        <f aca="false">IF(AS38="","",SUM(Inputs!BG81:BG83))</f>
        <v>49368.2805</v>
      </c>
      <c r="AT40" s="0" t="n">
        <f aca="false">IF(AT38="","",SUM(Inputs!BH81:BH83))</f>
        <v>49368.2805</v>
      </c>
      <c r="AU40" s="0" t="n">
        <f aca="false">IF(AU38="","",SUM(Inputs!BI81:BI83))</f>
        <v>49368.2805</v>
      </c>
      <c r="AV40" s="0" t="n">
        <f aca="false">IF(AV38="","",SUM(Inputs!BJ81:BJ83))</f>
        <v>49368.2805</v>
      </c>
      <c r="AW40" s="0" t="n">
        <f aca="false">IF(AW38="","",SUM(Inputs!BK81:BK83))</f>
        <v>49368.2805</v>
      </c>
      <c r="AX40" s="0" t="n">
        <f aca="false">IF(AX38="","",SUM(Inputs!BL81:BL83))</f>
        <v>49368.2805</v>
      </c>
      <c r="AY40" s="0" t="n">
        <f aca="false">IF(AY38="","",SUM(Inputs!BM81:BM83))</f>
        <v>49368.2805</v>
      </c>
      <c r="AZ40" s="0" t="n">
        <f aca="false">IF(AZ38="","",SUM(Inputs!BN81:BN83))</f>
        <v>50355.64611</v>
      </c>
      <c r="BA40" s="0" t="n">
        <f aca="false">IF(BA38="","",SUM(Inputs!BO81:BO83))</f>
        <v>50355.64611</v>
      </c>
      <c r="BB40" s="0" t="n">
        <f aca="false">IF(BB38="","",SUM(Inputs!BP81:BP83))</f>
        <v>50355.64611</v>
      </c>
      <c r="BC40" s="0" t="n">
        <f aca="false">IF(BC38="","",SUM(Inputs!BQ81:BQ83))</f>
        <v>50355.64611</v>
      </c>
      <c r="BD40" s="0" t="n">
        <f aca="false">IF(BD38="","",SUM(Inputs!BR81:BR83))</f>
        <v>50355.64611</v>
      </c>
      <c r="BE40" s="0" t="n">
        <f aca="false">IF(BE38="","",SUM(Inputs!BS81:BS83))</f>
        <v>50355.64611</v>
      </c>
      <c r="BF40" s="0" t="n">
        <f aca="false">IF(BF38="","",SUM(Inputs!BT81:BT83))</f>
        <v>50355.64611</v>
      </c>
      <c r="BG40" s="0" t="n">
        <f aca="false">IF(BG38="","",SUM(Inputs!BU81:BU83))</f>
        <v>50355.64611</v>
      </c>
      <c r="BH40" s="0" t="n">
        <f aca="false">IF(BH38="","",SUM(Inputs!BV81:BV83))</f>
        <v>50355.64611</v>
      </c>
      <c r="BI40" s="0" t="n">
        <f aca="false">IF(BI38="","",SUM(Inputs!BW81:BW83))</f>
        <v>50355.64611</v>
      </c>
      <c r="BJ40" s="0" t="n">
        <f aca="false">IF(BJ38="","",SUM(Inputs!BX81:BX83))</f>
        <v>50355.64611</v>
      </c>
      <c r="BK40" s="0" t="n">
        <f aca="false">IF(BK38="","",SUM(Inputs!BY81:BY83))</f>
        <v>50355.64611</v>
      </c>
      <c r="BL40" s="0" t="n">
        <f aca="false">IF(BL38="","",SUM(Inputs!BZ81:BZ83))</f>
        <v>51362.7590322</v>
      </c>
      <c r="BM40" s="0" t="n">
        <f aca="false">IF(BM38="","",SUM(Inputs!CA81:CA83))</f>
        <v>51362.7590322</v>
      </c>
      <c r="BN40" s="0" t="n">
        <f aca="false">IF(BN38="","",SUM(Inputs!CB81:CB83))</f>
        <v>51362.7590322</v>
      </c>
      <c r="BO40" s="0" t="n">
        <f aca="false">IF(BO38="","",SUM(Inputs!CC81:CC83))</f>
        <v>51362.7590322</v>
      </c>
      <c r="BP40" s="0" t="n">
        <f aca="false">IF(BP38="","",SUM(Inputs!CD81:CD83))</f>
        <v>51362.7590322</v>
      </c>
      <c r="BQ40" s="0" t="n">
        <f aca="false">IF(BQ38="","",SUM(Inputs!CE81:CE83))</f>
        <v>51362.7590322</v>
      </c>
      <c r="BR40" s="0" t="n">
        <f aca="false">IF(BR38="","",SUM(Inputs!CF81:CF83))</f>
        <v>51362.7590322</v>
      </c>
      <c r="BS40" s="0" t="n">
        <f aca="false">IF(BS38="","",SUM(Inputs!CG81:CG83))</f>
        <v>51362.7590322</v>
      </c>
      <c r="BT40" s="0" t="n">
        <f aca="false">IF(BT38="","",SUM(Inputs!CH81:CH83))</f>
        <v>51362.7590322</v>
      </c>
      <c r="BU40" s="0" t="n">
        <f aca="false">IF(BU38="","",SUM(Inputs!CI81:CI83))</f>
        <v>51362.7590322</v>
      </c>
      <c r="BV40" s="0" t="n">
        <f aca="false">IF(BV38="","",SUM(Inputs!CJ81:CJ83))</f>
        <v>51362.7590322</v>
      </c>
      <c r="BW40" s="0" t="n">
        <f aca="false">IF(BW38="","",SUM(Inputs!CK81:CK83))</f>
        <v>51362.7590322</v>
      </c>
      <c r="BX40" s="0" t="n">
        <f aca="false">IF(BX38="","",SUM(Inputs!CL81:CL83))</f>
        <v>52390.014212844</v>
      </c>
      <c r="BY40" s="0" t="n">
        <f aca="false">IF(BY38="","",SUM(Inputs!CM81:CM83))</f>
        <v>52390.014212844</v>
      </c>
      <c r="BZ40" s="0" t="n">
        <f aca="false">IF(BZ38="","",SUM(Inputs!CN81:CN83))</f>
        <v>52390.014212844</v>
      </c>
      <c r="CA40" s="0" t="n">
        <f aca="false">IF(CA38="","",SUM(Inputs!CO81:CO83))</f>
        <v>52390.014212844</v>
      </c>
      <c r="CB40" s="0" t="n">
        <f aca="false">IF(CB38="","",SUM(Inputs!CP81:CP83))</f>
        <v>52390.014212844</v>
      </c>
      <c r="CC40" s="0" t="n">
        <f aca="false">IF(CC38="","",SUM(Inputs!CQ81:CQ83))</f>
        <v>52390.014212844</v>
      </c>
      <c r="CD40" s="0" t="n">
        <f aca="false">IF(CD38="","",SUM(Inputs!CR81:CR83))</f>
        <v>52390.014212844</v>
      </c>
      <c r="CE40" s="0" t="n">
        <f aca="false">IF(CE38="","",SUM(Inputs!CS81:CS83))</f>
        <v>52390.014212844</v>
      </c>
      <c r="CF40" s="0" t="n">
        <f aca="false">IF(CF38="","",SUM(Inputs!CT81:CT83))</f>
        <v>52390.014212844</v>
      </c>
      <c r="CG40" s="0" t="n">
        <f aca="false">IF(CG38="","",SUM(Inputs!CU81:CU83))</f>
        <v>52390.014212844</v>
      </c>
      <c r="CH40" s="0" t="n">
        <f aca="false">IF(CH38="","",SUM(Inputs!CV81:CV83))</f>
        <v>52390.014212844</v>
      </c>
      <c r="CI40" s="0" t="n">
        <f aca="false">IF(CI38="","",SUM(Inputs!CW81:CW83))</f>
        <v>52390.014212844</v>
      </c>
      <c r="CJ40" s="0" t="n">
        <f aca="false">IF(CJ38="","",SUM(Inputs!CX81:CX83))</f>
        <v>53437.8144971009</v>
      </c>
      <c r="CK40" s="0" t="n">
        <f aca="false">IF(CK38="","",SUM(Inputs!CY81:CY83))</f>
        <v>53437.8144971009</v>
      </c>
      <c r="CL40" s="0" t="n">
        <f aca="false">IF(CL38="","",SUM(Inputs!CZ81:CZ83))</f>
        <v>53437.8144971009</v>
      </c>
      <c r="CM40" s="0" t="n">
        <f aca="false">IF(CM38="","",SUM(Inputs!DA81:DA83))</f>
        <v>53437.8144971009</v>
      </c>
      <c r="CN40" s="0" t="n">
        <f aca="false">IF(CN38="","",SUM(Inputs!DB81:DB83))</f>
        <v>53437.8144971009</v>
      </c>
      <c r="CO40" s="0" t="n">
        <f aca="false">IF(CO38="","",SUM(Inputs!DC81:DC83))</f>
        <v>53437.8144971009</v>
      </c>
      <c r="CP40" s="0" t="n">
        <f aca="false">IF(CP38="","",SUM(Inputs!DD81:DD83))</f>
        <v>53437.8144971009</v>
      </c>
      <c r="CQ40" s="0" t="n">
        <f aca="false">IF(CQ38="","",SUM(Inputs!DE81:DE83))</f>
        <v>53437.8144971009</v>
      </c>
      <c r="CR40" s="0" t="n">
        <f aca="false">IF(CR38="","",SUM(Inputs!DF81:DF83))</f>
        <v>53437.8144971009</v>
      </c>
      <c r="CS40" s="0" t="n">
        <f aca="false">IF(CS38="","",SUM(Inputs!DG81:DG83))</f>
        <v>53437.8144971009</v>
      </c>
      <c r="CT40" s="0" t="n">
        <f aca="false">IF(CT38="","",SUM(Inputs!DH81:DH83))</f>
        <v>53437.8144971009</v>
      </c>
      <c r="CU40" s="0" t="n">
        <f aca="false">IF(CU38="","",SUM(Inputs!DI81:DI83))</f>
        <v>53437.8144971009</v>
      </c>
      <c r="CV40" s="0" t="n">
        <f aca="false">IF(CV38="","",SUM(Inputs!DJ81:DJ83))</f>
        <v>38154.59955093</v>
      </c>
      <c r="CW40" s="0" t="n">
        <f aca="false">IF(CW38="","",SUM(Inputs!DK81:DK83))</f>
        <v>38154.59955093</v>
      </c>
      <c r="CX40" s="0" t="n">
        <f aca="false">IF(CX38="","",SUM(Inputs!DL81:DL83))</f>
        <v>38154.59955093</v>
      </c>
      <c r="CY40" s="0" t="n">
        <f aca="false">IF(CY38="","",SUM(Inputs!DM81:DM83))</f>
        <v>38154.59955093</v>
      </c>
      <c r="CZ40" s="0" t="n">
        <f aca="false">IF(CZ38="","",SUM(Inputs!DN81:DN83))</f>
        <v>38154.59955093</v>
      </c>
      <c r="DA40" s="0" t="n">
        <f aca="false">IF(DA38="","",SUM(Inputs!DO81:DO83))</f>
        <v>38154.59955093</v>
      </c>
      <c r="DB40" s="0" t="n">
        <f aca="false">IF(DB38="","",SUM(Inputs!DP81:DP83))</f>
        <v>38154.59955093</v>
      </c>
      <c r="DC40" s="0" t="n">
        <f aca="false">IF(DC38="","",SUM(Inputs!DQ81:DQ83))</f>
        <v>38154.59955093</v>
      </c>
      <c r="DD40" s="0" t="n">
        <f aca="false">IF(DD38="","",SUM(Inputs!DR81:DR83))</f>
        <v>38154.59955093</v>
      </c>
      <c r="DE40" s="0" t="n">
        <f aca="false">IF(DE38="","",SUM(Inputs!DS81:DS83))</f>
        <v>51204.59955093</v>
      </c>
      <c r="DF40" s="0" t="n">
        <f aca="false">IF(DF38="","",SUM(Inputs!DT81:DT83))</f>
        <v>51204.59955093</v>
      </c>
      <c r="DG40" s="0" t="n">
        <f aca="false">IF(DG38="","",SUM(Inputs!DU81:DU83))</f>
        <v>51204.59955093</v>
      </c>
      <c r="DH40" s="0" t="n">
        <f aca="false">IF(DH38="","",SUM(Inputs!DV81:DV83))</f>
        <v>51204.59955093</v>
      </c>
      <c r="DI40" s="0" t="n">
        <f aca="false">IF(DI38="","",SUM(Inputs!DW81:DW83))</f>
        <v>51204.59955093</v>
      </c>
      <c r="DJ40" s="0" t="n">
        <f aca="false">IF(DJ38="","",SUM(Inputs!DX81:DX83))</f>
        <v>51204.59955093</v>
      </c>
      <c r="DK40" s="0" t="n">
        <f aca="false">IF(DK38="","",SUM(Inputs!DY81:DY83))</f>
        <v>51204.59955093</v>
      </c>
      <c r="DL40" s="0" t="n">
        <f aca="false">IF(DL38="","",SUM(Inputs!DZ81:DZ83))</f>
        <v>51204.59955093</v>
      </c>
      <c r="DM40" s="0" t="n">
        <f aca="false">IF(DM38="","",SUM(Inputs!EA81:EA83))</f>
        <v>51204.59955093</v>
      </c>
      <c r="DN40" s="0" t="n">
        <f aca="false">IF(DN38="","",SUM(Inputs!EB81:EB83))</f>
        <v>51204.59955093</v>
      </c>
      <c r="DO40" s="0" t="n">
        <f aca="false">IF(DO38="","",SUM(Inputs!EC81:EC83))</f>
        <v>51204.59955093</v>
      </c>
      <c r="DP40" s="0" t="n">
        <f aca="false">IF(DP38="","",SUM(Inputs!ED81:ED83))</f>
        <v>51204.59955093</v>
      </c>
      <c r="DQ40" s="0" t="n">
        <f aca="false">IF(DQ38="","",SUM(Inputs!EE81:EE83))</f>
        <v>51204.59955093</v>
      </c>
      <c r="DR40" s="0" t="n">
        <f aca="false">IF(DR38="","",SUM(Inputs!EF81:EF83))</f>
        <v>51204.59955093</v>
      </c>
      <c r="DS40" s="0" t="n">
        <f aca="false">IF(DS38="","",SUM(Inputs!EG81:EG83))</f>
        <v>51204.59955093</v>
      </c>
      <c r="DT40" s="0" t="n">
        <f aca="false">IF(DT38="","",SUM(Inputs!EH81:EH83))</f>
        <v>51204.59955093</v>
      </c>
      <c r="DU40" s="0" t="n">
        <f aca="false">IF(DU38="","",SUM(Inputs!EI81:EI83))</f>
        <v>51204.59955093</v>
      </c>
      <c r="DV40" s="0" t="n">
        <f aca="false">IF(DV38="","",SUM(Inputs!EJ81:EJ83))</f>
        <v>51204.59955093</v>
      </c>
      <c r="DW40" s="0" t="n">
        <f aca="false">IF(DW38="","",SUM(Inputs!EK81:EK83))</f>
        <v>51204.59955093</v>
      </c>
      <c r="DX40" s="0" t="n">
        <f aca="false">IF(DX38="","",SUM(Inputs!EL81:EL83))</f>
        <v>51204.59955093</v>
      </c>
      <c r="DY40" s="0" t="n">
        <f aca="false">IF(DY38="","",SUM(Inputs!EM81:EM83))</f>
        <v>51204.59955093</v>
      </c>
      <c r="DZ40" s="0" t="n">
        <f aca="false">IF(DZ38="","",SUM(Inputs!EN81:EN83))</f>
        <v>51204.59955093</v>
      </c>
      <c r="EA40" s="0" t="n">
        <f aca="false">IF(EA38="","",SUM(Inputs!EO81:EO83))</f>
        <v>51204.59955093</v>
      </c>
      <c r="EB40" s="0" t="n">
        <f aca="false">IF(EB38="","",SUM(Inputs!EP81:EP83))</f>
        <v>51204.59955093</v>
      </c>
      <c r="EC40" s="0" t="n">
        <f aca="false">IF(EC38="","",SUM(Inputs!EQ81:EQ83))</f>
        <v>51204.59955093</v>
      </c>
      <c r="ED40" s="0" t="n">
        <f aca="false">IF(ED38="","",SUM(Inputs!ER81:ER83))</f>
        <v>51204.59955093</v>
      </c>
      <c r="EE40" s="0" t="n">
        <f aca="false">IF(EE38="","",SUM(Inputs!ES81:ES83))</f>
        <v>51204.59955093</v>
      </c>
      <c r="EF40" s="0" t="n">
        <f aca="false">IF(EF38="","",SUM(Inputs!ET81:ET83))</f>
        <v>51204.59955093</v>
      </c>
      <c r="EG40" s="0" t="n">
        <f aca="false">IF(EG38="","",SUM(Inputs!EU81:EU83))</f>
        <v>51204.59955093</v>
      </c>
      <c r="EH40" s="0" t="n">
        <f aca="false">IF(EH38="","",SUM(Inputs!EV81:EV83))</f>
        <v>51204.59955093</v>
      </c>
      <c r="EI40" s="0" t="n">
        <f aca="false">IF(EI38="","",SUM(Inputs!EW81:EW83))</f>
        <v>51204.59955093</v>
      </c>
      <c r="EJ40" s="0" t="n">
        <f aca="false">IF(EJ38="","",SUM(Inputs!EX81:EX83))</f>
        <v>51204.59955093</v>
      </c>
      <c r="EK40" s="0" t="n">
        <f aca="false">IF(EK38="","",SUM(Inputs!EY81:EY83))</f>
        <v>51204.59955093</v>
      </c>
      <c r="EL40" s="0" t="n">
        <f aca="false">IF(EL38="","",SUM(Inputs!EZ81:EZ83))</f>
        <v>51204.59955093</v>
      </c>
      <c r="EM40" s="0" t="n">
        <f aca="false">IF(EM38="","",SUM(Inputs!FA81:FA83))</f>
        <v>51204.59955093</v>
      </c>
      <c r="EN40" s="0" t="n">
        <f aca="false">IF(EN38="","",SUM(Inputs!FB81:FB83))</f>
        <v>51204.59955093</v>
      </c>
      <c r="EO40" s="0" t="n">
        <f aca="false">IF(EO38="","",SUM(Inputs!FC81:FC83))</f>
        <v>51204.59955093</v>
      </c>
      <c r="EP40" s="0" t="n">
        <f aca="false">IF(EP38="","",SUM(Inputs!FD81:FD83))</f>
        <v>51204.59955093</v>
      </c>
      <c r="EQ40" s="0" t="n">
        <f aca="false">IF(EQ38="","",SUM(Inputs!FE81:FE83))</f>
        <v>51204.59955093</v>
      </c>
      <c r="ER40" s="0" t="n">
        <f aca="false">IF(ER38="","",SUM(Inputs!FF81:FF83))</f>
        <v>51204.59955093</v>
      </c>
      <c r="ES40" s="0" t="n">
        <f aca="false">IF(ES38="","",SUM(Inputs!FG81:FG83))</f>
        <v>51204.59955093</v>
      </c>
      <c r="ET40" s="0" t="n">
        <f aca="false">IF(ET38="","",SUM(Inputs!FH81:FH83))</f>
        <v>51204.59955093</v>
      </c>
      <c r="EU40" s="0" t="n">
        <f aca="false">IF(EU38="","",SUM(Inputs!FI81:FI83))</f>
        <v>51204.59955093</v>
      </c>
      <c r="EV40" s="0" t="n">
        <f aca="false">IF(EV38="","",SUM(Inputs!FJ81:FJ83))</f>
        <v>51204.59955093</v>
      </c>
      <c r="EW40" s="0" t="n">
        <f aca="false">IF(EW38="","",SUM(Inputs!FK81:FK83))</f>
        <v>51204.59955093</v>
      </c>
      <c r="EX40" s="0" t="n">
        <f aca="false">IF(EX38="","",SUM(Inputs!FL81:FL83))</f>
        <v>51204.59955093</v>
      </c>
      <c r="EY40" s="0" t="n">
        <f aca="false">IF(EY38="","",SUM(Inputs!FM81:FM83))</f>
        <v>51204.59955093</v>
      </c>
      <c r="EZ40" s="0" t="n">
        <f aca="false">IF(EZ38="","",SUM(Inputs!FN81:FN83))</f>
        <v>51204.59955093</v>
      </c>
      <c r="FA40" s="0" t="n">
        <f aca="false">IF(FA38="","",SUM(Inputs!FO81:FO83))</f>
        <v>51204.59955093</v>
      </c>
      <c r="FB40" s="0" t="n">
        <f aca="false">IF(FB38="","",SUM(Inputs!FP81:FP83))</f>
        <v>51204.59955093</v>
      </c>
      <c r="FC40" s="0" t="n">
        <f aca="false">IF(FC38="","",SUM(Inputs!FQ81:FQ83))</f>
        <v>51204.59955093</v>
      </c>
      <c r="FD40" s="0" t="str">
        <f aca="false">IF(FD38="","",SUM(Inputs!FR81:FR83))</f>
        <v/>
      </c>
      <c r="FE40" s="0" t="e">
        <f aca="false">IF(FE38="","",SUM(Inputs!FS81:FS83))</f>
        <v>#VALUE!</v>
      </c>
      <c r="FF40" s="0" t="e">
        <f aca="false">IF(FF38="","",SUM(Inputs!FT81:FT83))</f>
        <v>#VALUE!</v>
      </c>
      <c r="FG40" s="0" t="e">
        <f aca="false">IF(FG38="","",SUM(Inputs!FU81:FU83))</f>
        <v>#VALUE!</v>
      </c>
      <c r="FH40" s="0" t="e">
        <f aca="false">IF(FH38="","",SUM(Inputs!FV81:FV83))</f>
        <v>#VALUE!</v>
      </c>
      <c r="FI40" s="0" t="e">
        <f aca="false">IF(FI38="","",SUM(Inputs!FW81:FW83))</f>
        <v>#VALUE!</v>
      </c>
      <c r="FJ40" s="0" t="e">
        <f aca="false">IF(FJ38="","",SUM(Inputs!FX81:FX83))</f>
        <v>#VALUE!</v>
      </c>
      <c r="FK40" s="0" t="e">
        <f aca="false">IF(FK38="","",SUM(Inputs!FY81:FY83))</f>
        <v>#VALUE!</v>
      </c>
      <c r="FL40" s="0" t="e">
        <f aca="false">IF(FL38="","",SUM(Inputs!FZ81:FZ83))</f>
        <v>#VALUE!</v>
      </c>
      <c r="FM40" s="0" t="e">
        <f aca="false">IF(FM38="","",SUM(Inputs!GA81:GA83))</f>
        <v>#VALUE!</v>
      </c>
      <c r="FN40" s="0" t="e">
        <f aca="false">IF(FN38="","",SUM(Inputs!GB81:GB83))</f>
        <v>#VALUE!</v>
      </c>
      <c r="FO40" s="0" t="e">
        <f aca="false">IF(FO38="","",SUM(Inputs!GC81:GC83))</f>
        <v>#VALUE!</v>
      </c>
      <c r="FP40" s="0" t="e">
        <f aca="false">IF(FP38="","",SUM(Inputs!GD81:GD83))</f>
        <v>#VALUE!</v>
      </c>
      <c r="FQ40" s="0" t="e">
        <f aca="false">IF(FQ38="","",SUM(Inputs!GE81:GE83))</f>
        <v>#VALUE!</v>
      </c>
      <c r="FR40" s="0" t="e">
        <f aca="false">IF(FR38="","",SUM(Inputs!GF81:GF83))</f>
        <v>#VALUE!</v>
      </c>
      <c r="FS40" s="0" t="e">
        <f aca="false">IF(FS38="","",SUM(Inputs!GG81:GG83))</f>
        <v>#VALUE!</v>
      </c>
      <c r="FT40" s="0" t="e">
        <f aca="false">IF(FT38="","",SUM(Inputs!GH81:GH83))</f>
        <v>#VALUE!</v>
      </c>
      <c r="FU40" s="0" t="e">
        <f aca="false">IF(FU38="","",SUM(Inputs!GI81:GI83))</f>
        <v>#VALUE!</v>
      </c>
      <c r="FV40" s="0" t="e">
        <f aca="false">IF(FV38="","",SUM(Inputs!GJ81:GJ83))</f>
        <v>#VALUE!</v>
      </c>
      <c r="FW40" s="0" t="e">
        <f aca="false">IF(FW38="","",SUM(Inputs!GK81:GK83))</f>
        <v>#VALUE!</v>
      </c>
      <c r="FX40" s="0" t="e">
        <f aca="false">IF(FX38="","",SUM(Inputs!GL81:GL83))</f>
        <v>#VALUE!</v>
      </c>
      <c r="FY40" s="0" t="e">
        <f aca="false">IF(FY38="","",SUM(Inputs!GM81:GM83))</f>
        <v>#VALUE!</v>
      </c>
      <c r="FZ40" s="0" t="e">
        <f aca="false">IF(FZ38="","",SUM(Inputs!GN81:GN83))</f>
        <v>#VALUE!</v>
      </c>
      <c r="GA40" s="0" t="e">
        <f aca="false">IF(GA38="","",SUM(Inputs!GO81:GO83))</f>
        <v>#VALUE!</v>
      </c>
      <c r="GB40" s="0" t="e">
        <f aca="false">IF(GB38="","",SUM(Inputs!GP81:GP83))</f>
        <v>#VALUE!</v>
      </c>
      <c r="GC40" s="0" t="e">
        <f aca="false">IF(GC38="","",SUM(Inputs!GQ81:GQ83))</f>
        <v>#VALUE!</v>
      </c>
      <c r="GD40" s="0" t="e">
        <f aca="false">IF(GD38="","",SUM(Inputs!GR81:GR83))</f>
        <v>#VALUE!</v>
      </c>
      <c r="GE40" s="0" t="e">
        <f aca="false">IF(GE38="","",SUM(Inputs!GS81:GS83))</f>
        <v>#VALUE!</v>
      </c>
      <c r="GF40" s="0" t="e">
        <f aca="false">IF(GF38="","",SUM(Inputs!GT81:GT83))</f>
        <v>#VALUE!</v>
      </c>
      <c r="GG40" s="0" t="e">
        <f aca="false">IF(GG38="","",SUM(Inputs!GU81:GU83))</f>
        <v>#VALUE!</v>
      </c>
      <c r="GH40" s="0" t="e">
        <f aca="false">IF(GH38="","",SUM(Inputs!GV81:GV83))</f>
        <v>#VALUE!</v>
      </c>
      <c r="GI40" s="0" t="e">
        <f aca="false">IF(GI38="","",SUM(Inputs!GW81:GW83))</f>
        <v>#VALUE!</v>
      </c>
      <c r="GJ40" s="0" t="e">
        <f aca="false">IF(GJ38="","",SUM(Inputs!GX81:GX83))</f>
        <v>#VALUE!</v>
      </c>
      <c r="GK40" s="0" t="e">
        <f aca="false">IF(GK38="","",SUM(Inputs!GY81:GY83))</f>
        <v>#VALUE!</v>
      </c>
      <c r="GL40" s="0" t="e">
        <f aca="false">IF(GL38="","",SUM(Inputs!GZ81:GZ83))</f>
        <v>#VALUE!</v>
      </c>
      <c r="GM40" s="0" t="e">
        <f aca="false">IF(GM38="","",SUM(Inputs!HA81:HA83))</f>
        <v>#VALUE!</v>
      </c>
      <c r="GN40" s="0" t="e">
        <f aca="false">IF(GN38="","",SUM(Inputs!HB81:HB83))</f>
        <v>#VALUE!</v>
      </c>
      <c r="GO40" s="0" t="e">
        <f aca="false">IF(GO38="","",SUM(Inputs!HC81:HC83))</f>
        <v>#VALUE!</v>
      </c>
      <c r="GP40" s="0" t="e">
        <f aca="false">IF(GP38="","",SUM(Inputs!HD81:HD83))</f>
        <v>#VALUE!</v>
      </c>
      <c r="GQ40" s="0" t="e">
        <f aca="false">IF(GQ38="","",SUM(Inputs!HE81:HE83))</f>
        <v>#VALUE!</v>
      </c>
      <c r="GR40" s="0" t="e">
        <f aca="false">IF(GR38="","",SUM(Inputs!HF81:HF83))</f>
        <v>#VALUE!</v>
      </c>
      <c r="GS40" s="0" t="e">
        <f aca="false">IF(GS38="","",SUM(Inputs!HG81:HG83))</f>
        <v>#VALUE!</v>
      </c>
      <c r="GT40" s="0" t="e">
        <f aca="false">IF(GT38="","",SUM(Inputs!HH81:HH83))</f>
        <v>#VALUE!</v>
      </c>
      <c r="GU40" s="0" t="e">
        <f aca="false">IF(GU38="","",SUM(Inputs!HI81:HI83))</f>
        <v>#VALUE!</v>
      </c>
      <c r="GV40" s="0" t="e">
        <f aca="false">IF(GV38="","",SUM(Inputs!HJ81:HJ83))</f>
        <v>#VALUE!</v>
      </c>
      <c r="GW40" s="0" t="e">
        <f aca="false">IF(GW38="","",SUM(Inputs!HK81:HK83))</f>
        <v>#VALUE!</v>
      </c>
      <c r="GX40" s="0" t="e">
        <f aca="false">IF(GX38="","",SUM(Inputs!HL81:HL83))</f>
        <v>#VALUE!</v>
      </c>
      <c r="GY40" s="0" t="e">
        <f aca="false">IF(GY38="","",SUM(Inputs!HM81:HM83))</f>
        <v>#VALUE!</v>
      </c>
      <c r="GZ40" s="0" t="e">
        <f aca="false">IF(GZ38="","",SUM(Inputs!HN81:HN83))</f>
        <v>#VALUE!</v>
      </c>
      <c r="HA40" s="0" t="e">
        <f aca="false">IF(HA38="","",SUM(Inputs!HO81:HO83))</f>
        <v>#VALUE!</v>
      </c>
      <c r="HB40" s="0" t="e">
        <f aca="false">IF(HB38="","",SUM(Inputs!HP81:HP83))</f>
        <v>#VALUE!</v>
      </c>
      <c r="HC40" s="0" t="e">
        <f aca="false">IF(HC38="","",SUM(Inputs!HQ81:HQ83))</f>
        <v>#VALUE!</v>
      </c>
      <c r="HD40" s="0" t="e">
        <f aca="false">IF(HD38="","",SUM(Inputs!HR81:HR83))</f>
        <v>#VALUE!</v>
      </c>
      <c r="HE40" s="0" t="e">
        <f aca="false">IF(HE38="","",SUM(Inputs!HS81:HS83))</f>
        <v>#VALUE!</v>
      </c>
      <c r="HF40" s="0" t="e">
        <f aca="false">IF(HF38="","",SUM(Inputs!HT81:HT83))</f>
        <v>#VALUE!</v>
      </c>
      <c r="HG40" s="0" t="e">
        <f aca="false">IF(HG38="","",SUM(Inputs!HU81:HU83))</f>
        <v>#VALUE!</v>
      </c>
      <c r="HH40" s="0" t="e">
        <f aca="false">IF(HH38="","",SUM(Inputs!HV81:HV83))</f>
        <v>#VALUE!</v>
      </c>
      <c r="HI40" s="0" t="e">
        <f aca="false">IF(HI38="","",SUM(Inputs!HW81:HW83))</f>
        <v>#VALUE!</v>
      </c>
      <c r="HJ40" s="0" t="e">
        <f aca="false">IF(HJ38="","",SUM(Inputs!HX81:HX83))</f>
        <v>#VALUE!</v>
      </c>
      <c r="HK40" s="0" t="e">
        <f aca="false">IF(HK38="","",SUM(Inputs!HY81:HY83))</f>
        <v>#VALUE!</v>
      </c>
      <c r="HL40" s="0" t="e">
        <f aca="false">IF(HL38="","",SUM(Inputs!HZ81:HZ83))</f>
        <v>#VALUE!</v>
      </c>
      <c r="HM40" s="0" t="e">
        <f aca="false">IF(HM38="","",SUM(Inputs!IA81:IA83))</f>
        <v>#VALUE!</v>
      </c>
      <c r="HN40" s="0" t="e">
        <f aca="false">IF(HN38="","",SUM(Inputs!IB81:IB83))</f>
        <v>#VALUE!</v>
      </c>
      <c r="HO40" s="0" t="e">
        <f aca="false">IF(HO38="","",SUM(Inputs!IC81:IC83))</f>
        <v>#VALUE!</v>
      </c>
      <c r="HP40" s="0" t="e">
        <f aca="false">IF(HP38="","",SUM(Inputs!ID81:ID83))</f>
        <v>#VALUE!</v>
      </c>
      <c r="HQ40" s="0" t="e">
        <f aca="false">IF(HQ38="","",SUM(Inputs!IE81:IE83))</f>
        <v>#VALUE!</v>
      </c>
      <c r="HR40" s="0" t="e">
        <f aca="false">IF(HR38="","",SUM(Inputs!IF81:IF83))</f>
        <v>#VALUE!</v>
      </c>
      <c r="HS40" s="0" t="e">
        <f aca="false">IF(HS38="","",SUM(Inputs!IG81:IG83))</f>
        <v>#VALUE!</v>
      </c>
      <c r="HT40" s="0" t="e">
        <f aca="false">IF(HT38="","",SUM(Inputs!IH81:IH83))</f>
        <v>#VALUE!</v>
      </c>
      <c r="HU40" s="0" t="e">
        <f aca="false">IF(HU38="","",SUM(Inputs!II81:II83))</f>
        <v>#VALUE!</v>
      </c>
      <c r="HV40" s="0" t="e">
        <f aca="false">IF(HV38="","",SUM(Inputs!IJ81:IJ83))</f>
        <v>#VALUE!</v>
      </c>
      <c r="HW40" s="0" t="e">
        <f aca="false">IF(HW38="","",SUM(Inputs!IK81:IK83))</f>
        <v>#VALUE!</v>
      </c>
      <c r="HX40" s="0" t="e">
        <f aca="false">IF(HX38="","",SUM(Inputs!IL81:IL83))</f>
        <v>#VALUE!</v>
      </c>
      <c r="HY40" s="0" t="e">
        <f aca="false">IF(HY38="","",SUM(Inputs!IM81:IM83))</f>
        <v>#VALUE!</v>
      </c>
      <c r="HZ40" s="0" t="e">
        <f aca="false">IF(HZ38="","",SUM(Inputs!IN81:IN83))</f>
        <v>#VALUE!</v>
      </c>
      <c r="IA40" s="0" t="e">
        <f aca="false">IF(IA38="","",SUM(Inputs!IO81:IO83))</f>
        <v>#VALUE!</v>
      </c>
      <c r="IB40" s="0" t="e">
        <f aca="false">IF(IB38="","",SUM(Inputs!IP81:IP83))</f>
        <v>#VALUE!</v>
      </c>
      <c r="IC40" s="0" t="e">
        <f aca="false">IF(IC38="","",SUM(Inputs!IQ81:IQ83))</f>
        <v>#VALUE!</v>
      </c>
      <c r="ID40" s="0" t="e">
        <f aca="false">IF(ID38="","",SUM(Inputs!IR81:IR83))</f>
        <v>#VALUE!</v>
      </c>
      <c r="IE40" s="0" t="e">
        <f aca="false">IF(IE38="","",SUM(Inputs!IS81:IS83))</f>
        <v>#VALUE!</v>
      </c>
      <c r="IF40" s="0" t="e">
        <f aca="false">IF(IF38="","",SUM(Inputs!IT81:IT83))</f>
        <v>#VALUE!</v>
      </c>
      <c r="IG40" s="0" t="e">
        <f aca="false">IF(IG38="","",SUM(Inputs!IU81:IU83))</f>
        <v>#VALUE!</v>
      </c>
      <c r="IH40" s="0" t="e">
        <f aca="false">IF(IH38="","",SUM(Inputs!IV81:IV83))</f>
        <v>#VALUE!</v>
      </c>
      <c r="II40" s="0" t="e">
        <f aca="false">IF(II38="","",SUM(Inputs!IW81:IW83))</f>
        <v>#VALUE!</v>
      </c>
    </row>
    <row r="41" customFormat="false" ht="15" hidden="false" customHeight="false" outlineLevel="0" collapsed="false">
      <c r="B41" s="0" t="s">
        <v>92</v>
      </c>
      <c r="C41" s="0" t="n">
        <f aca="false">IF(C38="","",Inputs!Q91)</f>
        <v>0</v>
      </c>
      <c r="D41" s="0" t="n">
        <f aca="false">IF(D38="","",Inputs!R91)</f>
        <v>8760.41666666667</v>
      </c>
      <c r="E41" s="0" t="n">
        <f aca="false">IF(E38="","",Inputs!S91)</f>
        <v>8760.41666666667</v>
      </c>
      <c r="F41" s="0" t="n">
        <f aca="false">IF(F38="","",Inputs!T91)</f>
        <v>8760.41666666667</v>
      </c>
      <c r="G41" s="0" t="n">
        <f aca="false">IF(G38="","",Inputs!U91)</f>
        <v>8760.41666666667</v>
      </c>
      <c r="H41" s="0" t="n">
        <f aca="false">IF(H38="","",Inputs!V91)</f>
        <v>8760.41666666667</v>
      </c>
      <c r="I41" s="0" t="n">
        <f aca="false">IF(I38="","",Inputs!W91)</f>
        <v>8760.41666666667</v>
      </c>
      <c r="J41" s="0" t="n">
        <f aca="false">IF(J38="","",Inputs!X91)</f>
        <v>8760.41666666667</v>
      </c>
      <c r="K41" s="0" t="n">
        <f aca="false">IF(K38="","",Inputs!Y91)</f>
        <v>8760.41666666667</v>
      </c>
      <c r="L41" s="0" t="n">
        <f aca="false">IF(L38="","",Inputs!Z91)</f>
        <v>8760.41666666667</v>
      </c>
      <c r="M41" s="0" t="n">
        <f aca="false">IF(M38="","",Inputs!AA91)</f>
        <v>8760.41666666667</v>
      </c>
      <c r="N41" s="0" t="n">
        <f aca="false">IF(N38="","",Inputs!AB91)</f>
        <v>8760.41666666667</v>
      </c>
      <c r="O41" s="0" t="n">
        <f aca="false">IF(O38="","",Inputs!AC91)</f>
        <v>8760.41666666667</v>
      </c>
      <c r="P41" s="0" t="n">
        <f aca="false">IF(P38="","",Inputs!AD91)</f>
        <v>8979.42708333333</v>
      </c>
      <c r="Q41" s="0" t="n">
        <f aca="false">IF(Q38="","",Inputs!AE91)</f>
        <v>8979.42708333333</v>
      </c>
      <c r="R41" s="0" t="n">
        <f aca="false">IF(R38="","",Inputs!AF91)</f>
        <v>8979.42708333333</v>
      </c>
      <c r="S41" s="0" t="n">
        <f aca="false">IF(S38="","",Inputs!AG91)</f>
        <v>8979.42708333333</v>
      </c>
      <c r="T41" s="0" t="n">
        <f aca="false">IF(T38="","",Inputs!AH91)</f>
        <v>8979.42708333333</v>
      </c>
      <c r="U41" s="0" t="n">
        <f aca="false">IF(U38="","",Inputs!AI91)</f>
        <v>8979.42708333333</v>
      </c>
      <c r="V41" s="0" t="n">
        <f aca="false">IF(V38="","",Inputs!AJ91)</f>
        <v>8979.42708333333</v>
      </c>
      <c r="W41" s="0" t="n">
        <f aca="false">IF(W38="","",Inputs!AK91)</f>
        <v>8979.42708333333</v>
      </c>
      <c r="X41" s="0" t="n">
        <f aca="false">IF(X38="","",Inputs!AL91)</f>
        <v>8979.42708333333</v>
      </c>
      <c r="Y41" s="0" t="n">
        <f aca="false">IF(Y38="","",Inputs!AM91)</f>
        <v>8979.42708333333</v>
      </c>
      <c r="Z41" s="0" t="n">
        <f aca="false">IF(Z38="","",Inputs!AN91)</f>
        <v>8979.42708333333</v>
      </c>
      <c r="AA41" s="0" t="n">
        <f aca="false">IF(AA38="","",Inputs!AO91)</f>
        <v>8979.42708333333</v>
      </c>
      <c r="AB41" s="0" t="n">
        <f aca="false">IF(AB38="","",Inputs!AP91)</f>
        <v>9203.91276041667</v>
      </c>
      <c r="AC41" s="0" t="n">
        <f aca="false">IF(AC38="","",Inputs!AQ91)</f>
        <v>9203.91276041667</v>
      </c>
      <c r="AD41" s="0" t="n">
        <f aca="false">IF(AD38="","",Inputs!AR91)</f>
        <v>9203.91276041667</v>
      </c>
      <c r="AE41" s="0" t="n">
        <f aca="false">IF(AE38="","",Inputs!AS91)</f>
        <v>9203.91276041667</v>
      </c>
      <c r="AF41" s="0" t="n">
        <f aca="false">IF(AF38="","",Inputs!AT91)</f>
        <v>9203.91276041667</v>
      </c>
      <c r="AG41" s="0" t="n">
        <f aca="false">IF(AG38="","",Inputs!AU91)</f>
        <v>9203.91276041667</v>
      </c>
      <c r="AH41" s="0" t="n">
        <f aca="false">IF(AH38="","",Inputs!AV91)</f>
        <v>9203.91276041667</v>
      </c>
      <c r="AI41" s="0" t="n">
        <f aca="false">IF(AI38="","",Inputs!AW91)</f>
        <v>9203.91276041667</v>
      </c>
      <c r="AJ41" s="0" t="n">
        <f aca="false">IF(AJ38="","",Inputs!AX91)</f>
        <v>9203.91276041667</v>
      </c>
      <c r="AK41" s="0" t="n">
        <f aca="false">IF(AK38="","",Inputs!AY91)</f>
        <v>9203.91276041667</v>
      </c>
      <c r="AL41" s="0" t="n">
        <f aca="false">IF(AL38="","",Inputs!AZ91)</f>
        <v>9203.91276041667</v>
      </c>
      <c r="AM41" s="0" t="n">
        <f aca="false">IF(AM38="","",Inputs!BA91)</f>
        <v>9203.91276041667</v>
      </c>
      <c r="AN41" s="0" t="n">
        <f aca="false">IF(AN38="","",Inputs!BB91)</f>
        <v>9434.01057942708</v>
      </c>
      <c r="AO41" s="0" t="n">
        <f aca="false">IF(AO38="","",Inputs!BC91)</f>
        <v>9434.01057942708</v>
      </c>
      <c r="AP41" s="0" t="n">
        <f aca="false">IF(AP38="","",Inputs!BD91)</f>
        <v>9434.01057942708</v>
      </c>
      <c r="AQ41" s="0" t="n">
        <f aca="false">IF(AQ38="","",Inputs!BE91)</f>
        <v>9434.01057942708</v>
      </c>
      <c r="AR41" s="0" t="n">
        <f aca="false">IF(AR38="","",Inputs!BF91)</f>
        <v>9434.01057942708</v>
      </c>
      <c r="AS41" s="0" t="n">
        <f aca="false">IF(AS38="","",Inputs!BG91)</f>
        <v>9434.01057942708</v>
      </c>
      <c r="AT41" s="0" t="n">
        <f aca="false">IF(AT38="","",Inputs!BH91)</f>
        <v>9434.01057942708</v>
      </c>
      <c r="AU41" s="0" t="n">
        <f aca="false">IF(AU38="","",Inputs!BI91)</f>
        <v>9434.01057942708</v>
      </c>
      <c r="AV41" s="0" t="n">
        <f aca="false">IF(AV38="","",Inputs!BJ91)</f>
        <v>9434.01057942708</v>
      </c>
      <c r="AW41" s="0" t="n">
        <f aca="false">IF(AW38="","",Inputs!BK91)</f>
        <v>9434.01057942708</v>
      </c>
      <c r="AX41" s="0" t="n">
        <f aca="false">IF(AX38="","",Inputs!BL91)</f>
        <v>9434.01057942708</v>
      </c>
      <c r="AY41" s="0" t="n">
        <f aca="false">IF(AY38="","",Inputs!BM91)</f>
        <v>9434.01057942708</v>
      </c>
      <c r="AZ41" s="0" t="n">
        <f aca="false">IF(AZ38="","",Inputs!BN91)</f>
        <v>9669.86084391276</v>
      </c>
      <c r="BA41" s="0" t="n">
        <f aca="false">IF(BA38="","",Inputs!BO91)</f>
        <v>9669.86084391276</v>
      </c>
      <c r="BB41" s="0" t="n">
        <f aca="false">IF(BB38="","",Inputs!BP91)</f>
        <v>9669.86084391276</v>
      </c>
      <c r="BC41" s="0" t="n">
        <f aca="false">IF(BC38="","",Inputs!BQ91)</f>
        <v>9669.86084391276</v>
      </c>
      <c r="BD41" s="0" t="n">
        <f aca="false">IF(BD38="","",Inputs!BR91)</f>
        <v>9669.86084391276</v>
      </c>
      <c r="BE41" s="0" t="n">
        <f aca="false">IF(BE38="","",Inputs!BS91)</f>
        <v>9669.86084391276</v>
      </c>
      <c r="BF41" s="0" t="n">
        <f aca="false">IF(BF38="","",Inputs!BT91)</f>
        <v>9669.86084391276</v>
      </c>
      <c r="BG41" s="0" t="n">
        <f aca="false">IF(BG38="","",Inputs!BU91)</f>
        <v>9669.86084391276</v>
      </c>
      <c r="BH41" s="0" t="n">
        <f aca="false">IF(BH38="","",Inputs!BV91)</f>
        <v>9669.86084391276</v>
      </c>
      <c r="BI41" s="0" t="n">
        <f aca="false">IF(BI38="","",Inputs!BW91)</f>
        <v>9669.86084391276</v>
      </c>
      <c r="BJ41" s="0" t="n">
        <f aca="false">IF(BJ38="","",Inputs!BX91)</f>
        <v>9669.86084391276</v>
      </c>
      <c r="BK41" s="0" t="n">
        <f aca="false">IF(BK38="","",Inputs!BY91)</f>
        <v>9669.86084391276</v>
      </c>
      <c r="BL41" s="0" t="n">
        <f aca="false">IF(BL38="","",Inputs!BZ91)</f>
        <v>9911.60736501057</v>
      </c>
      <c r="BM41" s="0" t="n">
        <f aca="false">IF(BM38="","",Inputs!CA91)</f>
        <v>9911.60736501057</v>
      </c>
      <c r="BN41" s="0" t="n">
        <f aca="false">IF(BN38="","",Inputs!CB91)</f>
        <v>9911.60736501057</v>
      </c>
      <c r="BO41" s="0" t="n">
        <f aca="false">IF(BO38="","",Inputs!CC91)</f>
        <v>9911.60736501057</v>
      </c>
      <c r="BP41" s="0" t="n">
        <f aca="false">IF(BP38="","",Inputs!CD91)</f>
        <v>9911.60736501057</v>
      </c>
      <c r="BQ41" s="0" t="n">
        <f aca="false">IF(BQ38="","",Inputs!CE91)</f>
        <v>9911.60736501057</v>
      </c>
      <c r="BR41" s="0" t="n">
        <f aca="false">IF(BR38="","",Inputs!CF91)</f>
        <v>9911.60736501057</v>
      </c>
      <c r="BS41" s="0" t="n">
        <f aca="false">IF(BS38="","",Inputs!CG91)</f>
        <v>9911.60736501057</v>
      </c>
      <c r="BT41" s="0" t="n">
        <f aca="false">IF(BT38="","",Inputs!CH91)</f>
        <v>9911.60736501057</v>
      </c>
      <c r="BU41" s="0" t="n">
        <f aca="false">IF(BU38="","",Inputs!CI91)</f>
        <v>9911.60736501057</v>
      </c>
      <c r="BV41" s="0" t="n">
        <f aca="false">IF(BV38="","",Inputs!CJ91)</f>
        <v>9911.60736501057</v>
      </c>
      <c r="BW41" s="0" t="n">
        <f aca="false">IF(BW38="","",Inputs!CK91)</f>
        <v>9911.60736501057</v>
      </c>
      <c r="BX41" s="0" t="n">
        <f aca="false">IF(BX38="","",Inputs!CL91)</f>
        <v>10159.3975491358</v>
      </c>
      <c r="BY41" s="0" t="n">
        <f aca="false">IF(BY38="","",Inputs!CM91)</f>
        <v>10159.3975491358</v>
      </c>
      <c r="BZ41" s="0" t="n">
        <f aca="false">IF(BZ38="","",Inputs!CN91)</f>
        <v>10159.3975491358</v>
      </c>
      <c r="CA41" s="0" t="n">
        <f aca="false">IF(CA38="","",Inputs!CO91)</f>
        <v>10159.3975491358</v>
      </c>
      <c r="CB41" s="0" t="n">
        <f aca="false">IF(CB38="","",Inputs!CP91)</f>
        <v>10159.3975491358</v>
      </c>
      <c r="CC41" s="0" t="n">
        <f aca="false">IF(CC38="","",Inputs!CQ91)</f>
        <v>10159.3975491358</v>
      </c>
      <c r="CD41" s="0" t="n">
        <f aca="false">IF(CD38="","",Inputs!CR91)</f>
        <v>10159.3975491358</v>
      </c>
      <c r="CE41" s="0" t="n">
        <f aca="false">IF(CE38="","",Inputs!CS91)</f>
        <v>10159.3975491358</v>
      </c>
      <c r="CF41" s="0" t="n">
        <f aca="false">IF(CF38="","",Inputs!CT91)</f>
        <v>10159.3975491358</v>
      </c>
      <c r="CG41" s="0" t="n">
        <f aca="false">IF(CG38="","",Inputs!CU91)</f>
        <v>10159.3975491358</v>
      </c>
      <c r="CH41" s="0" t="n">
        <f aca="false">IF(CH38="","",Inputs!CV91)</f>
        <v>10159.3975491358</v>
      </c>
      <c r="CI41" s="0" t="n">
        <f aca="false">IF(CI38="","",Inputs!CW91)</f>
        <v>10159.3975491358</v>
      </c>
      <c r="CJ41" s="0" t="n">
        <f aca="false">IF(CJ38="","",Inputs!CX91)</f>
        <v>10413.3824878642</v>
      </c>
      <c r="CK41" s="0" t="n">
        <f aca="false">IF(CK38="","",Inputs!CY91)</f>
        <v>10413.3824878642</v>
      </c>
      <c r="CL41" s="0" t="n">
        <f aca="false">IF(CL38="","",Inputs!CZ91)</f>
        <v>10413.3824878642</v>
      </c>
      <c r="CM41" s="0" t="n">
        <f aca="false">IF(CM38="","",Inputs!DA91)</f>
        <v>10413.3824878642</v>
      </c>
      <c r="CN41" s="0" t="n">
        <f aca="false">IF(CN38="","",Inputs!DB91)</f>
        <v>10413.3824878642</v>
      </c>
      <c r="CO41" s="0" t="n">
        <f aca="false">IF(CO38="","",Inputs!DC91)</f>
        <v>10413.3824878642</v>
      </c>
      <c r="CP41" s="0" t="n">
        <f aca="false">IF(CP38="","",Inputs!DD91)</f>
        <v>10413.3824878642</v>
      </c>
      <c r="CQ41" s="0" t="n">
        <f aca="false">IF(CQ38="","",Inputs!DE91)</f>
        <v>10413.3824878642</v>
      </c>
      <c r="CR41" s="0" t="n">
        <f aca="false">IF(CR38="","",Inputs!DF91)</f>
        <v>10413.3824878642</v>
      </c>
      <c r="CS41" s="0" t="n">
        <f aca="false">IF(CS38="","",Inputs!DG91)</f>
        <v>10413.3824878642</v>
      </c>
      <c r="CT41" s="0" t="n">
        <f aca="false">IF(CT38="","",Inputs!DH91)</f>
        <v>10413.3824878642</v>
      </c>
      <c r="CU41" s="0" t="n">
        <f aca="false">IF(CU38="","",Inputs!DI91)</f>
        <v>10413.3824878642</v>
      </c>
      <c r="CV41" s="0" t="n">
        <f aca="false">IF(CV38="","",Inputs!DJ91)</f>
        <v>10673.7170500608</v>
      </c>
      <c r="CW41" s="0" t="n">
        <f aca="false">IF(CW38="","",Inputs!DK91)</f>
        <v>10673.7170500608</v>
      </c>
      <c r="CX41" s="0" t="n">
        <f aca="false">IF(CX38="","",Inputs!DL91)</f>
        <v>10673.7170500608</v>
      </c>
      <c r="CY41" s="0" t="n">
        <f aca="false">IF(CY38="","",Inputs!DM91)</f>
        <v>10673.7170500608</v>
      </c>
      <c r="CZ41" s="0" t="n">
        <f aca="false">IF(CZ38="","",Inputs!DN91)</f>
        <v>10673.7170500608</v>
      </c>
      <c r="DA41" s="0" t="n">
        <f aca="false">IF(DA38="","",Inputs!DO91)</f>
        <v>10673.7170500608</v>
      </c>
      <c r="DB41" s="0" t="n">
        <f aca="false">IF(DB38="","",Inputs!DP91)</f>
        <v>10673.7170500608</v>
      </c>
      <c r="DC41" s="0" t="n">
        <f aca="false">IF(DC38="","",Inputs!DQ91)</f>
        <v>10673.7170500608</v>
      </c>
      <c r="DD41" s="0" t="n">
        <f aca="false">IF(DD38="","",Inputs!DR91)</f>
        <v>10673.7170500608</v>
      </c>
      <c r="DE41" s="0" t="n">
        <f aca="false">IF(DE38="","",Inputs!DS91)</f>
        <v>10673.7170500608</v>
      </c>
      <c r="DF41" s="0" t="n">
        <f aca="false">IF(DF38="","",Inputs!DT91)</f>
        <v>10673.7170500608</v>
      </c>
      <c r="DG41" s="0" t="n">
        <f aca="false">IF(DG38="","",Inputs!DU91)</f>
        <v>10673.7170500608</v>
      </c>
      <c r="DH41" s="0" t="n">
        <f aca="false">IF(DH38="","",Inputs!DV91)</f>
        <v>10940.5599763124</v>
      </c>
      <c r="DI41" s="0" t="n">
        <f aca="false">IF(DI38="","",Inputs!DW91)</f>
        <v>10940.5599763124</v>
      </c>
      <c r="DJ41" s="0" t="n">
        <f aca="false">IF(DJ38="","",Inputs!DX91)</f>
        <v>10940.5599763124</v>
      </c>
      <c r="DK41" s="0" t="n">
        <f aca="false">IF(DK38="","",Inputs!DY91)</f>
        <v>10940.5599763124</v>
      </c>
      <c r="DL41" s="0" t="n">
        <f aca="false">IF(DL38="","",Inputs!DZ91)</f>
        <v>10940.5599763124</v>
      </c>
      <c r="DM41" s="0" t="n">
        <f aca="false">IF(DM38="","",Inputs!EA91)</f>
        <v>10940.5599763124</v>
      </c>
      <c r="DN41" s="0" t="n">
        <f aca="false">IF(DN38="","",Inputs!EB91)</f>
        <v>10940.5599763124</v>
      </c>
      <c r="DO41" s="0" t="n">
        <f aca="false">IF(DO38="","",Inputs!EC91)</f>
        <v>10940.5599763124</v>
      </c>
      <c r="DP41" s="0" t="n">
        <f aca="false">IF(DP38="","",Inputs!ED91)</f>
        <v>10940.5599763124</v>
      </c>
      <c r="DQ41" s="0" t="n">
        <f aca="false">IF(DQ38="","",Inputs!EE91)</f>
        <v>10940.5599763124</v>
      </c>
      <c r="DR41" s="0" t="n">
        <f aca="false">IF(DR38="","",Inputs!EF91)</f>
        <v>10940.5599763124</v>
      </c>
      <c r="DS41" s="0" t="n">
        <f aca="false">IF(DS38="","",Inputs!EG91)</f>
        <v>10940.5599763124</v>
      </c>
      <c r="DT41" s="0" t="n">
        <f aca="false">IF(DT38="","",Inputs!EH91)</f>
        <v>11214.0739757202</v>
      </c>
      <c r="DU41" s="0" t="n">
        <f aca="false">IF(DU38="","",Inputs!EI91)</f>
        <v>11214.0739757202</v>
      </c>
      <c r="DV41" s="0" t="n">
        <f aca="false">IF(DV38="","",Inputs!EJ91)</f>
        <v>11214.0739757202</v>
      </c>
      <c r="DW41" s="0" t="n">
        <f aca="false">IF(DW38="","",Inputs!EK91)</f>
        <v>11214.0739757202</v>
      </c>
      <c r="DX41" s="0" t="n">
        <f aca="false">IF(DX38="","",Inputs!EL91)</f>
        <v>11214.0739757202</v>
      </c>
      <c r="DY41" s="0" t="n">
        <f aca="false">IF(DY38="","",Inputs!EM91)</f>
        <v>11214.0739757202</v>
      </c>
      <c r="DZ41" s="0" t="n">
        <f aca="false">IF(DZ38="","",Inputs!EN91)</f>
        <v>11214.0739757202</v>
      </c>
      <c r="EA41" s="0" t="n">
        <f aca="false">IF(EA38="","",Inputs!EO91)</f>
        <v>11214.0739757202</v>
      </c>
      <c r="EB41" s="0" t="n">
        <f aca="false">IF(EB38="","",Inputs!EP91)</f>
        <v>11214.0739757202</v>
      </c>
      <c r="EC41" s="0" t="n">
        <f aca="false">IF(EC38="","",Inputs!EQ91)</f>
        <v>11214.0739757202</v>
      </c>
      <c r="ED41" s="0" t="n">
        <f aca="false">IF(ED38="","",Inputs!ER91)</f>
        <v>11214.0739757202</v>
      </c>
      <c r="EE41" s="0" t="n">
        <f aca="false">IF(EE38="","",Inputs!ES91)</f>
        <v>11214.0739757202</v>
      </c>
      <c r="EF41" s="0" t="n">
        <f aca="false">IF(EF38="","",Inputs!ET91)</f>
        <v>11494.4258251132</v>
      </c>
      <c r="EG41" s="0" t="n">
        <f aca="false">IF(EG38="","",Inputs!EU91)</f>
        <v>11494.4258251132</v>
      </c>
      <c r="EH41" s="0" t="n">
        <f aca="false">IF(EH38="","",Inputs!EV91)</f>
        <v>11494.4258251132</v>
      </c>
      <c r="EI41" s="0" t="n">
        <f aca="false">IF(EI38="","",Inputs!EW91)</f>
        <v>11494.4258251132</v>
      </c>
      <c r="EJ41" s="0" t="n">
        <f aca="false">IF(EJ38="","",Inputs!EX91)</f>
        <v>11494.4258251132</v>
      </c>
      <c r="EK41" s="0" t="n">
        <f aca="false">IF(EK38="","",Inputs!EY91)</f>
        <v>11494.4258251132</v>
      </c>
      <c r="EL41" s="0" t="n">
        <f aca="false">IF(EL38="","",Inputs!EZ91)</f>
        <v>11494.4258251132</v>
      </c>
      <c r="EM41" s="0" t="n">
        <f aca="false">IF(EM38="","",Inputs!FA91)</f>
        <v>11494.4258251132</v>
      </c>
      <c r="EN41" s="0" t="n">
        <f aca="false">IF(EN38="","",Inputs!FB91)</f>
        <v>11494.4258251132</v>
      </c>
      <c r="EO41" s="0" t="n">
        <f aca="false">IF(EO38="","",Inputs!FC91)</f>
        <v>11494.4258251132</v>
      </c>
      <c r="EP41" s="0" t="n">
        <f aca="false">IF(EP38="","",Inputs!FD91)</f>
        <v>11494.4258251132</v>
      </c>
      <c r="EQ41" s="0" t="n">
        <f aca="false">IF(EQ38="","",Inputs!FE91)</f>
        <v>11494.4258251132</v>
      </c>
      <c r="ER41" s="0" t="n">
        <f aca="false">IF(ER38="","",Inputs!FF91)</f>
        <v>11781.786470741</v>
      </c>
      <c r="ES41" s="0" t="n">
        <f aca="false">IF(ES38="","",Inputs!FG91)</f>
        <v>11781.786470741</v>
      </c>
      <c r="ET41" s="0" t="n">
        <f aca="false">IF(ET38="","",Inputs!FH91)</f>
        <v>11781.786470741</v>
      </c>
      <c r="EU41" s="0" t="n">
        <f aca="false">IF(EU38="","",Inputs!FI91)</f>
        <v>11781.786470741</v>
      </c>
      <c r="EV41" s="0" t="n">
        <f aca="false">IF(EV38="","",Inputs!FJ91)</f>
        <v>11781.786470741</v>
      </c>
      <c r="EW41" s="0" t="n">
        <f aca="false">IF(EW38="","",Inputs!FK91)</f>
        <v>11781.786470741</v>
      </c>
      <c r="EX41" s="0" t="n">
        <f aca="false">IF(EX38="","",Inputs!FL91)</f>
        <v>11781.786470741</v>
      </c>
      <c r="EY41" s="0" t="n">
        <f aca="false">IF(EY38="","",Inputs!FM91)</f>
        <v>11781.786470741</v>
      </c>
      <c r="EZ41" s="0" t="n">
        <f aca="false">IF(EZ38="","",Inputs!FN91)</f>
        <v>11781.786470741</v>
      </c>
      <c r="FA41" s="0" t="n">
        <f aca="false">IF(FA38="","",Inputs!FO91)</f>
        <v>11781.786470741</v>
      </c>
      <c r="FB41" s="0" t="n">
        <f aca="false">IF(FB38="","",Inputs!FP91)</f>
        <v>11781.786470741</v>
      </c>
      <c r="FC41" s="0" t="n">
        <f aca="false">IF(FC38="","",Inputs!FQ91)</f>
        <v>11781.786470741</v>
      </c>
      <c r="FD41" s="0" t="str">
        <f aca="false">IF(FD38="","",Inputs!FR91)</f>
        <v/>
      </c>
      <c r="FE41" s="0" t="e">
        <f aca="false">IF(FE38="","",Inputs!FS91)</f>
        <v>#VALUE!</v>
      </c>
      <c r="FF41" s="0" t="e">
        <f aca="false">IF(FF38="","",Inputs!FT91)</f>
        <v>#VALUE!</v>
      </c>
      <c r="FG41" s="0" t="e">
        <f aca="false">IF(FG38="","",Inputs!FU91)</f>
        <v>#VALUE!</v>
      </c>
      <c r="FH41" s="0" t="e">
        <f aca="false">IF(FH38="","",Inputs!FV91)</f>
        <v>#VALUE!</v>
      </c>
      <c r="FI41" s="0" t="e">
        <f aca="false">IF(FI38="","",Inputs!FW91)</f>
        <v>#VALUE!</v>
      </c>
      <c r="FJ41" s="0" t="e">
        <f aca="false">IF(FJ38="","",Inputs!FX91)</f>
        <v>#VALUE!</v>
      </c>
      <c r="FK41" s="0" t="e">
        <f aca="false">IF(FK38="","",Inputs!FY91)</f>
        <v>#VALUE!</v>
      </c>
      <c r="FL41" s="0" t="e">
        <f aca="false">IF(FL38="","",Inputs!FZ91)</f>
        <v>#VALUE!</v>
      </c>
      <c r="FM41" s="0" t="e">
        <f aca="false">IF(FM38="","",Inputs!GA91)</f>
        <v>#VALUE!</v>
      </c>
      <c r="FN41" s="0" t="e">
        <f aca="false">IF(FN38="","",Inputs!GB91)</f>
        <v>#VALUE!</v>
      </c>
      <c r="FO41" s="0" t="e">
        <f aca="false">IF(FO38="","",Inputs!GC91)</f>
        <v>#VALUE!</v>
      </c>
      <c r="FP41" s="0" t="e">
        <f aca="false">IF(FP38="","",Inputs!GD91)</f>
        <v>#VALUE!</v>
      </c>
      <c r="FQ41" s="0" t="e">
        <f aca="false">IF(FQ38="","",Inputs!GE91)</f>
        <v>#VALUE!</v>
      </c>
      <c r="FR41" s="0" t="e">
        <f aca="false">IF(FR38="","",Inputs!GF91)</f>
        <v>#VALUE!</v>
      </c>
      <c r="FS41" s="0" t="e">
        <f aca="false">IF(FS38="","",Inputs!GG91)</f>
        <v>#VALUE!</v>
      </c>
      <c r="FT41" s="0" t="e">
        <f aca="false">IF(FT38="","",Inputs!GH91)</f>
        <v>#VALUE!</v>
      </c>
      <c r="FU41" s="0" t="e">
        <f aca="false">IF(FU38="","",Inputs!GI91)</f>
        <v>#VALUE!</v>
      </c>
      <c r="FV41" s="0" t="e">
        <f aca="false">IF(FV38="","",Inputs!GJ91)</f>
        <v>#VALUE!</v>
      </c>
      <c r="FW41" s="0" t="e">
        <f aca="false">IF(FW38="","",Inputs!GK91)</f>
        <v>#VALUE!</v>
      </c>
      <c r="FX41" s="0" t="e">
        <f aca="false">IF(FX38="","",Inputs!GL91)</f>
        <v>#VALUE!</v>
      </c>
      <c r="FY41" s="0" t="e">
        <f aca="false">IF(FY38="","",Inputs!GM91)</f>
        <v>#VALUE!</v>
      </c>
      <c r="FZ41" s="0" t="e">
        <f aca="false">IF(FZ38="","",Inputs!GN91)</f>
        <v>#VALUE!</v>
      </c>
      <c r="GA41" s="0" t="e">
        <f aca="false">IF(GA38="","",Inputs!GO91)</f>
        <v>#VALUE!</v>
      </c>
      <c r="GB41" s="0" t="e">
        <f aca="false">IF(GB38="","",Inputs!GP91)</f>
        <v>#VALUE!</v>
      </c>
      <c r="GC41" s="0" t="e">
        <f aca="false">IF(GC38="","",Inputs!GQ91)</f>
        <v>#VALUE!</v>
      </c>
      <c r="GD41" s="0" t="e">
        <f aca="false">IF(GD38="","",Inputs!GR91)</f>
        <v>#VALUE!</v>
      </c>
      <c r="GE41" s="0" t="e">
        <f aca="false">IF(GE38="","",Inputs!GS91)</f>
        <v>#VALUE!</v>
      </c>
      <c r="GF41" s="0" t="e">
        <f aca="false">IF(GF38="","",Inputs!GT91)</f>
        <v>#VALUE!</v>
      </c>
      <c r="GG41" s="0" t="e">
        <f aca="false">IF(GG38="","",Inputs!GU91)</f>
        <v>#VALUE!</v>
      </c>
      <c r="GH41" s="0" t="e">
        <f aca="false">IF(GH38="","",Inputs!GV91)</f>
        <v>#VALUE!</v>
      </c>
      <c r="GI41" s="0" t="e">
        <f aca="false">IF(GI38="","",Inputs!GW91)</f>
        <v>#VALUE!</v>
      </c>
      <c r="GJ41" s="0" t="e">
        <f aca="false">IF(GJ38="","",Inputs!GX91)</f>
        <v>#VALUE!</v>
      </c>
      <c r="GK41" s="0" t="e">
        <f aca="false">IF(GK38="","",Inputs!GY91)</f>
        <v>#VALUE!</v>
      </c>
      <c r="GL41" s="0" t="e">
        <f aca="false">IF(GL38="","",Inputs!GZ91)</f>
        <v>#VALUE!</v>
      </c>
      <c r="GM41" s="0" t="e">
        <f aca="false">IF(GM38="","",Inputs!HA91)</f>
        <v>#VALUE!</v>
      </c>
      <c r="GN41" s="0" t="e">
        <f aca="false">IF(GN38="","",Inputs!HB91)</f>
        <v>#VALUE!</v>
      </c>
      <c r="GO41" s="0" t="e">
        <f aca="false">IF(GO38="","",Inputs!HC91)</f>
        <v>#VALUE!</v>
      </c>
      <c r="GP41" s="0" t="e">
        <f aca="false">IF(GP38="","",Inputs!HD91)</f>
        <v>#VALUE!</v>
      </c>
      <c r="GQ41" s="0" t="e">
        <f aca="false">IF(GQ38="","",Inputs!HE91)</f>
        <v>#VALUE!</v>
      </c>
      <c r="GR41" s="0" t="e">
        <f aca="false">IF(GR38="","",Inputs!HF91)</f>
        <v>#VALUE!</v>
      </c>
      <c r="GS41" s="0" t="e">
        <f aca="false">IF(GS38="","",Inputs!HG91)</f>
        <v>#VALUE!</v>
      </c>
      <c r="GT41" s="0" t="e">
        <f aca="false">IF(GT38="","",Inputs!HH91)</f>
        <v>#VALUE!</v>
      </c>
      <c r="GU41" s="0" t="e">
        <f aca="false">IF(GU38="","",Inputs!HI91)</f>
        <v>#VALUE!</v>
      </c>
      <c r="GV41" s="0" t="e">
        <f aca="false">IF(GV38="","",Inputs!HJ91)</f>
        <v>#VALUE!</v>
      </c>
      <c r="GW41" s="0" t="e">
        <f aca="false">IF(GW38="","",Inputs!HK91)</f>
        <v>#VALUE!</v>
      </c>
      <c r="GX41" s="0" t="e">
        <f aca="false">IF(GX38="","",Inputs!HL91)</f>
        <v>#VALUE!</v>
      </c>
      <c r="GY41" s="0" t="e">
        <f aca="false">IF(GY38="","",Inputs!HM91)</f>
        <v>#VALUE!</v>
      </c>
      <c r="GZ41" s="0" t="e">
        <f aca="false">IF(GZ38="","",Inputs!HN91)</f>
        <v>#VALUE!</v>
      </c>
      <c r="HA41" s="0" t="e">
        <f aca="false">IF(HA38="","",Inputs!HO91)</f>
        <v>#VALUE!</v>
      </c>
      <c r="HB41" s="0" t="e">
        <f aca="false">IF(HB38="","",Inputs!HP91)</f>
        <v>#VALUE!</v>
      </c>
      <c r="HC41" s="0" t="e">
        <f aca="false">IF(HC38="","",Inputs!HQ91)</f>
        <v>#VALUE!</v>
      </c>
      <c r="HD41" s="0" t="e">
        <f aca="false">IF(HD38="","",Inputs!HR91)</f>
        <v>#VALUE!</v>
      </c>
      <c r="HE41" s="0" t="e">
        <f aca="false">IF(HE38="","",Inputs!HS91)</f>
        <v>#VALUE!</v>
      </c>
      <c r="HF41" s="0" t="e">
        <f aca="false">IF(HF38="","",Inputs!HT91)</f>
        <v>#VALUE!</v>
      </c>
      <c r="HG41" s="0" t="e">
        <f aca="false">IF(HG38="","",Inputs!HU91)</f>
        <v>#VALUE!</v>
      </c>
      <c r="HH41" s="0" t="e">
        <f aca="false">IF(HH38="","",Inputs!HV91)</f>
        <v>#VALUE!</v>
      </c>
      <c r="HI41" s="0" t="e">
        <f aca="false">IF(HI38="","",Inputs!HW91)</f>
        <v>#VALUE!</v>
      </c>
      <c r="HJ41" s="0" t="e">
        <f aca="false">IF(HJ38="","",Inputs!HX91)</f>
        <v>#VALUE!</v>
      </c>
      <c r="HK41" s="0" t="e">
        <f aca="false">IF(HK38="","",Inputs!HY91)</f>
        <v>#VALUE!</v>
      </c>
      <c r="HL41" s="0" t="e">
        <f aca="false">IF(HL38="","",Inputs!HZ91)</f>
        <v>#VALUE!</v>
      </c>
      <c r="HM41" s="0" t="e">
        <f aca="false">IF(HM38="","",Inputs!IA91)</f>
        <v>#VALUE!</v>
      </c>
      <c r="HN41" s="0" t="e">
        <f aca="false">IF(HN38="","",Inputs!IB91)</f>
        <v>#VALUE!</v>
      </c>
      <c r="HO41" s="0" t="e">
        <f aca="false">IF(HO38="","",Inputs!IC91)</f>
        <v>#VALUE!</v>
      </c>
      <c r="HP41" s="0" t="e">
        <f aca="false">IF(HP38="","",Inputs!ID91)</f>
        <v>#VALUE!</v>
      </c>
      <c r="HQ41" s="0" t="e">
        <f aca="false">IF(HQ38="","",Inputs!IE91)</f>
        <v>#VALUE!</v>
      </c>
      <c r="HR41" s="0" t="e">
        <f aca="false">IF(HR38="","",Inputs!IF91)</f>
        <v>#VALUE!</v>
      </c>
      <c r="HS41" s="0" t="e">
        <f aca="false">IF(HS38="","",Inputs!IG91)</f>
        <v>#VALUE!</v>
      </c>
      <c r="HT41" s="0" t="e">
        <f aca="false">IF(HT38="","",Inputs!IH91)</f>
        <v>#VALUE!</v>
      </c>
      <c r="HU41" s="0" t="e">
        <f aca="false">IF(HU38="","",Inputs!II91)</f>
        <v>#VALUE!</v>
      </c>
      <c r="HV41" s="0" t="e">
        <f aca="false">IF(HV38="","",Inputs!IJ91)</f>
        <v>#VALUE!</v>
      </c>
      <c r="HW41" s="0" t="e">
        <f aca="false">IF(HW38="","",Inputs!IK91)</f>
        <v>#VALUE!</v>
      </c>
      <c r="HX41" s="0" t="e">
        <f aca="false">IF(HX38="","",Inputs!IL91)</f>
        <v>#VALUE!</v>
      </c>
      <c r="HY41" s="0" t="e">
        <f aca="false">IF(HY38="","",Inputs!IM91)</f>
        <v>#VALUE!</v>
      </c>
      <c r="HZ41" s="0" t="e">
        <f aca="false">IF(HZ38="","",Inputs!IN91)</f>
        <v>#VALUE!</v>
      </c>
      <c r="IA41" s="0" t="e">
        <f aca="false">IF(IA38="","",Inputs!IO91)</f>
        <v>#VALUE!</v>
      </c>
      <c r="IB41" s="0" t="e">
        <f aca="false">IF(IB38="","",Inputs!IP91)</f>
        <v>#VALUE!</v>
      </c>
      <c r="IC41" s="0" t="e">
        <f aca="false">IF(IC38="","",Inputs!IQ91)</f>
        <v>#VALUE!</v>
      </c>
      <c r="ID41" s="0" t="e">
        <f aca="false">IF(ID38="","",Inputs!IR91)</f>
        <v>#VALUE!</v>
      </c>
      <c r="IE41" s="0" t="e">
        <f aca="false">IF(IE38="","",Inputs!IS91)</f>
        <v>#VALUE!</v>
      </c>
      <c r="IF41" s="0" t="e">
        <f aca="false">IF(IF38="","",Inputs!IT91)</f>
        <v>#VALUE!</v>
      </c>
      <c r="IG41" s="0" t="e">
        <f aca="false">IF(IG38="","",Inputs!IU91)</f>
        <v>#VALUE!</v>
      </c>
      <c r="IH41" s="0" t="e">
        <f aca="false">IF(IH38="","",Inputs!IV91)</f>
        <v>#VALUE!</v>
      </c>
      <c r="II41" s="0" t="e">
        <f aca="false">IF(II38="","",Inputs!IW91)</f>
        <v>#VALUE!</v>
      </c>
    </row>
    <row r="42" customFormat="false" ht="15" hidden="false" customHeight="false" outlineLevel="0" collapsed="false">
      <c r="B42" s="0" t="s">
        <v>66</v>
      </c>
      <c r="C42" s="0" t="n">
        <f aca="false">IF(C38="","",Inputs!Q96)</f>
        <v>0</v>
      </c>
      <c r="D42" s="0" t="n">
        <f aca="false">IF(D38="","",Inputs!R96)</f>
        <v>125</v>
      </c>
      <c r="E42" s="0" t="n">
        <f aca="false">IF(E38="","",Inputs!S96)</f>
        <v>125</v>
      </c>
      <c r="F42" s="0" t="n">
        <f aca="false">IF(F38="","",Inputs!T96)</f>
        <v>125</v>
      </c>
      <c r="G42" s="0" t="n">
        <f aca="false">IF(G38="","",Inputs!U96)</f>
        <v>125</v>
      </c>
      <c r="H42" s="0" t="n">
        <f aca="false">IF(H38="","",Inputs!V96)</f>
        <v>125</v>
      </c>
      <c r="I42" s="0" t="n">
        <f aca="false">IF(I38="","",Inputs!W96)</f>
        <v>125</v>
      </c>
      <c r="J42" s="0" t="n">
        <f aca="false">IF(J38="","",Inputs!X96)</f>
        <v>125</v>
      </c>
      <c r="K42" s="0" t="n">
        <f aca="false">IF(K38="","",Inputs!Y96)</f>
        <v>125</v>
      </c>
      <c r="L42" s="0" t="n">
        <f aca="false">IF(L38="","",Inputs!Z96)</f>
        <v>125</v>
      </c>
      <c r="M42" s="0" t="n">
        <f aca="false">IF(M38="","",Inputs!AA96)</f>
        <v>125</v>
      </c>
      <c r="N42" s="0" t="n">
        <f aca="false">IF(N38="","",Inputs!AB96)</f>
        <v>125</v>
      </c>
      <c r="O42" s="0" t="n">
        <f aca="false">IF(O38="","",Inputs!AC96)</f>
        <v>125</v>
      </c>
      <c r="P42" s="0" t="n">
        <f aca="false">IF(P38="","",Inputs!AD96)</f>
        <v>127.5</v>
      </c>
      <c r="Q42" s="0" t="n">
        <f aca="false">IF(Q38="","",Inputs!AE96)</f>
        <v>127.5</v>
      </c>
      <c r="R42" s="0" t="n">
        <f aca="false">IF(R38="","",Inputs!AF96)</f>
        <v>127.5</v>
      </c>
      <c r="S42" s="0" t="n">
        <f aca="false">IF(S38="","",Inputs!AG96)</f>
        <v>127.5</v>
      </c>
      <c r="T42" s="0" t="n">
        <f aca="false">IF(T38="","",Inputs!AH96)</f>
        <v>127.5</v>
      </c>
      <c r="U42" s="0" t="n">
        <f aca="false">IF(U38="","",Inputs!AI96)</f>
        <v>127.5</v>
      </c>
      <c r="V42" s="0" t="n">
        <f aca="false">IF(V38="","",Inputs!AJ96)</f>
        <v>127.5</v>
      </c>
      <c r="W42" s="0" t="n">
        <f aca="false">IF(W38="","",Inputs!AK96)</f>
        <v>127.5</v>
      </c>
      <c r="X42" s="0" t="n">
        <f aca="false">IF(X38="","",Inputs!AL96)</f>
        <v>127.5</v>
      </c>
      <c r="Y42" s="0" t="n">
        <f aca="false">IF(Y38="","",Inputs!AM96)</f>
        <v>127.5</v>
      </c>
      <c r="Z42" s="0" t="n">
        <f aca="false">IF(Z38="","",Inputs!AN96)</f>
        <v>127.5</v>
      </c>
      <c r="AA42" s="0" t="n">
        <f aca="false">IF(AA38="","",Inputs!AO96)</f>
        <v>127.5</v>
      </c>
      <c r="AB42" s="0" t="n">
        <f aca="false">IF(AB38="","",Inputs!AP96)</f>
        <v>130.05</v>
      </c>
      <c r="AC42" s="0" t="n">
        <f aca="false">IF(AC38="","",Inputs!AQ96)</f>
        <v>130.05</v>
      </c>
      <c r="AD42" s="0" t="n">
        <f aca="false">IF(AD38="","",Inputs!AR96)</f>
        <v>130.05</v>
      </c>
      <c r="AE42" s="0" t="n">
        <f aca="false">IF(AE38="","",Inputs!AS96)</f>
        <v>130.05</v>
      </c>
      <c r="AF42" s="0" t="n">
        <f aca="false">IF(AF38="","",Inputs!AT96)</f>
        <v>130.05</v>
      </c>
      <c r="AG42" s="0" t="n">
        <f aca="false">IF(AG38="","",Inputs!AU96)</f>
        <v>130.05</v>
      </c>
      <c r="AH42" s="0" t="n">
        <f aca="false">IF(AH38="","",Inputs!AV96)</f>
        <v>130.05</v>
      </c>
      <c r="AI42" s="0" t="n">
        <f aca="false">IF(AI38="","",Inputs!AW96)</f>
        <v>130.05</v>
      </c>
      <c r="AJ42" s="0" t="n">
        <f aca="false">IF(AJ38="","",Inputs!AX96)</f>
        <v>130.05</v>
      </c>
      <c r="AK42" s="0" t="n">
        <f aca="false">IF(AK38="","",Inputs!AY96)</f>
        <v>130.05</v>
      </c>
      <c r="AL42" s="0" t="n">
        <f aca="false">IF(AL38="","",Inputs!AZ96)</f>
        <v>130.05</v>
      </c>
      <c r="AM42" s="0" t="n">
        <f aca="false">IF(AM38="","",Inputs!BA96)</f>
        <v>130.05</v>
      </c>
      <c r="AN42" s="0" t="n">
        <f aca="false">IF(AN38="","",Inputs!BB96)</f>
        <v>132.651</v>
      </c>
      <c r="AO42" s="0" t="n">
        <f aca="false">IF(AO38="","",Inputs!BC96)</f>
        <v>132.651</v>
      </c>
      <c r="AP42" s="0" t="n">
        <f aca="false">IF(AP38="","",Inputs!BD96)</f>
        <v>132.651</v>
      </c>
      <c r="AQ42" s="0" t="n">
        <f aca="false">IF(AQ38="","",Inputs!BE96)</f>
        <v>132.651</v>
      </c>
      <c r="AR42" s="0" t="n">
        <f aca="false">IF(AR38="","",Inputs!BF96)</f>
        <v>132.651</v>
      </c>
      <c r="AS42" s="0" t="n">
        <f aca="false">IF(AS38="","",Inputs!BG96)</f>
        <v>132.651</v>
      </c>
      <c r="AT42" s="0" t="n">
        <f aca="false">IF(AT38="","",Inputs!BH96)</f>
        <v>132.651</v>
      </c>
      <c r="AU42" s="0" t="n">
        <f aca="false">IF(AU38="","",Inputs!BI96)</f>
        <v>132.651</v>
      </c>
      <c r="AV42" s="0" t="n">
        <f aca="false">IF(AV38="","",Inputs!BJ96)</f>
        <v>132.651</v>
      </c>
      <c r="AW42" s="0" t="n">
        <f aca="false">IF(AW38="","",Inputs!BK96)</f>
        <v>132.651</v>
      </c>
      <c r="AX42" s="0" t="n">
        <f aca="false">IF(AX38="","",Inputs!BL96)</f>
        <v>132.651</v>
      </c>
      <c r="AY42" s="0" t="n">
        <f aca="false">IF(AY38="","",Inputs!BM96)</f>
        <v>132.651</v>
      </c>
      <c r="AZ42" s="0" t="n">
        <f aca="false">IF(AZ38="","",Inputs!BN96)</f>
        <v>135.30402</v>
      </c>
      <c r="BA42" s="0" t="n">
        <f aca="false">IF(BA38="","",Inputs!BO96)</f>
        <v>135.30402</v>
      </c>
      <c r="BB42" s="0" t="n">
        <f aca="false">IF(BB38="","",Inputs!BP96)</f>
        <v>135.30402</v>
      </c>
      <c r="BC42" s="0" t="n">
        <f aca="false">IF(BC38="","",Inputs!BQ96)</f>
        <v>135.30402</v>
      </c>
      <c r="BD42" s="0" t="n">
        <f aca="false">IF(BD38="","",Inputs!BR96)</f>
        <v>135.30402</v>
      </c>
      <c r="BE42" s="0" t="n">
        <f aca="false">IF(BE38="","",Inputs!BS96)</f>
        <v>135.30402</v>
      </c>
      <c r="BF42" s="0" t="n">
        <f aca="false">IF(BF38="","",Inputs!BT96)</f>
        <v>135.30402</v>
      </c>
      <c r="BG42" s="0" t="n">
        <f aca="false">IF(BG38="","",Inputs!BU96)</f>
        <v>135.30402</v>
      </c>
      <c r="BH42" s="0" t="n">
        <f aca="false">IF(BH38="","",Inputs!BV96)</f>
        <v>135.30402</v>
      </c>
      <c r="BI42" s="0" t="n">
        <f aca="false">IF(BI38="","",Inputs!BW96)</f>
        <v>135.30402</v>
      </c>
      <c r="BJ42" s="0" t="n">
        <f aca="false">IF(BJ38="","",Inputs!BX96)</f>
        <v>135.30402</v>
      </c>
      <c r="BK42" s="0" t="n">
        <f aca="false">IF(BK38="","",Inputs!BY96)</f>
        <v>135.30402</v>
      </c>
      <c r="BL42" s="0" t="n">
        <f aca="false">IF(BL38="","",Inputs!BZ96)</f>
        <v>138.0101004</v>
      </c>
      <c r="BM42" s="0" t="n">
        <f aca="false">IF(BM38="","",Inputs!CA96)</f>
        <v>138.0101004</v>
      </c>
      <c r="BN42" s="0" t="n">
        <f aca="false">IF(BN38="","",Inputs!CB96)</f>
        <v>138.0101004</v>
      </c>
      <c r="BO42" s="0" t="n">
        <f aca="false">IF(BO38="","",Inputs!CC96)</f>
        <v>138.0101004</v>
      </c>
      <c r="BP42" s="0" t="n">
        <f aca="false">IF(BP38="","",Inputs!CD96)</f>
        <v>138.0101004</v>
      </c>
      <c r="BQ42" s="0" t="n">
        <f aca="false">IF(BQ38="","",Inputs!CE96)</f>
        <v>138.0101004</v>
      </c>
      <c r="BR42" s="0" t="n">
        <f aca="false">IF(BR38="","",Inputs!CF96)</f>
        <v>138.0101004</v>
      </c>
      <c r="BS42" s="0" t="n">
        <f aca="false">IF(BS38="","",Inputs!CG96)</f>
        <v>138.0101004</v>
      </c>
      <c r="BT42" s="0" t="n">
        <f aca="false">IF(BT38="","",Inputs!CH96)</f>
        <v>138.0101004</v>
      </c>
      <c r="BU42" s="0" t="n">
        <f aca="false">IF(BU38="","",Inputs!CI96)</f>
        <v>138.0101004</v>
      </c>
      <c r="BV42" s="0" t="n">
        <f aca="false">IF(BV38="","",Inputs!CJ96)</f>
        <v>138.0101004</v>
      </c>
      <c r="BW42" s="0" t="n">
        <f aca="false">IF(BW38="","",Inputs!CK96)</f>
        <v>138.0101004</v>
      </c>
      <c r="BX42" s="0" t="n">
        <f aca="false">IF(BX38="","",Inputs!CL96)</f>
        <v>140.770302408</v>
      </c>
      <c r="BY42" s="0" t="n">
        <f aca="false">IF(BY38="","",Inputs!CM96)</f>
        <v>140.770302408</v>
      </c>
      <c r="BZ42" s="0" t="n">
        <f aca="false">IF(BZ38="","",Inputs!CN96)</f>
        <v>140.770302408</v>
      </c>
      <c r="CA42" s="0" t="n">
        <f aca="false">IF(CA38="","",Inputs!CO96)</f>
        <v>140.770302408</v>
      </c>
      <c r="CB42" s="0" t="n">
        <f aca="false">IF(CB38="","",Inputs!CP96)</f>
        <v>140.770302408</v>
      </c>
      <c r="CC42" s="0" t="n">
        <f aca="false">IF(CC38="","",Inputs!CQ96)</f>
        <v>140.770302408</v>
      </c>
      <c r="CD42" s="0" t="n">
        <f aca="false">IF(CD38="","",Inputs!CR96)</f>
        <v>140.770302408</v>
      </c>
      <c r="CE42" s="0" t="n">
        <f aca="false">IF(CE38="","",Inputs!CS96)</f>
        <v>140.770302408</v>
      </c>
      <c r="CF42" s="0" t="n">
        <f aca="false">IF(CF38="","",Inputs!CT96)</f>
        <v>140.770302408</v>
      </c>
      <c r="CG42" s="0" t="n">
        <f aca="false">IF(CG38="","",Inputs!CU96)</f>
        <v>140.770302408</v>
      </c>
      <c r="CH42" s="0" t="n">
        <f aca="false">IF(CH38="","",Inputs!CV96)</f>
        <v>140.770302408</v>
      </c>
      <c r="CI42" s="0" t="n">
        <f aca="false">IF(CI38="","",Inputs!CW96)</f>
        <v>140.770302408</v>
      </c>
      <c r="CJ42" s="0" t="n">
        <f aca="false">IF(CJ38="","",Inputs!CX96)</f>
        <v>143.58570845616</v>
      </c>
      <c r="CK42" s="0" t="n">
        <f aca="false">IF(CK38="","",Inputs!CY96)</f>
        <v>143.58570845616</v>
      </c>
      <c r="CL42" s="0" t="n">
        <f aca="false">IF(CL38="","",Inputs!CZ96)</f>
        <v>143.58570845616</v>
      </c>
      <c r="CM42" s="0" t="n">
        <f aca="false">IF(CM38="","",Inputs!DA96)</f>
        <v>143.58570845616</v>
      </c>
      <c r="CN42" s="0" t="n">
        <f aca="false">IF(CN38="","",Inputs!DB96)</f>
        <v>143.58570845616</v>
      </c>
      <c r="CO42" s="0" t="n">
        <f aca="false">IF(CO38="","",Inputs!DC96)</f>
        <v>143.58570845616</v>
      </c>
      <c r="CP42" s="0" t="n">
        <f aca="false">IF(CP38="","",Inputs!DD96)</f>
        <v>143.58570845616</v>
      </c>
      <c r="CQ42" s="0" t="n">
        <f aca="false">IF(CQ38="","",Inputs!DE96)</f>
        <v>143.58570845616</v>
      </c>
      <c r="CR42" s="0" t="n">
        <f aca="false">IF(CR38="","",Inputs!DF96)</f>
        <v>143.58570845616</v>
      </c>
      <c r="CS42" s="0" t="n">
        <f aca="false">IF(CS38="","",Inputs!DG96)</f>
        <v>143.58570845616</v>
      </c>
      <c r="CT42" s="0" t="n">
        <f aca="false">IF(CT38="","",Inputs!DH96)</f>
        <v>143.58570845616</v>
      </c>
      <c r="CU42" s="0" t="n">
        <f aca="false">IF(CU38="","",Inputs!DI96)</f>
        <v>143.58570845616</v>
      </c>
      <c r="CV42" s="0" t="n">
        <f aca="false">IF(CV38="","",Inputs!DJ96)</f>
        <v>146.457422625283</v>
      </c>
      <c r="CW42" s="0" t="n">
        <f aca="false">IF(CW38="","",Inputs!DK96)</f>
        <v>146.457422625283</v>
      </c>
      <c r="CX42" s="0" t="n">
        <f aca="false">IF(CX38="","",Inputs!DL96)</f>
        <v>146.457422625283</v>
      </c>
      <c r="CY42" s="0" t="n">
        <f aca="false">IF(CY38="","",Inputs!DM96)</f>
        <v>146.457422625283</v>
      </c>
      <c r="CZ42" s="0" t="n">
        <f aca="false">IF(CZ38="","",Inputs!DN96)</f>
        <v>146.457422625283</v>
      </c>
      <c r="DA42" s="0" t="n">
        <f aca="false">IF(DA38="","",Inputs!DO96)</f>
        <v>146.457422625283</v>
      </c>
      <c r="DB42" s="0" t="n">
        <f aca="false">IF(DB38="","",Inputs!DP96)</f>
        <v>146.457422625283</v>
      </c>
      <c r="DC42" s="0" t="n">
        <f aca="false">IF(DC38="","",Inputs!DQ96)</f>
        <v>146.457422625283</v>
      </c>
      <c r="DD42" s="0" t="n">
        <f aca="false">IF(DD38="","",Inputs!DR96)</f>
        <v>146.457422625283</v>
      </c>
      <c r="DE42" s="0" t="n">
        <f aca="false">IF(DE38="","",Inputs!DS96)</f>
        <v>146.457422625283</v>
      </c>
      <c r="DF42" s="0" t="n">
        <f aca="false">IF(DF38="","",Inputs!DT96)</f>
        <v>146.457422625283</v>
      </c>
      <c r="DG42" s="0" t="n">
        <f aca="false">IF(DG38="","",Inputs!DU96)</f>
        <v>146.457422625283</v>
      </c>
      <c r="DH42" s="0" t="n">
        <f aca="false">IF(DH38="","",Inputs!DV96)</f>
        <v>149.386571077789</v>
      </c>
      <c r="DI42" s="0" t="n">
        <f aca="false">IF(DI38="","",Inputs!DW96)</f>
        <v>149.386571077789</v>
      </c>
      <c r="DJ42" s="0" t="n">
        <f aca="false">IF(DJ38="","",Inputs!DX96)</f>
        <v>149.386571077789</v>
      </c>
      <c r="DK42" s="0" t="n">
        <f aca="false">IF(DK38="","",Inputs!DY96)</f>
        <v>149.386571077789</v>
      </c>
      <c r="DL42" s="0" t="n">
        <f aca="false">IF(DL38="","",Inputs!DZ96)</f>
        <v>149.386571077789</v>
      </c>
      <c r="DM42" s="0" t="n">
        <f aca="false">IF(DM38="","",Inputs!EA96)</f>
        <v>149.386571077789</v>
      </c>
      <c r="DN42" s="0" t="n">
        <f aca="false">IF(DN38="","",Inputs!EB96)</f>
        <v>149.386571077789</v>
      </c>
      <c r="DO42" s="0" t="n">
        <f aca="false">IF(DO38="","",Inputs!EC96)</f>
        <v>149.386571077789</v>
      </c>
      <c r="DP42" s="0" t="n">
        <f aca="false">IF(DP38="","",Inputs!ED96)</f>
        <v>149.386571077789</v>
      </c>
      <c r="DQ42" s="0" t="n">
        <f aca="false">IF(DQ38="","",Inputs!EE96)</f>
        <v>149.386571077789</v>
      </c>
      <c r="DR42" s="0" t="n">
        <f aca="false">IF(DR38="","",Inputs!EF96)</f>
        <v>149.386571077789</v>
      </c>
      <c r="DS42" s="0" t="n">
        <f aca="false">IF(DS38="","",Inputs!EG96)</f>
        <v>149.386571077789</v>
      </c>
      <c r="DT42" s="0" t="n">
        <f aca="false">IF(DT38="","",Inputs!EH96)</f>
        <v>152.374302499345</v>
      </c>
      <c r="DU42" s="0" t="n">
        <f aca="false">IF(DU38="","",Inputs!EI96)</f>
        <v>152.374302499345</v>
      </c>
      <c r="DV42" s="0" t="n">
        <f aca="false">IF(DV38="","",Inputs!EJ96)</f>
        <v>152.374302499345</v>
      </c>
      <c r="DW42" s="0" t="n">
        <f aca="false">IF(DW38="","",Inputs!EK96)</f>
        <v>152.374302499345</v>
      </c>
      <c r="DX42" s="0" t="n">
        <f aca="false">IF(DX38="","",Inputs!EL96)</f>
        <v>152.374302499345</v>
      </c>
      <c r="DY42" s="0" t="n">
        <f aca="false">IF(DY38="","",Inputs!EM96)</f>
        <v>152.374302499345</v>
      </c>
      <c r="DZ42" s="0" t="n">
        <f aca="false">IF(DZ38="","",Inputs!EN96)</f>
        <v>152.374302499345</v>
      </c>
      <c r="EA42" s="0" t="n">
        <f aca="false">IF(EA38="","",Inputs!EO96)</f>
        <v>152.374302499345</v>
      </c>
      <c r="EB42" s="0" t="n">
        <f aca="false">IF(EB38="","",Inputs!EP96)</f>
        <v>152.374302499345</v>
      </c>
      <c r="EC42" s="0" t="n">
        <f aca="false">IF(EC38="","",Inputs!EQ96)</f>
        <v>152.374302499345</v>
      </c>
      <c r="ED42" s="0" t="n">
        <f aca="false">IF(ED38="","",Inputs!ER96)</f>
        <v>152.374302499345</v>
      </c>
      <c r="EE42" s="0" t="n">
        <f aca="false">IF(EE38="","",Inputs!ES96)</f>
        <v>152.374302499345</v>
      </c>
      <c r="EF42" s="0" t="n">
        <f aca="false">IF(EF38="","",Inputs!ET96)</f>
        <v>155.421788549332</v>
      </c>
      <c r="EG42" s="0" t="n">
        <f aca="false">IF(EG38="","",Inputs!EU96)</f>
        <v>155.421788549332</v>
      </c>
      <c r="EH42" s="0" t="n">
        <f aca="false">IF(EH38="","",Inputs!EV96)</f>
        <v>155.421788549332</v>
      </c>
      <c r="EI42" s="0" t="n">
        <f aca="false">IF(EI38="","",Inputs!EW96)</f>
        <v>155.421788549332</v>
      </c>
      <c r="EJ42" s="0" t="n">
        <f aca="false">IF(EJ38="","",Inputs!EX96)</f>
        <v>155.421788549332</v>
      </c>
      <c r="EK42" s="0" t="n">
        <f aca="false">IF(EK38="","",Inputs!EY96)</f>
        <v>155.421788549332</v>
      </c>
      <c r="EL42" s="0" t="n">
        <f aca="false">IF(EL38="","",Inputs!EZ96)</f>
        <v>155.421788549332</v>
      </c>
      <c r="EM42" s="0" t="n">
        <f aca="false">IF(EM38="","",Inputs!FA96)</f>
        <v>155.421788549332</v>
      </c>
      <c r="EN42" s="0" t="n">
        <f aca="false">IF(EN38="","",Inputs!FB96)</f>
        <v>155.421788549332</v>
      </c>
      <c r="EO42" s="0" t="n">
        <f aca="false">IF(EO38="","",Inputs!FC96)</f>
        <v>155.421788549332</v>
      </c>
      <c r="EP42" s="0" t="n">
        <f aca="false">IF(EP38="","",Inputs!FD96)</f>
        <v>155.421788549332</v>
      </c>
      <c r="EQ42" s="0" t="n">
        <f aca="false">IF(EQ38="","",Inputs!FE96)</f>
        <v>155.421788549332</v>
      </c>
      <c r="ER42" s="0" t="n">
        <f aca="false">IF(ER38="","",Inputs!FF96)</f>
        <v>158.530224320318</v>
      </c>
      <c r="ES42" s="0" t="n">
        <f aca="false">IF(ES38="","",Inputs!FG96)</f>
        <v>158.530224320318</v>
      </c>
      <c r="ET42" s="0" t="n">
        <f aca="false">IF(ET38="","",Inputs!FH96)</f>
        <v>158.530224320318</v>
      </c>
      <c r="EU42" s="0" t="n">
        <f aca="false">IF(EU38="","",Inputs!FI96)</f>
        <v>158.530224320318</v>
      </c>
      <c r="EV42" s="0" t="n">
        <f aca="false">IF(EV38="","",Inputs!FJ96)</f>
        <v>158.530224320318</v>
      </c>
      <c r="EW42" s="0" t="n">
        <f aca="false">IF(EW38="","",Inputs!FK96)</f>
        <v>158.530224320318</v>
      </c>
      <c r="EX42" s="0" t="n">
        <f aca="false">IF(EX38="","",Inputs!FL96)</f>
        <v>158.530224320318</v>
      </c>
      <c r="EY42" s="0" t="n">
        <f aca="false">IF(EY38="","",Inputs!FM96)</f>
        <v>158.530224320318</v>
      </c>
      <c r="EZ42" s="0" t="n">
        <f aca="false">IF(EZ38="","",Inputs!FN96)</f>
        <v>158.530224320318</v>
      </c>
      <c r="FA42" s="0" t="n">
        <f aca="false">IF(FA38="","",Inputs!FO96)</f>
        <v>158.530224320318</v>
      </c>
      <c r="FB42" s="0" t="n">
        <f aca="false">IF(FB38="","",Inputs!FP96)</f>
        <v>158.530224320318</v>
      </c>
      <c r="FC42" s="0" t="n">
        <f aca="false">IF(FC38="","",Inputs!FQ96)</f>
        <v>158.530224320318</v>
      </c>
      <c r="FD42" s="0" t="str">
        <f aca="false">IF(FD38="","",Inputs!FR96)</f>
        <v/>
      </c>
      <c r="FE42" s="0" t="e">
        <f aca="false">IF(FE38="","",Inputs!FS96)</f>
        <v>#VALUE!</v>
      </c>
      <c r="FF42" s="0" t="e">
        <f aca="false">IF(FF38="","",Inputs!FT96)</f>
        <v>#VALUE!</v>
      </c>
      <c r="FG42" s="0" t="e">
        <f aca="false">IF(FG38="","",Inputs!FU96)</f>
        <v>#VALUE!</v>
      </c>
      <c r="FH42" s="0" t="e">
        <f aca="false">IF(FH38="","",Inputs!FV96)</f>
        <v>#VALUE!</v>
      </c>
      <c r="FI42" s="0" t="e">
        <f aca="false">IF(FI38="","",Inputs!FW96)</f>
        <v>#VALUE!</v>
      </c>
      <c r="FJ42" s="0" t="e">
        <f aca="false">IF(FJ38="","",Inputs!FX96)</f>
        <v>#VALUE!</v>
      </c>
      <c r="FK42" s="0" t="e">
        <f aca="false">IF(FK38="","",Inputs!FY96)</f>
        <v>#VALUE!</v>
      </c>
      <c r="FL42" s="0" t="e">
        <f aca="false">IF(FL38="","",Inputs!FZ96)</f>
        <v>#VALUE!</v>
      </c>
      <c r="FM42" s="0" t="e">
        <f aca="false">IF(FM38="","",Inputs!GA96)</f>
        <v>#VALUE!</v>
      </c>
      <c r="FN42" s="0" t="e">
        <f aca="false">IF(FN38="","",Inputs!GB96)</f>
        <v>#VALUE!</v>
      </c>
      <c r="FO42" s="0" t="e">
        <f aca="false">IF(FO38="","",Inputs!GC96)</f>
        <v>#VALUE!</v>
      </c>
      <c r="FP42" s="0" t="e">
        <f aca="false">IF(FP38="","",Inputs!GD96)</f>
        <v>#VALUE!</v>
      </c>
      <c r="FQ42" s="0" t="e">
        <f aca="false">IF(FQ38="","",Inputs!GE96)</f>
        <v>#VALUE!</v>
      </c>
      <c r="FR42" s="0" t="e">
        <f aca="false">IF(FR38="","",Inputs!GF96)</f>
        <v>#VALUE!</v>
      </c>
      <c r="FS42" s="0" t="e">
        <f aca="false">IF(FS38="","",Inputs!GG96)</f>
        <v>#VALUE!</v>
      </c>
      <c r="FT42" s="0" t="e">
        <f aca="false">IF(FT38="","",Inputs!GH96)</f>
        <v>#VALUE!</v>
      </c>
      <c r="FU42" s="0" t="e">
        <f aca="false">IF(FU38="","",Inputs!GI96)</f>
        <v>#VALUE!</v>
      </c>
      <c r="FV42" s="0" t="e">
        <f aca="false">IF(FV38="","",Inputs!GJ96)</f>
        <v>#VALUE!</v>
      </c>
      <c r="FW42" s="0" t="e">
        <f aca="false">IF(FW38="","",Inputs!GK96)</f>
        <v>#VALUE!</v>
      </c>
      <c r="FX42" s="0" t="e">
        <f aca="false">IF(FX38="","",Inputs!GL96)</f>
        <v>#VALUE!</v>
      </c>
      <c r="FY42" s="0" t="e">
        <f aca="false">IF(FY38="","",Inputs!GM96)</f>
        <v>#VALUE!</v>
      </c>
      <c r="FZ42" s="0" t="e">
        <f aca="false">IF(FZ38="","",Inputs!GN96)</f>
        <v>#VALUE!</v>
      </c>
      <c r="GA42" s="0" t="e">
        <f aca="false">IF(GA38="","",Inputs!GO96)</f>
        <v>#VALUE!</v>
      </c>
      <c r="GB42" s="0" t="e">
        <f aca="false">IF(GB38="","",Inputs!GP96)</f>
        <v>#VALUE!</v>
      </c>
      <c r="GC42" s="0" t="e">
        <f aca="false">IF(GC38="","",Inputs!GQ96)</f>
        <v>#VALUE!</v>
      </c>
      <c r="GD42" s="0" t="e">
        <f aca="false">IF(GD38="","",Inputs!GR96)</f>
        <v>#VALUE!</v>
      </c>
      <c r="GE42" s="0" t="e">
        <f aca="false">IF(GE38="","",Inputs!GS96)</f>
        <v>#VALUE!</v>
      </c>
      <c r="GF42" s="0" t="e">
        <f aca="false">IF(GF38="","",Inputs!GT96)</f>
        <v>#VALUE!</v>
      </c>
      <c r="GG42" s="0" t="e">
        <f aca="false">IF(GG38="","",Inputs!GU96)</f>
        <v>#VALUE!</v>
      </c>
      <c r="GH42" s="0" t="e">
        <f aca="false">IF(GH38="","",Inputs!GV96)</f>
        <v>#VALUE!</v>
      </c>
      <c r="GI42" s="0" t="e">
        <f aca="false">IF(GI38="","",Inputs!GW96)</f>
        <v>#VALUE!</v>
      </c>
      <c r="GJ42" s="0" t="e">
        <f aca="false">IF(GJ38="","",Inputs!GX96)</f>
        <v>#VALUE!</v>
      </c>
      <c r="GK42" s="0" t="e">
        <f aca="false">IF(GK38="","",Inputs!GY96)</f>
        <v>#VALUE!</v>
      </c>
      <c r="GL42" s="0" t="e">
        <f aca="false">IF(GL38="","",Inputs!GZ96)</f>
        <v>#VALUE!</v>
      </c>
      <c r="GM42" s="0" t="e">
        <f aca="false">IF(GM38="","",Inputs!HA96)</f>
        <v>#VALUE!</v>
      </c>
      <c r="GN42" s="0" t="e">
        <f aca="false">IF(GN38="","",Inputs!HB96)</f>
        <v>#VALUE!</v>
      </c>
      <c r="GO42" s="0" t="e">
        <f aca="false">IF(GO38="","",Inputs!HC96)</f>
        <v>#VALUE!</v>
      </c>
      <c r="GP42" s="0" t="e">
        <f aca="false">IF(GP38="","",Inputs!HD96)</f>
        <v>#VALUE!</v>
      </c>
      <c r="GQ42" s="0" t="e">
        <f aca="false">IF(GQ38="","",Inputs!HE96)</f>
        <v>#VALUE!</v>
      </c>
      <c r="GR42" s="0" t="e">
        <f aca="false">IF(GR38="","",Inputs!HF96)</f>
        <v>#VALUE!</v>
      </c>
      <c r="GS42" s="0" t="e">
        <f aca="false">IF(GS38="","",Inputs!HG96)</f>
        <v>#VALUE!</v>
      </c>
      <c r="GT42" s="0" t="e">
        <f aca="false">IF(GT38="","",Inputs!HH96)</f>
        <v>#VALUE!</v>
      </c>
      <c r="GU42" s="0" t="e">
        <f aca="false">IF(GU38="","",Inputs!HI96)</f>
        <v>#VALUE!</v>
      </c>
      <c r="GV42" s="0" t="e">
        <f aca="false">IF(GV38="","",Inputs!HJ96)</f>
        <v>#VALUE!</v>
      </c>
      <c r="GW42" s="0" t="e">
        <f aca="false">IF(GW38="","",Inputs!HK96)</f>
        <v>#VALUE!</v>
      </c>
      <c r="GX42" s="0" t="e">
        <f aca="false">IF(GX38="","",Inputs!HL96)</f>
        <v>#VALUE!</v>
      </c>
      <c r="GY42" s="0" t="e">
        <f aca="false">IF(GY38="","",Inputs!HM96)</f>
        <v>#VALUE!</v>
      </c>
      <c r="GZ42" s="0" t="e">
        <f aca="false">IF(GZ38="","",Inputs!HN96)</f>
        <v>#VALUE!</v>
      </c>
      <c r="HA42" s="0" t="e">
        <f aca="false">IF(HA38="","",Inputs!HO96)</f>
        <v>#VALUE!</v>
      </c>
      <c r="HB42" s="0" t="e">
        <f aca="false">IF(HB38="","",Inputs!HP96)</f>
        <v>#VALUE!</v>
      </c>
      <c r="HC42" s="0" t="e">
        <f aca="false">IF(HC38="","",Inputs!HQ96)</f>
        <v>#VALUE!</v>
      </c>
      <c r="HD42" s="0" t="e">
        <f aca="false">IF(HD38="","",Inputs!HR96)</f>
        <v>#VALUE!</v>
      </c>
      <c r="HE42" s="0" t="e">
        <f aca="false">IF(HE38="","",Inputs!HS96)</f>
        <v>#VALUE!</v>
      </c>
      <c r="HF42" s="0" t="e">
        <f aca="false">IF(HF38="","",Inputs!HT96)</f>
        <v>#VALUE!</v>
      </c>
      <c r="HG42" s="0" t="e">
        <f aca="false">IF(HG38="","",Inputs!HU96)</f>
        <v>#VALUE!</v>
      </c>
      <c r="HH42" s="0" t="e">
        <f aca="false">IF(HH38="","",Inputs!HV96)</f>
        <v>#VALUE!</v>
      </c>
      <c r="HI42" s="0" t="e">
        <f aca="false">IF(HI38="","",Inputs!HW96)</f>
        <v>#VALUE!</v>
      </c>
      <c r="HJ42" s="0" t="e">
        <f aca="false">IF(HJ38="","",Inputs!HX96)</f>
        <v>#VALUE!</v>
      </c>
      <c r="HK42" s="0" t="e">
        <f aca="false">IF(HK38="","",Inputs!HY96)</f>
        <v>#VALUE!</v>
      </c>
      <c r="HL42" s="0" t="e">
        <f aca="false">IF(HL38="","",Inputs!HZ96)</f>
        <v>#VALUE!</v>
      </c>
      <c r="HM42" s="0" t="e">
        <f aca="false">IF(HM38="","",Inputs!IA96)</f>
        <v>#VALUE!</v>
      </c>
      <c r="HN42" s="0" t="e">
        <f aca="false">IF(HN38="","",Inputs!IB96)</f>
        <v>#VALUE!</v>
      </c>
      <c r="HO42" s="0" t="e">
        <f aca="false">IF(HO38="","",Inputs!IC96)</f>
        <v>#VALUE!</v>
      </c>
      <c r="HP42" s="0" t="e">
        <f aca="false">IF(HP38="","",Inputs!ID96)</f>
        <v>#VALUE!</v>
      </c>
      <c r="HQ42" s="0" t="e">
        <f aca="false">IF(HQ38="","",Inputs!IE96)</f>
        <v>#VALUE!</v>
      </c>
      <c r="HR42" s="0" t="e">
        <f aca="false">IF(HR38="","",Inputs!IF96)</f>
        <v>#VALUE!</v>
      </c>
      <c r="HS42" s="0" t="e">
        <f aca="false">IF(HS38="","",Inputs!IG96)</f>
        <v>#VALUE!</v>
      </c>
      <c r="HT42" s="0" t="e">
        <f aca="false">IF(HT38="","",Inputs!IH96)</f>
        <v>#VALUE!</v>
      </c>
      <c r="HU42" s="0" t="e">
        <f aca="false">IF(HU38="","",Inputs!II96)</f>
        <v>#VALUE!</v>
      </c>
      <c r="HV42" s="0" t="e">
        <f aca="false">IF(HV38="","",Inputs!IJ96)</f>
        <v>#VALUE!</v>
      </c>
      <c r="HW42" s="0" t="e">
        <f aca="false">IF(HW38="","",Inputs!IK96)</f>
        <v>#VALUE!</v>
      </c>
      <c r="HX42" s="0" t="e">
        <f aca="false">IF(HX38="","",Inputs!IL96)</f>
        <v>#VALUE!</v>
      </c>
      <c r="HY42" s="0" t="e">
        <f aca="false">IF(HY38="","",Inputs!IM96)</f>
        <v>#VALUE!</v>
      </c>
      <c r="HZ42" s="0" t="e">
        <f aca="false">IF(HZ38="","",Inputs!IN96)</f>
        <v>#VALUE!</v>
      </c>
      <c r="IA42" s="0" t="e">
        <f aca="false">IF(IA38="","",Inputs!IO96)</f>
        <v>#VALUE!</v>
      </c>
      <c r="IB42" s="0" t="e">
        <f aca="false">IF(IB38="","",Inputs!IP96)</f>
        <v>#VALUE!</v>
      </c>
      <c r="IC42" s="0" t="e">
        <f aca="false">IF(IC38="","",Inputs!IQ96)</f>
        <v>#VALUE!</v>
      </c>
      <c r="ID42" s="0" t="e">
        <f aca="false">IF(ID38="","",Inputs!IR96)</f>
        <v>#VALUE!</v>
      </c>
      <c r="IE42" s="0" t="e">
        <f aca="false">IF(IE38="","",Inputs!IS96)</f>
        <v>#VALUE!</v>
      </c>
      <c r="IF42" s="0" t="e">
        <f aca="false">IF(IF38="","",Inputs!IT96)</f>
        <v>#VALUE!</v>
      </c>
      <c r="IG42" s="0" t="e">
        <f aca="false">IF(IG38="","",Inputs!IU96)</f>
        <v>#VALUE!</v>
      </c>
      <c r="IH42" s="0" t="e">
        <f aca="false">IF(IH38="","",Inputs!IV96)</f>
        <v>#VALUE!</v>
      </c>
      <c r="II42" s="0" t="e">
        <f aca="false">IF(II38="","",Inputs!IW96)</f>
        <v>#VALUE!</v>
      </c>
    </row>
    <row r="43" customFormat="false" ht="15" hidden="false" customHeight="false" outlineLevel="0" collapsed="false">
      <c r="B43" s="0" t="s">
        <v>34</v>
      </c>
      <c r="C43" s="0" t="n">
        <f aca="false">IF(C38="","",SUM(C40:C42)*-Vacancy)</f>
        <v>-0</v>
      </c>
      <c r="D43" s="0" t="n">
        <f aca="false">IF(D38="","",SUM(D40:D42)*-Vacancy)</f>
        <v>-0</v>
      </c>
      <c r="E43" s="0" t="n">
        <f aca="false">IF(E38="","",SUM(E40:E42)*-Vacancy)</f>
        <v>-0</v>
      </c>
      <c r="F43" s="0" t="n">
        <f aca="false">IF(F38="","",SUM(F40:F42)*-Vacancy)</f>
        <v>-0</v>
      </c>
      <c r="G43" s="0" t="n">
        <f aca="false">IF(G38="","",SUM(G40:G42)*-Vacancy)</f>
        <v>-0</v>
      </c>
      <c r="H43" s="0" t="n">
        <f aca="false">IF(H38="","",SUM(H40:H42)*-Vacancy)</f>
        <v>-0</v>
      </c>
      <c r="I43" s="0" t="n">
        <f aca="false">IF(I38="","",SUM(I40:I42)*-Vacancy)</f>
        <v>-0</v>
      </c>
      <c r="J43" s="0" t="n">
        <f aca="false">IF(J38="","",SUM(J40:J42)*-Vacancy)</f>
        <v>-0</v>
      </c>
      <c r="K43" s="0" t="n">
        <f aca="false">IF(K38="","",SUM(K40:K42)*-Vacancy)</f>
        <v>-0</v>
      </c>
      <c r="L43" s="0" t="n">
        <f aca="false">IF(L38="","",SUM(L40:L42)*-Vacancy)</f>
        <v>-0</v>
      </c>
      <c r="M43" s="0" t="n">
        <f aca="false">IF(M38="","",SUM(M40:M42)*-Vacancy)</f>
        <v>-0</v>
      </c>
      <c r="N43" s="0" t="n">
        <f aca="false">IF(N38="","",SUM(N40:N42)*-Vacancy)</f>
        <v>-0</v>
      </c>
      <c r="O43" s="0" t="n">
        <f aca="false">IF(O38="","",SUM(O40:O42)*-Vacancy)</f>
        <v>-0</v>
      </c>
      <c r="P43" s="0" t="n">
        <f aca="false">IF(P38="","",SUM(P40:P42)*-Vacancy)</f>
        <v>-0</v>
      </c>
      <c r="Q43" s="0" t="n">
        <f aca="false">IF(Q38="","",SUM(Q40:Q42)*-Vacancy)</f>
        <v>-0</v>
      </c>
      <c r="R43" s="0" t="n">
        <f aca="false">IF(R38="","",SUM(R40:R42)*-Vacancy)</f>
        <v>-0</v>
      </c>
      <c r="S43" s="0" t="n">
        <f aca="false">IF(S38="","",SUM(S40:S42)*-Vacancy)</f>
        <v>-0</v>
      </c>
      <c r="T43" s="0" t="n">
        <f aca="false">IF(T38="","",SUM(T40:T42)*-Vacancy)</f>
        <v>-0</v>
      </c>
      <c r="U43" s="0" t="n">
        <f aca="false">IF(U38="","",SUM(U40:U42)*-Vacancy)</f>
        <v>-0</v>
      </c>
      <c r="V43" s="0" t="n">
        <f aca="false">IF(V38="","",SUM(V40:V42)*-Vacancy)</f>
        <v>-0</v>
      </c>
      <c r="W43" s="0" t="n">
        <f aca="false">IF(W38="","",SUM(W40:W42)*-Vacancy)</f>
        <v>-0</v>
      </c>
      <c r="X43" s="0" t="n">
        <f aca="false">IF(X38="","",SUM(X40:X42)*-Vacancy)</f>
        <v>-0</v>
      </c>
      <c r="Y43" s="0" t="n">
        <f aca="false">IF(Y38="","",SUM(Y40:Y42)*-Vacancy)</f>
        <v>-0</v>
      </c>
      <c r="Z43" s="0" t="n">
        <f aca="false">IF(Z38="","",SUM(Z40:Z42)*-Vacancy)</f>
        <v>-0</v>
      </c>
      <c r="AA43" s="0" t="n">
        <f aca="false">IF(AA38="","",SUM(AA40:AA42)*-Vacancy)</f>
        <v>-0</v>
      </c>
      <c r="AB43" s="0" t="n">
        <f aca="false">IF(AB38="","",SUM(AB40:AB42)*-Vacancy)</f>
        <v>-0</v>
      </c>
      <c r="AC43" s="0" t="n">
        <f aca="false">IF(AC38="","",SUM(AC40:AC42)*-Vacancy)</f>
        <v>-0</v>
      </c>
      <c r="AD43" s="0" t="n">
        <f aca="false">IF(AD38="","",SUM(AD40:AD42)*-Vacancy)</f>
        <v>-0</v>
      </c>
      <c r="AE43" s="0" t="n">
        <f aca="false">IF(AE38="","",SUM(AE40:AE42)*-Vacancy)</f>
        <v>-0</v>
      </c>
      <c r="AF43" s="0" t="n">
        <f aca="false">IF(AF38="","",SUM(AF40:AF42)*-Vacancy)</f>
        <v>-0</v>
      </c>
      <c r="AG43" s="0" t="n">
        <f aca="false">IF(AG38="","",SUM(AG40:AG42)*-Vacancy)</f>
        <v>-0</v>
      </c>
      <c r="AH43" s="0" t="n">
        <f aca="false">IF(AH38="","",SUM(AH40:AH42)*-Vacancy)</f>
        <v>-0</v>
      </c>
      <c r="AI43" s="0" t="n">
        <f aca="false">IF(AI38="","",SUM(AI40:AI42)*-Vacancy)</f>
        <v>-0</v>
      </c>
      <c r="AJ43" s="0" t="n">
        <f aca="false">IF(AJ38="","",SUM(AJ40:AJ42)*-Vacancy)</f>
        <v>-0</v>
      </c>
      <c r="AK43" s="0" t="n">
        <f aca="false">IF(AK38="","",SUM(AK40:AK42)*-Vacancy)</f>
        <v>-0</v>
      </c>
      <c r="AL43" s="0" t="n">
        <f aca="false">IF(AL38="","",SUM(AL40:AL42)*-Vacancy)</f>
        <v>-0</v>
      </c>
      <c r="AM43" s="0" t="n">
        <f aca="false">IF(AM38="","",SUM(AM40:AM42)*-Vacancy)</f>
        <v>-0</v>
      </c>
      <c r="AN43" s="0" t="n">
        <f aca="false">IF(AN38="","",SUM(AN40:AN42)*-Vacancy)</f>
        <v>-0</v>
      </c>
      <c r="AO43" s="0" t="n">
        <f aca="false">IF(AO38="","",SUM(AO40:AO42)*-Vacancy)</f>
        <v>-0</v>
      </c>
      <c r="AP43" s="0" t="n">
        <f aca="false">IF(AP38="","",SUM(AP40:AP42)*-Vacancy)</f>
        <v>-0</v>
      </c>
      <c r="AQ43" s="0" t="n">
        <f aca="false">IF(AQ38="","",SUM(AQ40:AQ42)*-Vacancy)</f>
        <v>-0</v>
      </c>
      <c r="AR43" s="0" t="n">
        <f aca="false">IF(AR38="","",SUM(AR40:AR42)*-Vacancy)</f>
        <v>-0</v>
      </c>
      <c r="AS43" s="0" t="n">
        <f aca="false">IF(AS38="","",SUM(AS40:AS42)*-Vacancy)</f>
        <v>-0</v>
      </c>
      <c r="AT43" s="0" t="n">
        <f aca="false">IF(AT38="","",SUM(AT40:AT42)*-Vacancy)</f>
        <v>-0</v>
      </c>
      <c r="AU43" s="0" t="n">
        <f aca="false">IF(AU38="","",SUM(AU40:AU42)*-Vacancy)</f>
        <v>-0</v>
      </c>
      <c r="AV43" s="0" t="n">
        <f aca="false">IF(AV38="","",SUM(AV40:AV42)*-Vacancy)</f>
        <v>-0</v>
      </c>
      <c r="AW43" s="0" t="n">
        <f aca="false">IF(AW38="","",SUM(AW40:AW42)*-Vacancy)</f>
        <v>-0</v>
      </c>
      <c r="AX43" s="0" t="n">
        <f aca="false">IF(AX38="","",SUM(AX40:AX42)*-Vacancy)</f>
        <v>-0</v>
      </c>
      <c r="AY43" s="0" t="n">
        <f aca="false">IF(AY38="","",SUM(AY40:AY42)*-Vacancy)</f>
        <v>-0</v>
      </c>
      <c r="AZ43" s="0" t="n">
        <f aca="false">IF(AZ38="","",SUM(AZ40:AZ42)*-Vacancy)</f>
        <v>-0</v>
      </c>
      <c r="BA43" s="0" t="n">
        <f aca="false">IF(BA38="","",SUM(BA40:BA42)*-Vacancy)</f>
        <v>-0</v>
      </c>
      <c r="BB43" s="0" t="n">
        <f aca="false">IF(BB38="","",SUM(BB40:BB42)*-Vacancy)</f>
        <v>-0</v>
      </c>
      <c r="BC43" s="0" t="n">
        <f aca="false">IF(BC38="","",SUM(BC40:BC42)*-Vacancy)</f>
        <v>-0</v>
      </c>
      <c r="BD43" s="0" t="n">
        <f aca="false">IF(BD38="","",SUM(BD40:BD42)*-Vacancy)</f>
        <v>-0</v>
      </c>
      <c r="BE43" s="0" t="n">
        <f aca="false">IF(BE38="","",SUM(BE40:BE42)*-Vacancy)</f>
        <v>-0</v>
      </c>
      <c r="BF43" s="0" t="n">
        <f aca="false">IF(BF38="","",SUM(BF40:BF42)*-Vacancy)</f>
        <v>-0</v>
      </c>
      <c r="BG43" s="0" t="n">
        <f aca="false">IF(BG38="","",SUM(BG40:BG42)*-Vacancy)</f>
        <v>-0</v>
      </c>
      <c r="BH43" s="0" t="n">
        <f aca="false">IF(BH38="","",SUM(BH40:BH42)*-Vacancy)</f>
        <v>-0</v>
      </c>
      <c r="BI43" s="0" t="n">
        <f aca="false">IF(BI38="","",SUM(BI40:BI42)*-Vacancy)</f>
        <v>-0</v>
      </c>
      <c r="BJ43" s="0" t="n">
        <f aca="false">IF(BJ38="","",SUM(BJ40:BJ42)*-Vacancy)</f>
        <v>-0</v>
      </c>
      <c r="BK43" s="0" t="n">
        <f aca="false">IF(BK38="","",SUM(BK40:BK42)*-Vacancy)</f>
        <v>-0</v>
      </c>
      <c r="BL43" s="0" t="n">
        <f aca="false">IF(BL38="","",SUM(BL40:BL42)*-Vacancy)</f>
        <v>-0</v>
      </c>
      <c r="BM43" s="0" t="n">
        <f aca="false">IF(BM38="","",SUM(BM40:BM42)*-Vacancy)</f>
        <v>-0</v>
      </c>
      <c r="BN43" s="0" t="n">
        <f aca="false">IF(BN38="","",SUM(BN40:BN42)*-Vacancy)</f>
        <v>-0</v>
      </c>
      <c r="BO43" s="0" t="n">
        <f aca="false">IF(BO38="","",SUM(BO40:BO42)*-Vacancy)</f>
        <v>-0</v>
      </c>
      <c r="BP43" s="0" t="n">
        <f aca="false">IF(BP38="","",SUM(BP40:BP42)*-Vacancy)</f>
        <v>-0</v>
      </c>
      <c r="BQ43" s="0" t="n">
        <f aca="false">IF(BQ38="","",SUM(BQ40:BQ42)*-Vacancy)</f>
        <v>-0</v>
      </c>
      <c r="BR43" s="0" t="n">
        <f aca="false">IF(BR38="","",SUM(BR40:BR42)*-Vacancy)</f>
        <v>-0</v>
      </c>
      <c r="BS43" s="0" t="n">
        <f aca="false">IF(BS38="","",SUM(BS40:BS42)*-Vacancy)</f>
        <v>-0</v>
      </c>
      <c r="BT43" s="0" t="n">
        <f aca="false">IF(BT38="","",SUM(BT40:BT42)*-Vacancy)</f>
        <v>-0</v>
      </c>
      <c r="BU43" s="0" t="n">
        <f aca="false">IF(BU38="","",SUM(BU40:BU42)*-Vacancy)</f>
        <v>-0</v>
      </c>
      <c r="BV43" s="0" t="n">
        <f aca="false">IF(BV38="","",SUM(BV40:BV42)*-Vacancy)</f>
        <v>-0</v>
      </c>
      <c r="BW43" s="0" t="n">
        <f aca="false">IF(BW38="","",SUM(BW40:BW42)*-Vacancy)</f>
        <v>-0</v>
      </c>
      <c r="BX43" s="0" t="n">
        <f aca="false">IF(BX38="","",SUM(BX40:BX42)*-Vacancy)</f>
        <v>-0</v>
      </c>
      <c r="BY43" s="0" t="n">
        <f aca="false">IF(BY38="","",SUM(BY40:BY42)*-Vacancy)</f>
        <v>-0</v>
      </c>
      <c r="BZ43" s="0" t="n">
        <f aca="false">IF(BZ38="","",SUM(BZ40:BZ42)*-Vacancy)</f>
        <v>-0</v>
      </c>
      <c r="CA43" s="0" t="n">
        <f aca="false">IF(CA38="","",SUM(CA40:CA42)*-Vacancy)</f>
        <v>-0</v>
      </c>
      <c r="CB43" s="0" t="n">
        <f aca="false">IF(CB38="","",SUM(CB40:CB42)*-Vacancy)</f>
        <v>-0</v>
      </c>
      <c r="CC43" s="0" t="n">
        <f aca="false">IF(CC38="","",SUM(CC40:CC42)*-Vacancy)</f>
        <v>-0</v>
      </c>
      <c r="CD43" s="0" t="n">
        <f aca="false">IF(CD38="","",SUM(CD40:CD42)*-Vacancy)</f>
        <v>-0</v>
      </c>
      <c r="CE43" s="0" t="n">
        <f aca="false">IF(CE38="","",SUM(CE40:CE42)*-Vacancy)</f>
        <v>-0</v>
      </c>
      <c r="CF43" s="0" t="n">
        <f aca="false">IF(CF38="","",SUM(CF40:CF42)*-Vacancy)</f>
        <v>-0</v>
      </c>
      <c r="CG43" s="0" t="n">
        <f aca="false">IF(CG38="","",SUM(CG40:CG42)*-Vacancy)</f>
        <v>-0</v>
      </c>
      <c r="CH43" s="0" t="n">
        <f aca="false">IF(CH38="","",SUM(CH40:CH42)*-Vacancy)</f>
        <v>-0</v>
      </c>
      <c r="CI43" s="0" t="n">
        <f aca="false">IF(CI38="","",SUM(CI40:CI42)*-Vacancy)</f>
        <v>-0</v>
      </c>
      <c r="CJ43" s="0" t="n">
        <f aca="false">IF(CJ38="","",SUM(CJ40:CJ42)*-Vacancy)</f>
        <v>-0</v>
      </c>
      <c r="CK43" s="0" t="n">
        <f aca="false">IF(CK38="","",SUM(CK40:CK42)*-Vacancy)</f>
        <v>-0</v>
      </c>
      <c r="CL43" s="0" t="n">
        <f aca="false">IF(CL38="","",SUM(CL40:CL42)*-Vacancy)</f>
        <v>-0</v>
      </c>
      <c r="CM43" s="0" t="n">
        <f aca="false">IF(CM38="","",SUM(CM40:CM42)*-Vacancy)</f>
        <v>-0</v>
      </c>
      <c r="CN43" s="0" t="n">
        <f aca="false">IF(CN38="","",SUM(CN40:CN42)*-Vacancy)</f>
        <v>-0</v>
      </c>
      <c r="CO43" s="0" t="n">
        <f aca="false">IF(CO38="","",SUM(CO40:CO42)*-Vacancy)</f>
        <v>-0</v>
      </c>
      <c r="CP43" s="0" t="n">
        <f aca="false">IF(CP38="","",SUM(CP40:CP42)*-Vacancy)</f>
        <v>-0</v>
      </c>
      <c r="CQ43" s="0" t="n">
        <f aca="false">IF(CQ38="","",SUM(CQ40:CQ42)*-Vacancy)</f>
        <v>-0</v>
      </c>
      <c r="CR43" s="0" t="n">
        <f aca="false">IF(CR38="","",SUM(CR40:CR42)*-Vacancy)</f>
        <v>-0</v>
      </c>
      <c r="CS43" s="0" t="n">
        <f aca="false">IF(CS38="","",SUM(CS40:CS42)*-Vacancy)</f>
        <v>-0</v>
      </c>
      <c r="CT43" s="0" t="n">
        <f aca="false">IF(CT38="","",SUM(CT40:CT42)*-Vacancy)</f>
        <v>-0</v>
      </c>
      <c r="CU43" s="0" t="n">
        <f aca="false">IF(CU38="","",SUM(CU40:CU42)*-Vacancy)</f>
        <v>-0</v>
      </c>
      <c r="CV43" s="0" t="n">
        <f aca="false">IF(CV38="","",SUM(CV40:CV42)*-Vacancy)</f>
        <v>-0</v>
      </c>
      <c r="CW43" s="0" t="n">
        <f aca="false">IF(CW38="","",SUM(CW40:CW42)*-Vacancy)</f>
        <v>-0</v>
      </c>
      <c r="CX43" s="0" t="n">
        <f aca="false">IF(CX38="","",SUM(CX40:CX42)*-Vacancy)</f>
        <v>-0</v>
      </c>
      <c r="CY43" s="0" t="n">
        <f aca="false">IF(CY38="","",SUM(CY40:CY42)*-Vacancy)</f>
        <v>-0</v>
      </c>
      <c r="CZ43" s="0" t="n">
        <f aca="false">IF(CZ38="","",SUM(CZ40:CZ42)*-Vacancy)</f>
        <v>-0</v>
      </c>
      <c r="DA43" s="0" t="n">
        <f aca="false">IF(DA38="","",SUM(DA40:DA42)*-Vacancy)</f>
        <v>-0</v>
      </c>
      <c r="DB43" s="0" t="n">
        <f aca="false">IF(DB38="","",SUM(DB40:DB42)*-Vacancy)</f>
        <v>-0</v>
      </c>
      <c r="DC43" s="0" t="n">
        <f aca="false">IF(DC38="","",SUM(DC40:DC42)*-Vacancy)</f>
        <v>-0</v>
      </c>
      <c r="DD43" s="0" t="n">
        <f aca="false">IF(DD38="","",SUM(DD40:DD42)*-Vacancy)</f>
        <v>-0</v>
      </c>
      <c r="DE43" s="0" t="n">
        <f aca="false">IF(DE38="","",SUM(DE40:DE42)*-Vacancy)</f>
        <v>-0</v>
      </c>
      <c r="DF43" s="0" t="n">
        <f aca="false">IF(DF38="","",SUM(DF40:DF42)*-Vacancy)</f>
        <v>-0</v>
      </c>
      <c r="DG43" s="0" t="n">
        <f aca="false">IF(DG38="","",SUM(DG40:DG42)*-Vacancy)</f>
        <v>-0</v>
      </c>
      <c r="DH43" s="0" t="n">
        <f aca="false">IF(DH38="","",SUM(DH40:DH42)*-Vacancy)</f>
        <v>-0</v>
      </c>
      <c r="DI43" s="0" t="n">
        <f aca="false">IF(DI38="","",SUM(DI40:DI42)*-Vacancy)</f>
        <v>-0</v>
      </c>
      <c r="DJ43" s="0" t="n">
        <f aca="false">IF(DJ38="","",SUM(DJ40:DJ42)*-Vacancy)</f>
        <v>-0</v>
      </c>
      <c r="DK43" s="0" t="n">
        <f aca="false">IF(DK38="","",SUM(DK40:DK42)*-Vacancy)</f>
        <v>-0</v>
      </c>
      <c r="DL43" s="0" t="n">
        <f aca="false">IF(DL38="","",SUM(DL40:DL42)*-Vacancy)</f>
        <v>-0</v>
      </c>
      <c r="DM43" s="0" t="n">
        <f aca="false">IF(DM38="","",SUM(DM40:DM42)*-Vacancy)</f>
        <v>-0</v>
      </c>
      <c r="DN43" s="0" t="n">
        <f aca="false">IF(DN38="","",SUM(DN40:DN42)*-Vacancy)</f>
        <v>-0</v>
      </c>
      <c r="DO43" s="0" t="n">
        <f aca="false">IF(DO38="","",SUM(DO40:DO42)*-Vacancy)</f>
        <v>-0</v>
      </c>
      <c r="DP43" s="0" t="n">
        <f aca="false">IF(DP38="","",SUM(DP40:DP42)*-Vacancy)</f>
        <v>-0</v>
      </c>
      <c r="DQ43" s="0" t="n">
        <f aca="false">IF(DQ38="","",SUM(DQ40:DQ42)*-Vacancy)</f>
        <v>-0</v>
      </c>
      <c r="DR43" s="0" t="n">
        <f aca="false">IF(DR38="","",SUM(DR40:DR42)*-Vacancy)</f>
        <v>-0</v>
      </c>
      <c r="DS43" s="0" t="n">
        <f aca="false">IF(DS38="","",SUM(DS40:DS42)*-Vacancy)</f>
        <v>-0</v>
      </c>
      <c r="DT43" s="0" t="n">
        <f aca="false">IF(DT38="","",SUM(DT40:DT42)*-Vacancy)</f>
        <v>-0</v>
      </c>
      <c r="DU43" s="0" t="n">
        <f aca="false">IF(DU38="","",SUM(DU40:DU42)*-Vacancy)</f>
        <v>-0</v>
      </c>
      <c r="DV43" s="0" t="n">
        <f aca="false">IF(DV38="","",SUM(DV40:DV42)*-Vacancy)</f>
        <v>-0</v>
      </c>
      <c r="DW43" s="0" t="n">
        <f aca="false">IF(DW38="","",SUM(DW40:DW42)*-Vacancy)</f>
        <v>-0</v>
      </c>
      <c r="DX43" s="0" t="n">
        <f aca="false">IF(DX38="","",SUM(DX40:DX42)*-Vacancy)</f>
        <v>-0</v>
      </c>
      <c r="DY43" s="0" t="n">
        <f aca="false">IF(DY38="","",SUM(DY40:DY42)*-Vacancy)</f>
        <v>-0</v>
      </c>
      <c r="DZ43" s="0" t="n">
        <f aca="false">IF(DZ38="","",SUM(DZ40:DZ42)*-Vacancy)</f>
        <v>-0</v>
      </c>
      <c r="EA43" s="0" t="n">
        <f aca="false">IF(EA38="","",SUM(EA40:EA42)*-Vacancy)</f>
        <v>-0</v>
      </c>
      <c r="EB43" s="0" t="n">
        <f aca="false">IF(EB38="","",SUM(EB40:EB42)*-Vacancy)</f>
        <v>-0</v>
      </c>
      <c r="EC43" s="0" t="n">
        <f aca="false">IF(EC38="","",SUM(EC40:EC42)*-Vacancy)</f>
        <v>-0</v>
      </c>
      <c r="ED43" s="0" t="n">
        <f aca="false">IF(ED38="","",SUM(ED40:ED42)*-Vacancy)</f>
        <v>-0</v>
      </c>
      <c r="EE43" s="0" t="n">
        <f aca="false">IF(EE38="","",SUM(EE40:EE42)*-Vacancy)</f>
        <v>-0</v>
      </c>
      <c r="EF43" s="0" t="n">
        <f aca="false">IF(EF38="","",SUM(EF40:EF42)*-Vacancy)</f>
        <v>-0</v>
      </c>
      <c r="EG43" s="0" t="n">
        <f aca="false">IF(EG38="","",SUM(EG40:EG42)*-Vacancy)</f>
        <v>-0</v>
      </c>
      <c r="EH43" s="0" t="n">
        <f aca="false">IF(EH38="","",SUM(EH40:EH42)*-Vacancy)</f>
        <v>-0</v>
      </c>
      <c r="EI43" s="0" t="n">
        <f aca="false">IF(EI38="","",SUM(EI40:EI42)*-Vacancy)</f>
        <v>-0</v>
      </c>
      <c r="EJ43" s="0" t="n">
        <f aca="false">IF(EJ38="","",SUM(EJ40:EJ42)*-Vacancy)</f>
        <v>-0</v>
      </c>
      <c r="EK43" s="0" t="n">
        <f aca="false">IF(EK38="","",SUM(EK40:EK42)*-Vacancy)</f>
        <v>-0</v>
      </c>
      <c r="EL43" s="0" t="n">
        <f aca="false">IF(EL38="","",SUM(EL40:EL42)*-Vacancy)</f>
        <v>-0</v>
      </c>
      <c r="EM43" s="0" t="n">
        <f aca="false">IF(EM38="","",SUM(EM40:EM42)*-Vacancy)</f>
        <v>-0</v>
      </c>
      <c r="EN43" s="0" t="n">
        <f aca="false">IF(EN38="","",SUM(EN40:EN42)*-Vacancy)</f>
        <v>-0</v>
      </c>
      <c r="EO43" s="0" t="n">
        <f aca="false">IF(EO38="","",SUM(EO40:EO42)*-Vacancy)</f>
        <v>-0</v>
      </c>
      <c r="EP43" s="0" t="n">
        <f aca="false">IF(EP38="","",SUM(EP40:EP42)*-Vacancy)</f>
        <v>-0</v>
      </c>
      <c r="EQ43" s="0" t="n">
        <f aca="false">IF(EQ38="","",SUM(EQ40:EQ42)*-Vacancy)</f>
        <v>-0</v>
      </c>
      <c r="ER43" s="0" t="n">
        <f aca="false">IF(ER38="","",SUM(ER40:ER42)*-Vacancy)</f>
        <v>-0</v>
      </c>
      <c r="ES43" s="0" t="n">
        <f aca="false">IF(ES38="","",SUM(ES40:ES42)*-Vacancy)</f>
        <v>-0</v>
      </c>
      <c r="ET43" s="0" t="n">
        <f aca="false">IF(ET38="","",SUM(ET40:ET42)*-Vacancy)</f>
        <v>-0</v>
      </c>
      <c r="EU43" s="0" t="n">
        <f aca="false">IF(EU38="","",SUM(EU40:EU42)*-Vacancy)</f>
        <v>-0</v>
      </c>
      <c r="EV43" s="0" t="n">
        <f aca="false">IF(EV38="","",SUM(EV40:EV42)*-Vacancy)</f>
        <v>-0</v>
      </c>
      <c r="EW43" s="0" t="n">
        <f aca="false">IF(EW38="","",SUM(EW40:EW42)*-Vacancy)</f>
        <v>-0</v>
      </c>
      <c r="EX43" s="0" t="n">
        <f aca="false">IF(EX38="","",SUM(EX40:EX42)*-Vacancy)</f>
        <v>-0</v>
      </c>
      <c r="EY43" s="0" t="n">
        <f aca="false">IF(EY38="","",SUM(EY40:EY42)*-Vacancy)</f>
        <v>-0</v>
      </c>
      <c r="EZ43" s="0" t="n">
        <f aca="false">IF(EZ38="","",SUM(EZ40:EZ42)*-Vacancy)</f>
        <v>-0</v>
      </c>
      <c r="FA43" s="0" t="n">
        <f aca="false">IF(FA38="","",SUM(FA40:FA42)*-Vacancy)</f>
        <v>-0</v>
      </c>
      <c r="FB43" s="0" t="n">
        <f aca="false">IF(FB38="","",SUM(FB40:FB42)*-Vacancy)</f>
        <v>-0</v>
      </c>
      <c r="FC43" s="0" t="n">
        <f aca="false">IF(FC38="","",SUM(FC40:FC42)*-Vacancy)</f>
        <v>-0</v>
      </c>
      <c r="FD43" s="0" t="str">
        <f aca="false">IF(FD38="","",SUM(FD40:FD42)*-Vacancy)</f>
        <v/>
      </c>
      <c r="FE43" s="0" t="e">
        <f aca="false">IF(FE38="","",SUM(FE40:FE42)*-Vacancy)</f>
        <v>#VALUE!</v>
      </c>
      <c r="FF43" s="0" t="e">
        <f aca="false">IF(FF38="","",SUM(FF40:FF42)*-Vacancy)</f>
        <v>#VALUE!</v>
      </c>
      <c r="FG43" s="0" t="e">
        <f aca="false">IF(FG38="","",SUM(FG40:FG42)*-Vacancy)</f>
        <v>#VALUE!</v>
      </c>
      <c r="FH43" s="0" t="e">
        <f aca="false">IF(FH38="","",SUM(FH40:FH42)*-Vacancy)</f>
        <v>#VALUE!</v>
      </c>
      <c r="FI43" s="0" t="e">
        <f aca="false">IF(FI38="","",SUM(FI40:FI42)*-Vacancy)</f>
        <v>#VALUE!</v>
      </c>
      <c r="FJ43" s="0" t="e">
        <f aca="false">IF(FJ38="","",SUM(FJ40:FJ42)*-Vacancy)</f>
        <v>#VALUE!</v>
      </c>
      <c r="FK43" s="0" t="e">
        <f aca="false">IF(FK38="","",SUM(FK40:FK42)*-Vacancy)</f>
        <v>#VALUE!</v>
      </c>
      <c r="FL43" s="0" t="e">
        <f aca="false">IF(FL38="","",SUM(FL40:FL42)*-Vacancy)</f>
        <v>#VALUE!</v>
      </c>
      <c r="FM43" s="0" t="e">
        <f aca="false">IF(FM38="","",SUM(FM40:FM42)*-Vacancy)</f>
        <v>#VALUE!</v>
      </c>
      <c r="FN43" s="0" t="e">
        <f aca="false">IF(FN38="","",SUM(FN40:FN42)*-Vacancy)</f>
        <v>#VALUE!</v>
      </c>
      <c r="FO43" s="0" t="e">
        <f aca="false">IF(FO38="","",SUM(FO40:FO42)*-Vacancy)</f>
        <v>#VALUE!</v>
      </c>
      <c r="FP43" s="0" t="e">
        <f aca="false">IF(FP38="","",SUM(FP40:FP42)*-Vacancy)</f>
        <v>#VALUE!</v>
      </c>
      <c r="FQ43" s="0" t="e">
        <f aca="false">IF(FQ38="","",SUM(FQ40:FQ42)*-Vacancy)</f>
        <v>#VALUE!</v>
      </c>
      <c r="FR43" s="0" t="e">
        <f aca="false">IF(FR38="","",SUM(FR40:FR42)*-Vacancy)</f>
        <v>#VALUE!</v>
      </c>
      <c r="FS43" s="0" t="e">
        <f aca="false">IF(FS38="","",SUM(FS40:FS42)*-Vacancy)</f>
        <v>#VALUE!</v>
      </c>
      <c r="FT43" s="0" t="e">
        <f aca="false">IF(FT38="","",SUM(FT40:FT42)*-Vacancy)</f>
        <v>#VALUE!</v>
      </c>
      <c r="FU43" s="0" t="e">
        <f aca="false">IF(FU38="","",SUM(FU40:FU42)*-Vacancy)</f>
        <v>#VALUE!</v>
      </c>
      <c r="FV43" s="0" t="e">
        <f aca="false">IF(FV38="","",SUM(FV40:FV42)*-Vacancy)</f>
        <v>#VALUE!</v>
      </c>
      <c r="FW43" s="0" t="e">
        <f aca="false">IF(FW38="","",SUM(FW40:FW42)*-Vacancy)</f>
        <v>#VALUE!</v>
      </c>
      <c r="FX43" s="0" t="e">
        <f aca="false">IF(FX38="","",SUM(FX40:FX42)*-Vacancy)</f>
        <v>#VALUE!</v>
      </c>
      <c r="FY43" s="0" t="e">
        <f aca="false">IF(FY38="","",SUM(FY40:FY42)*-Vacancy)</f>
        <v>#VALUE!</v>
      </c>
      <c r="FZ43" s="0" t="e">
        <f aca="false">IF(FZ38="","",SUM(FZ40:FZ42)*-Vacancy)</f>
        <v>#VALUE!</v>
      </c>
      <c r="GA43" s="0" t="e">
        <f aca="false">IF(GA38="","",SUM(GA40:GA42)*-Vacancy)</f>
        <v>#VALUE!</v>
      </c>
      <c r="GB43" s="0" t="e">
        <f aca="false">IF(GB38="","",SUM(GB40:GB42)*-Vacancy)</f>
        <v>#VALUE!</v>
      </c>
      <c r="GC43" s="0" t="e">
        <f aca="false">IF(GC38="","",SUM(GC40:GC42)*-Vacancy)</f>
        <v>#VALUE!</v>
      </c>
      <c r="GD43" s="0" t="e">
        <f aca="false">IF(GD38="","",SUM(GD40:GD42)*-Vacancy)</f>
        <v>#VALUE!</v>
      </c>
      <c r="GE43" s="0" t="e">
        <f aca="false">IF(GE38="","",SUM(GE40:GE42)*-Vacancy)</f>
        <v>#VALUE!</v>
      </c>
      <c r="GF43" s="0" t="e">
        <f aca="false">IF(GF38="","",SUM(GF40:GF42)*-Vacancy)</f>
        <v>#VALUE!</v>
      </c>
      <c r="GG43" s="0" t="e">
        <f aca="false">IF(GG38="","",SUM(GG40:GG42)*-Vacancy)</f>
        <v>#VALUE!</v>
      </c>
      <c r="GH43" s="0" t="e">
        <f aca="false">IF(GH38="","",SUM(GH40:GH42)*-Vacancy)</f>
        <v>#VALUE!</v>
      </c>
      <c r="GI43" s="0" t="e">
        <f aca="false">IF(GI38="","",SUM(GI40:GI42)*-Vacancy)</f>
        <v>#VALUE!</v>
      </c>
      <c r="GJ43" s="0" t="e">
        <f aca="false">IF(GJ38="","",SUM(GJ40:GJ42)*-Vacancy)</f>
        <v>#VALUE!</v>
      </c>
      <c r="GK43" s="0" t="e">
        <f aca="false">IF(GK38="","",SUM(GK40:GK42)*-Vacancy)</f>
        <v>#VALUE!</v>
      </c>
      <c r="GL43" s="0" t="e">
        <f aca="false">IF(GL38="","",SUM(GL40:GL42)*-Vacancy)</f>
        <v>#VALUE!</v>
      </c>
      <c r="GM43" s="0" t="e">
        <f aca="false">IF(GM38="","",SUM(GM40:GM42)*-Vacancy)</f>
        <v>#VALUE!</v>
      </c>
      <c r="GN43" s="0" t="e">
        <f aca="false">IF(GN38="","",SUM(GN40:GN42)*-Vacancy)</f>
        <v>#VALUE!</v>
      </c>
      <c r="GO43" s="0" t="e">
        <f aca="false">IF(GO38="","",SUM(GO40:GO42)*-Vacancy)</f>
        <v>#VALUE!</v>
      </c>
      <c r="GP43" s="0" t="e">
        <f aca="false">IF(GP38="","",SUM(GP40:GP42)*-Vacancy)</f>
        <v>#VALUE!</v>
      </c>
      <c r="GQ43" s="0" t="e">
        <f aca="false">IF(GQ38="","",SUM(GQ40:GQ42)*-Vacancy)</f>
        <v>#VALUE!</v>
      </c>
      <c r="GR43" s="0" t="e">
        <f aca="false">IF(GR38="","",SUM(GR40:GR42)*-Vacancy)</f>
        <v>#VALUE!</v>
      </c>
      <c r="GS43" s="0" t="e">
        <f aca="false">IF(GS38="","",SUM(GS40:GS42)*-Vacancy)</f>
        <v>#VALUE!</v>
      </c>
      <c r="GT43" s="0" t="e">
        <f aca="false">IF(GT38="","",SUM(GT40:GT42)*-Vacancy)</f>
        <v>#VALUE!</v>
      </c>
      <c r="GU43" s="0" t="e">
        <f aca="false">IF(GU38="","",SUM(GU40:GU42)*-Vacancy)</f>
        <v>#VALUE!</v>
      </c>
      <c r="GV43" s="0" t="e">
        <f aca="false">IF(GV38="","",SUM(GV40:GV42)*-Vacancy)</f>
        <v>#VALUE!</v>
      </c>
      <c r="GW43" s="0" t="e">
        <f aca="false">IF(GW38="","",SUM(GW40:GW42)*-Vacancy)</f>
        <v>#VALUE!</v>
      </c>
      <c r="GX43" s="0" t="e">
        <f aca="false">IF(GX38="","",SUM(GX40:GX42)*-Vacancy)</f>
        <v>#VALUE!</v>
      </c>
      <c r="GY43" s="0" t="e">
        <f aca="false">IF(GY38="","",SUM(GY40:GY42)*-Vacancy)</f>
        <v>#VALUE!</v>
      </c>
      <c r="GZ43" s="0" t="e">
        <f aca="false">IF(GZ38="","",SUM(GZ40:GZ42)*-Vacancy)</f>
        <v>#VALUE!</v>
      </c>
      <c r="HA43" s="0" t="e">
        <f aca="false">IF(HA38="","",SUM(HA40:HA42)*-Vacancy)</f>
        <v>#VALUE!</v>
      </c>
      <c r="HB43" s="0" t="e">
        <f aca="false">IF(HB38="","",SUM(HB40:HB42)*-Vacancy)</f>
        <v>#VALUE!</v>
      </c>
      <c r="HC43" s="0" t="e">
        <f aca="false">IF(HC38="","",SUM(HC40:HC42)*-Vacancy)</f>
        <v>#VALUE!</v>
      </c>
      <c r="HD43" s="0" t="e">
        <f aca="false">IF(HD38="","",SUM(HD40:HD42)*-Vacancy)</f>
        <v>#VALUE!</v>
      </c>
      <c r="HE43" s="0" t="e">
        <f aca="false">IF(HE38="","",SUM(HE40:HE42)*-Vacancy)</f>
        <v>#VALUE!</v>
      </c>
      <c r="HF43" s="0" t="e">
        <f aca="false">IF(HF38="","",SUM(HF40:HF42)*-Vacancy)</f>
        <v>#VALUE!</v>
      </c>
      <c r="HG43" s="0" t="e">
        <f aca="false">IF(HG38="","",SUM(HG40:HG42)*-Vacancy)</f>
        <v>#VALUE!</v>
      </c>
      <c r="HH43" s="0" t="e">
        <f aca="false">IF(HH38="","",SUM(HH40:HH42)*-Vacancy)</f>
        <v>#VALUE!</v>
      </c>
      <c r="HI43" s="0" t="e">
        <f aca="false">IF(HI38="","",SUM(HI40:HI42)*-Vacancy)</f>
        <v>#VALUE!</v>
      </c>
      <c r="HJ43" s="0" t="e">
        <f aca="false">IF(HJ38="","",SUM(HJ40:HJ42)*-Vacancy)</f>
        <v>#VALUE!</v>
      </c>
      <c r="HK43" s="0" t="e">
        <f aca="false">IF(HK38="","",SUM(HK40:HK42)*-Vacancy)</f>
        <v>#VALUE!</v>
      </c>
      <c r="HL43" s="0" t="e">
        <f aca="false">IF(HL38="","",SUM(HL40:HL42)*-Vacancy)</f>
        <v>#VALUE!</v>
      </c>
      <c r="HM43" s="0" t="e">
        <f aca="false">IF(HM38="","",SUM(HM40:HM42)*-Vacancy)</f>
        <v>#VALUE!</v>
      </c>
      <c r="HN43" s="0" t="e">
        <f aca="false">IF(HN38="","",SUM(HN40:HN42)*-Vacancy)</f>
        <v>#VALUE!</v>
      </c>
      <c r="HO43" s="0" t="e">
        <f aca="false">IF(HO38="","",SUM(HO40:HO42)*-Vacancy)</f>
        <v>#VALUE!</v>
      </c>
      <c r="HP43" s="0" t="e">
        <f aca="false">IF(HP38="","",SUM(HP40:HP42)*-Vacancy)</f>
        <v>#VALUE!</v>
      </c>
      <c r="HQ43" s="0" t="e">
        <f aca="false">IF(HQ38="","",SUM(HQ40:HQ42)*-Vacancy)</f>
        <v>#VALUE!</v>
      </c>
      <c r="HR43" s="0" t="e">
        <f aca="false">IF(HR38="","",SUM(HR40:HR42)*-Vacancy)</f>
        <v>#VALUE!</v>
      </c>
      <c r="HS43" s="0" t="e">
        <f aca="false">IF(HS38="","",SUM(HS40:HS42)*-Vacancy)</f>
        <v>#VALUE!</v>
      </c>
      <c r="HT43" s="0" t="e">
        <f aca="false">IF(HT38="","",SUM(HT40:HT42)*-Vacancy)</f>
        <v>#VALUE!</v>
      </c>
      <c r="HU43" s="0" t="e">
        <f aca="false">IF(HU38="","",SUM(HU40:HU42)*-Vacancy)</f>
        <v>#VALUE!</v>
      </c>
      <c r="HV43" s="0" t="e">
        <f aca="false">IF(HV38="","",SUM(HV40:HV42)*-Vacancy)</f>
        <v>#VALUE!</v>
      </c>
      <c r="HW43" s="0" t="e">
        <f aca="false">IF(HW38="","",SUM(HW40:HW42)*-Vacancy)</f>
        <v>#VALUE!</v>
      </c>
      <c r="HX43" s="0" t="e">
        <f aca="false">IF(HX38="","",SUM(HX40:HX42)*-Vacancy)</f>
        <v>#VALUE!</v>
      </c>
      <c r="HY43" s="0" t="e">
        <f aca="false">IF(HY38="","",SUM(HY40:HY42)*-Vacancy)</f>
        <v>#VALUE!</v>
      </c>
      <c r="HZ43" s="0" t="e">
        <f aca="false">IF(HZ38="","",SUM(HZ40:HZ42)*-Vacancy)</f>
        <v>#VALUE!</v>
      </c>
      <c r="IA43" s="0" t="e">
        <f aca="false">IF(IA38="","",SUM(IA40:IA42)*-Vacancy)</f>
        <v>#VALUE!</v>
      </c>
      <c r="IB43" s="0" t="e">
        <f aca="false">IF(IB38="","",SUM(IB40:IB42)*-Vacancy)</f>
        <v>#VALUE!</v>
      </c>
      <c r="IC43" s="0" t="e">
        <f aca="false">IF(IC38="","",SUM(IC40:IC42)*-Vacancy)</f>
        <v>#VALUE!</v>
      </c>
      <c r="ID43" s="0" t="e">
        <f aca="false">IF(ID38="","",SUM(ID40:ID42)*-Vacancy)</f>
        <v>#VALUE!</v>
      </c>
      <c r="IE43" s="0" t="e">
        <f aca="false">IF(IE38="","",SUM(IE40:IE42)*-Vacancy)</f>
        <v>#VALUE!</v>
      </c>
      <c r="IF43" s="0" t="e">
        <f aca="false">IF(IF38="","",SUM(IF40:IF42)*-Vacancy)</f>
        <v>#VALUE!</v>
      </c>
      <c r="IG43" s="0" t="e">
        <f aca="false">IF(IG38="","",SUM(IG40:IG42)*-Vacancy)</f>
        <v>#VALUE!</v>
      </c>
      <c r="IH43" s="0" t="e">
        <f aca="false">IF(IH38="","",SUM(IH40:IH42)*-Vacancy)</f>
        <v>#VALUE!</v>
      </c>
      <c r="II43" s="0" t="e">
        <f aca="false">IF(II38="","",SUM(II40:II42)*-Vacancy)</f>
        <v>#VALUE!</v>
      </c>
    </row>
    <row r="44" customFormat="false" ht="15" hidden="false" customHeight="false" outlineLevel="0" collapsed="false">
      <c r="B44" s="0" t="s">
        <v>110</v>
      </c>
      <c r="C44" s="0" t="n">
        <f aca="false">IF(C38="","",SUM(C40:C43))</f>
        <v>0</v>
      </c>
      <c r="D44" s="0" t="n">
        <f aca="false">IF(D38="","",SUM(D40:D43))</f>
        <v>55406.25</v>
      </c>
      <c r="E44" s="0" t="n">
        <f aca="false">IF(E38="","",SUM(E40:E43))</f>
        <v>55406.25</v>
      </c>
      <c r="F44" s="0" t="n">
        <f aca="false">IF(F38="","",SUM(F40:F43))</f>
        <v>55406.25</v>
      </c>
      <c r="G44" s="0" t="n">
        <f aca="false">IF(G38="","",SUM(G40:G43))</f>
        <v>55406.25</v>
      </c>
      <c r="H44" s="0" t="n">
        <f aca="false">IF(H38="","",SUM(H40:H43))</f>
        <v>55406.25</v>
      </c>
      <c r="I44" s="0" t="n">
        <f aca="false">IF(I38="","",SUM(I40:I43))</f>
        <v>55406.25</v>
      </c>
      <c r="J44" s="0" t="n">
        <f aca="false">IF(J38="","",SUM(J40:J43))</f>
        <v>55406.25</v>
      </c>
      <c r="K44" s="0" t="n">
        <f aca="false">IF(K38="","",SUM(K40:K43))</f>
        <v>55406.25</v>
      </c>
      <c r="L44" s="0" t="n">
        <f aca="false">IF(L38="","",SUM(L40:L43))</f>
        <v>55406.25</v>
      </c>
      <c r="M44" s="0" t="n">
        <f aca="false">IF(M38="","",SUM(M40:M43))</f>
        <v>55406.25</v>
      </c>
      <c r="N44" s="0" t="n">
        <f aca="false">IF(N38="","",SUM(N40:N43))</f>
        <v>55406.25</v>
      </c>
      <c r="O44" s="0" t="n">
        <f aca="false">IF(O38="","",SUM(O40:O43))</f>
        <v>55406.25</v>
      </c>
      <c r="P44" s="0" t="n">
        <f aca="false">IF(P38="","",SUM(P40:P43))</f>
        <v>56558.1770833333</v>
      </c>
      <c r="Q44" s="0" t="n">
        <f aca="false">IF(Q38="","",SUM(Q40:Q43))</f>
        <v>56558.1770833333</v>
      </c>
      <c r="R44" s="0" t="n">
        <f aca="false">IF(R38="","",SUM(R40:R43))</f>
        <v>56558.1770833333</v>
      </c>
      <c r="S44" s="0" t="n">
        <f aca="false">IF(S38="","",SUM(S40:S43))</f>
        <v>56558.1770833333</v>
      </c>
      <c r="T44" s="0" t="n">
        <f aca="false">IF(T38="","",SUM(T40:T43))</f>
        <v>56558.1770833333</v>
      </c>
      <c r="U44" s="0" t="n">
        <f aca="false">IF(U38="","",SUM(U40:U43))</f>
        <v>56558.1770833333</v>
      </c>
      <c r="V44" s="0" t="n">
        <f aca="false">IF(V38="","",SUM(V40:V43))</f>
        <v>56558.1770833333</v>
      </c>
      <c r="W44" s="0" t="n">
        <f aca="false">IF(W38="","",SUM(W40:W43))</f>
        <v>56558.1770833333</v>
      </c>
      <c r="X44" s="0" t="n">
        <f aca="false">IF(X38="","",SUM(X40:X43))</f>
        <v>56558.1770833333</v>
      </c>
      <c r="Y44" s="0" t="n">
        <f aca="false">IF(Y38="","",SUM(Y40:Y43))</f>
        <v>56558.1770833333</v>
      </c>
      <c r="Z44" s="0" t="n">
        <f aca="false">IF(Z38="","",SUM(Z40:Z43))</f>
        <v>56558.1770833333</v>
      </c>
      <c r="AA44" s="0" t="n">
        <f aca="false">IF(AA38="","",SUM(AA40:AA43))</f>
        <v>56558.1770833333</v>
      </c>
      <c r="AB44" s="0" t="n">
        <f aca="false">IF(AB38="","",SUM(AB40:AB43))</f>
        <v>57734.2377604167</v>
      </c>
      <c r="AC44" s="0" t="n">
        <f aca="false">IF(AC38="","",SUM(AC40:AC43))</f>
        <v>57734.2377604167</v>
      </c>
      <c r="AD44" s="0" t="n">
        <f aca="false">IF(AD38="","",SUM(AD40:AD43))</f>
        <v>57734.2377604167</v>
      </c>
      <c r="AE44" s="0" t="n">
        <f aca="false">IF(AE38="","",SUM(AE40:AE43))</f>
        <v>57734.2377604167</v>
      </c>
      <c r="AF44" s="0" t="n">
        <f aca="false">IF(AF38="","",SUM(AF40:AF43))</f>
        <v>57734.2377604167</v>
      </c>
      <c r="AG44" s="0" t="n">
        <f aca="false">IF(AG38="","",SUM(AG40:AG43))</f>
        <v>57734.2377604167</v>
      </c>
      <c r="AH44" s="0" t="n">
        <f aca="false">IF(AH38="","",SUM(AH40:AH43))</f>
        <v>57734.2377604167</v>
      </c>
      <c r="AI44" s="0" t="n">
        <f aca="false">IF(AI38="","",SUM(AI40:AI43))</f>
        <v>57734.2377604167</v>
      </c>
      <c r="AJ44" s="0" t="n">
        <f aca="false">IF(AJ38="","",SUM(AJ40:AJ43))</f>
        <v>57734.2377604167</v>
      </c>
      <c r="AK44" s="0" t="n">
        <f aca="false">IF(AK38="","",SUM(AK40:AK43))</f>
        <v>57734.2377604167</v>
      </c>
      <c r="AL44" s="0" t="n">
        <f aca="false">IF(AL38="","",SUM(AL40:AL43))</f>
        <v>57734.2377604167</v>
      </c>
      <c r="AM44" s="0" t="n">
        <f aca="false">IF(AM38="","",SUM(AM40:AM43))</f>
        <v>57734.2377604167</v>
      </c>
      <c r="AN44" s="0" t="n">
        <f aca="false">IF(AN38="","",SUM(AN40:AN43))</f>
        <v>58934.9420794271</v>
      </c>
      <c r="AO44" s="0" t="n">
        <f aca="false">IF(AO38="","",SUM(AO40:AO43))</f>
        <v>58934.9420794271</v>
      </c>
      <c r="AP44" s="0" t="n">
        <f aca="false">IF(AP38="","",SUM(AP40:AP43))</f>
        <v>58934.9420794271</v>
      </c>
      <c r="AQ44" s="0" t="n">
        <f aca="false">IF(AQ38="","",SUM(AQ40:AQ43))</f>
        <v>58934.9420794271</v>
      </c>
      <c r="AR44" s="0" t="n">
        <f aca="false">IF(AR38="","",SUM(AR40:AR43))</f>
        <v>58934.9420794271</v>
      </c>
      <c r="AS44" s="0" t="n">
        <f aca="false">IF(AS38="","",SUM(AS40:AS43))</f>
        <v>58934.9420794271</v>
      </c>
      <c r="AT44" s="0" t="n">
        <f aca="false">IF(AT38="","",SUM(AT40:AT43))</f>
        <v>58934.9420794271</v>
      </c>
      <c r="AU44" s="0" t="n">
        <f aca="false">IF(AU38="","",SUM(AU40:AU43))</f>
        <v>58934.9420794271</v>
      </c>
      <c r="AV44" s="0" t="n">
        <f aca="false">IF(AV38="","",SUM(AV40:AV43))</f>
        <v>58934.9420794271</v>
      </c>
      <c r="AW44" s="0" t="n">
        <f aca="false">IF(AW38="","",SUM(AW40:AW43))</f>
        <v>58934.9420794271</v>
      </c>
      <c r="AX44" s="0" t="n">
        <f aca="false">IF(AX38="","",SUM(AX40:AX43))</f>
        <v>58934.9420794271</v>
      </c>
      <c r="AY44" s="0" t="n">
        <f aca="false">IF(AY38="","",SUM(AY40:AY43))</f>
        <v>58934.9420794271</v>
      </c>
      <c r="AZ44" s="0" t="n">
        <f aca="false">IF(AZ38="","",SUM(AZ40:AZ43))</f>
        <v>60160.8109739128</v>
      </c>
      <c r="BA44" s="0" t="n">
        <f aca="false">IF(BA38="","",SUM(BA40:BA43))</f>
        <v>60160.8109739128</v>
      </c>
      <c r="BB44" s="0" t="n">
        <f aca="false">IF(BB38="","",SUM(BB40:BB43))</f>
        <v>60160.8109739128</v>
      </c>
      <c r="BC44" s="0" t="n">
        <f aca="false">IF(BC38="","",SUM(BC40:BC43))</f>
        <v>60160.8109739128</v>
      </c>
      <c r="BD44" s="0" t="n">
        <f aca="false">IF(BD38="","",SUM(BD40:BD43))</f>
        <v>60160.8109739128</v>
      </c>
      <c r="BE44" s="0" t="n">
        <f aca="false">IF(BE38="","",SUM(BE40:BE43))</f>
        <v>60160.8109739128</v>
      </c>
      <c r="BF44" s="0" t="n">
        <f aca="false">IF(BF38="","",SUM(BF40:BF43))</f>
        <v>60160.8109739128</v>
      </c>
      <c r="BG44" s="0" t="n">
        <f aca="false">IF(BG38="","",SUM(BG40:BG43))</f>
        <v>60160.8109739128</v>
      </c>
      <c r="BH44" s="0" t="n">
        <f aca="false">IF(BH38="","",SUM(BH40:BH43))</f>
        <v>60160.8109739128</v>
      </c>
      <c r="BI44" s="0" t="n">
        <f aca="false">IF(BI38="","",SUM(BI40:BI43))</f>
        <v>60160.8109739128</v>
      </c>
      <c r="BJ44" s="0" t="n">
        <f aca="false">IF(BJ38="","",SUM(BJ40:BJ43))</f>
        <v>60160.8109739128</v>
      </c>
      <c r="BK44" s="0" t="n">
        <f aca="false">IF(BK38="","",SUM(BK40:BK43))</f>
        <v>60160.8109739128</v>
      </c>
      <c r="BL44" s="0" t="n">
        <f aca="false">IF(BL38="","",SUM(BL40:BL43))</f>
        <v>61412.3764976106</v>
      </c>
      <c r="BM44" s="0" t="n">
        <f aca="false">IF(BM38="","",SUM(BM40:BM43))</f>
        <v>61412.3764976106</v>
      </c>
      <c r="BN44" s="0" t="n">
        <f aca="false">IF(BN38="","",SUM(BN40:BN43))</f>
        <v>61412.3764976106</v>
      </c>
      <c r="BO44" s="0" t="n">
        <f aca="false">IF(BO38="","",SUM(BO40:BO43))</f>
        <v>61412.3764976106</v>
      </c>
      <c r="BP44" s="0" t="n">
        <f aca="false">IF(BP38="","",SUM(BP40:BP43))</f>
        <v>61412.3764976106</v>
      </c>
      <c r="BQ44" s="0" t="n">
        <f aca="false">IF(BQ38="","",SUM(BQ40:BQ43))</f>
        <v>61412.3764976106</v>
      </c>
      <c r="BR44" s="0" t="n">
        <f aca="false">IF(BR38="","",SUM(BR40:BR43))</f>
        <v>61412.3764976106</v>
      </c>
      <c r="BS44" s="0" t="n">
        <f aca="false">IF(BS38="","",SUM(BS40:BS43))</f>
        <v>61412.3764976106</v>
      </c>
      <c r="BT44" s="0" t="n">
        <f aca="false">IF(BT38="","",SUM(BT40:BT43))</f>
        <v>61412.3764976106</v>
      </c>
      <c r="BU44" s="0" t="n">
        <f aca="false">IF(BU38="","",SUM(BU40:BU43))</f>
        <v>61412.3764976106</v>
      </c>
      <c r="BV44" s="0" t="n">
        <f aca="false">IF(BV38="","",SUM(BV40:BV43))</f>
        <v>61412.3764976106</v>
      </c>
      <c r="BW44" s="0" t="n">
        <f aca="false">IF(BW38="","",SUM(BW40:BW43))</f>
        <v>61412.3764976106</v>
      </c>
      <c r="BX44" s="0" t="n">
        <f aca="false">IF(BX38="","",SUM(BX40:BX43))</f>
        <v>62690.1820643878</v>
      </c>
      <c r="BY44" s="0" t="n">
        <f aca="false">IF(BY38="","",SUM(BY40:BY43))</f>
        <v>62690.1820643878</v>
      </c>
      <c r="BZ44" s="0" t="n">
        <f aca="false">IF(BZ38="","",SUM(BZ40:BZ43))</f>
        <v>62690.1820643878</v>
      </c>
      <c r="CA44" s="0" t="n">
        <f aca="false">IF(CA38="","",SUM(CA40:CA43))</f>
        <v>62690.1820643878</v>
      </c>
      <c r="CB44" s="0" t="n">
        <f aca="false">IF(CB38="","",SUM(CB40:CB43))</f>
        <v>62690.1820643878</v>
      </c>
      <c r="CC44" s="0" t="n">
        <f aca="false">IF(CC38="","",SUM(CC40:CC43))</f>
        <v>62690.1820643878</v>
      </c>
      <c r="CD44" s="0" t="n">
        <f aca="false">IF(CD38="","",SUM(CD40:CD43))</f>
        <v>62690.1820643878</v>
      </c>
      <c r="CE44" s="0" t="n">
        <f aca="false">IF(CE38="","",SUM(CE40:CE43))</f>
        <v>62690.1820643878</v>
      </c>
      <c r="CF44" s="0" t="n">
        <f aca="false">IF(CF38="","",SUM(CF40:CF43))</f>
        <v>62690.1820643878</v>
      </c>
      <c r="CG44" s="0" t="n">
        <f aca="false">IF(CG38="","",SUM(CG40:CG43))</f>
        <v>62690.1820643878</v>
      </c>
      <c r="CH44" s="0" t="n">
        <f aca="false">IF(CH38="","",SUM(CH40:CH43))</f>
        <v>62690.1820643878</v>
      </c>
      <c r="CI44" s="0" t="n">
        <f aca="false">IF(CI38="","",SUM(CI40:CI43))</f>
        <v>62690.1820643878</v>
      </c>
      <c r="CJ44" s="0" t="n">
        <f aca="false">IF(CJ38="","",SUM(CJ40:CJ43))</f>
        <v>63994.7826934213</v>
      </c>
      <c r="CK44" s="0" t="n">
        <f aca="false">IF(CK38="","",SUM(CK40:CK43))</f>
        <v>63994.7826934213</v>
      </c>
      <c r="CL44" s="0" t="n">
        <f aca="false">IF(CL38="","",SUM(CL40:CL43))</f>
        <v>63994.7826934213</v>
      </c>
      <c r="CM44" s="0" t="n">
        <f aca="false">IF(CM38="","",SUM(CM40:CM43))</f>
        <v>63994.7826934213</v>
      </c>
      <c r="CN44" s="0" t="n">
        <f aca="false">IF(CN38="","",SUM(CN40:CN43))</f>
        <v>63994.7826934213</v>
      </c>
      <c r="CO44" s="0" t="n">
        <f aca="false">IF(CO38="","",SUM(CO40:CO43))</f>
        <v>63994.7826934213</v>
      </c>
      <c r="CP44" s="0" t="n">
        <f aca="false">IF(CP38="","",SUM(CP40:CP43))</f>
        <v>63994.7826934213</v>
      </c>
      <c r="CQ44" s="0" t="n">
        <f aca="false">IF(CQ38="","",SUM(CQ40:CQ43))</f>
        <v>63994.7826934213</v>
      </c>
      <c r="CR44" s="0" t="n">
        <f aca="false">IF(CR38="","",SUM(CR40:CR43))</f>
        <v>63994.7826934213</v>
      </c>
      <c r="CS44" s="0" t="n">
        <f aca="false">IF(CS38="","",SUM(CS40:CS43))</f>
        <v>63994.7826934213</v>
      </c>
      <c r="CT44" s="0" t="n">
        <f aca="false">IF(CT38="","",SUM(CT40:CT43))</f>
        <v>63994.7826934213</v>
      </c>
      <c r="CU44" s="0" t="n">
        <f aca="false">IF(CU38="","",SUM(CU40:CU43))</f>
        <v>63994.7826934213</v>
      </c>
      <c r="CV44" s="0" t="n">
        <f aca="false">IF(CV38="","",SUM(CV40:CV43))</f>
        <v>48974.7740236162</v>
      </c>
      <c r="CW44" s="0" t="n">
        <f aca="false">IF(CW38="","",SUM(CW40:CW43))</f>
        <v>48974.7740236162</v>
      </c>
      <c r="CX44" s="0" t="n">
        <f aca="false">IF(CX38="","",SUM(CX40:CX43))</f>
        <v>48974.7740236162</v>
      </c>
      <c r="CY44" s="0" t="n">
        <f aca="false">IF(CY38="","",SUM(CY40:CY43))</f>
        <v>48974.7740236162</v>
      </c>
      <c r="CZ44" s="0" t="n">
        <f aca="false">IF(CZ38="","",SUM(CZ40:CZ43))</f>
        <v>48974.7740236162</v>
      </c>
      <c r="DA44" s="0" t="n">
        <f aca="false">IF(DA38="","",SUM(DA40:DA43))</f>
        <v>48974.7740236162</v>
      </c>
      <c r="DB44" s="0" t="n">
        <f aca="false">IF(DB38="","",SUM(DB40:DB43))</f>
        <v>48974.7740236162</v>
      </c>
      <c r="DC44" s="0" t="n">
        <f aca="false">IF(DC38="","",SUM(DC40:DC43))</f>
        <v>48974.7740236162</v>
      </c>
      <c r="DD44" s="0" t="n">
        <f aca="false">IF(DD38="","",SUM(DD40:DD43))</f>
        <v>48974.7740236162</v>
      </c>
      <c r="DE44" s="0" t="n">
        <f aca="false">IF(DE38="","",SUM(DE40:DE43))</f>
        <v>62024.7740236162</v>
      </c>
      <c r="DF44" s="0" t="n">
        <f aca="false">IF(DF38="","",SUM(DF40:DF43))</f>
        <v>62024.7740236162</v>
      </c>
      <c r="DG44" s="0" t="n">
        <f aca="false">IF(DG38="","",SUM(DG40:DG43))</f>
        <v>62024.7740236162</v>
      </c>
      <c r="DH44" s="0" t="n">
        <f aca="false">IF(DH38="","",SUM(DH40:DH43))</f>
        <v>62294.5460983202</v>
      </c>
      <c r="DI44" s="0" t="n">
        <f aca="false">IF(DI38="","",SUM(DI40:DI43))</f>
        <v>62294.5460983202</v>
      </c>
      <c r="DJ44" s="0" t="n">
        <f aca="false">IF(DJ38="","",SUM(DJ40:DJ43))</f>
        <v>62294.5460983202</v>
      </c>
      <c r="DK44" s="0" t="n">
        <f aca="false">IF(DK38="","",SUM(DK40:DK43))</f>
        <v>62294.5460983202</v>
      </c>
      <c r="DL44" s="0" t="n">
        <f aca="false">IF(DL38="","",SUM(DL40:DL43))</f>
        <v>62294.5460983202</v>
      </c>
      <c r="DM44" s="0" t="n">
        <f aca="false">IF(DM38="","",SUM(DM40:DM43))</f>
        <v>62294.5460983202</v>
      </c>
      <c r="DN44" s="0" t="n">
        <f aca="false">IF(DN38="","",SUM(DN40:DN43))</f>
        <v>62294.5460983202</v>
      </c>
      <c r="DO44" s="0" t="n">
        <f aca="false">IF(DO38="","",SUM(DO40:DO43))</f>
        <v>62294.5460983202</v>
      </c>
      <c r="DP44" s="0" t="n">
        <f aca="false">IF(DP38="","",SUM(DP40:DP43))</f>
        <v>62294.5460983202</v>
      </c>
      <c r="DQ44" s="0" t="n">
        <f aca="false">IF(DQ38="","",SUM(DQ40:DQ43))</f>
        <v>62294.5460983202</v>
      </c>
      <c r="DR44" s="0" t="n">
        <f aca="false">IF(DR38="","",SUM(DR40:DR43))</f>
        <v>62294.5460983202</v>
      </c>
      <c r="DS44" s="0" t="n">
        <f aca="false">IF(DS38="","",SUM(DS40:DS43))</f>
        <v>62294.5460983202</v>
      </c>
      <c r="DT44" s="0" t="n">
        <f aca="false">IF(DT38="","",SUM(DT40:DT43))</f>
        <v>62571.0478291495</v>
      </c>
      <c r="DU44" s="0" t="n">
        <f aca="false">IF(DU38="","",SUM(DU40:DU43))</f>
        <v>62571.0478291495</v>
      </c>
      <c r="DV44" s="0" t="n">
        <f aca="false">IF(DV38="","",SUM(DV40:DV43))</f>
        <v>62571.0478291495</v>
      </c>
      <c r="DW44" s="0" t="n">
        <f aca="false">IF(DW38="","",SUM(DW40:DW43))</f>
        <v>62571.0478291495</v>
      </c>
      <c r="DX44" s="0" t="n">
        <f aca="false">IF(DX38="","",SUM(DX40:DX43))</f>
        <v>62571.0478291495</v>
      </c>
      <c r="DY44" s="0" t="n">
        <f aca="false">IF(DY38="","",SUM(DY40:DY43))</f>
        <v>62571.0478291495</v>
      </c>
      <c r="DZ44" s="0" t="n">
        <f aca="false">IF(DZ38="","",SUM(DZ40:DZ43))</f>
        <v>62571.0478291495</v>
      </c>
      <c r="EA44" s="0" t="n">
        <f aca="false">IF(EA38="","",SUM(EA40:EA43))</f>
        <v>62571.0478291495</v>
      </c>
      <c r="EB44" s="0" t="n">
        <f aca="false">IF(EB38="","",SUM(EB40:EB43))</f>
        <v>62571.0478291495</v>
      </c>
      <c r="EC44" s="0" t="n">
        <f aca="false">IF(EC38="","",SUM(EC40:EC43))</f>
        <v>62571.0478291495</v>
      </c>
      <c r="ED44" s="0" t="n">
        <f aca="false">IF(ED38="","",SUM(ED40:ED43))</f>
        <v>62571.0478291495</v>
      </c>
      <c r="EE44" s="0" t="n">
        <f aca="false">IF(EE38="","",SUM(EE40:EE43))</f>
        <v>62571.0478291495</v>
      </c>
      <c r="EF44" s="0" t="n">
        <f aca="false">IF(EF38="","",SUM(EF40:EF43))</f>
        <v>62854.4471645925</v>
      </c>
      <c r="EG44" s="0" t="n">
        <f aca="false">IF(EG38="","",SUM(EG40:EG43))</f>
        <v>62854.4471645925</v>
      </c>
      <c r="EH44" s="0" t="n">
        <f aca="false">IF(EH38="","",SUM(EH40:EH43))</f>
        <v>62854.4471645925</v>
      </c>
      <c r="EI44" s="0" t="n">
        <f aca="false">IF(EI38="","",SUM(EI40:EI43))</f>
        <v>62854.4471645925</v>
      </c>
      <c r="EJ44" s="0" t="n">
        <f aca="false">IF(EJ38="","",SUM(EJ40:EJ43))</f>
        <v>62854.4471645925</v>
      </c>
      <c r="EK44" s="0" t="n">
        <f aca="false">IF(EK38="","",SUM(EK40:EK43))</f>
        <v>62854.4471645925</v>
      </c>
      <c r="EL44" s="0" t="n">
        <f aca="false">IF(EL38="","",SUM(EL40:EL43))</f>
        <v>62854.4471645925</v>
      </c>
      <c r="EM44" s="0" t="n">
        <f aca="false">IF(EM38="","",SUM(EM40:EM43))</f>
        <v>62854.4471645925</v>
      </c>
      <c r="EN44" s="0" t="n">
        <f aca="false">IF(EN38="","",SUM(EN40:EN43))</f>
        <v>62854.4471645925</v>
      </c>
      <c r="EO44" s="0" t="n">
        <f aca="false">IF(EO38="","",SUM(EO40:EO43))</f>
        <v>62854.4471645925</v>
      </c>
      <c r="EP44" s="0" t="n">
        <f aca="false">IF(EP38="","",SUM(EP40:EP43))</f>
        <v>62854.4471645925</v>
      </c>
      <c r="EQ44" s="0" t="n">
        <f aca="false">IF(EQ38="","",SUM(EQ40:EQ43))</f>
        <v>62854.4471645925</v>
      </c>
      <c r="ER44" s="0" t="n">
        <f aca="false">IF(ER38="","",SUM(ER40:ER43))</f>
        <v>63144.9162459914</v>
      </c>
      <c r="ES44" s="0" t="n">
        <f aca="false">IF(ES38="","",SUM(ES40:ES43))</f>
        <v>63144.9162459914</v>
      </c>
      <c r="ET44" s="0" t="n">
        <f aca="false">IF(ET38="","",SUM(ET40:ET43))</f>
        <v>63144.9162459914</v>
      </c>
      <c r="EU44" s="0" t="n">
        <f aca="false">IF(EU38="","",SUM(EU40:EU43))</f>
        <v>63144.9162459914</v>
      </c>
      <c r="EV44" s="0" t="n">
        <f aca="false">IF(EV38="","",SUM(EV40:EV43))</f>
        <v>63144.9162459914</v>
      </c>
      <c r="EW44" s="0" t="n">
        <f aca="false">IF(EW38="","",SUM(EW40:EW43))</f>
        <v>63144.9162459914</v>
      </c>
      <c r="EX44" s="0" t="n">
        <f aca="false">IF(EX38="","",SUM(EX40:EX43))</f>
        <v>63144.9162459914</v>
      </c>
      <c r="EY44" s="0" t="n">
        <f aca="false">IF(EY38="","",SUM(EY40:EY43))</f>
        <v>63144.9162459914</v>
      </c>
      <c r="EZ44" s="0" t="n">
        <f aca="false">IF(EZ38="","",SUM(EZ40:EZ43))</f>
        <v>63144.9162459914</v>
      </c>
      <c r="FA44" s="0" t="n">
        <f aca="false">IF(FA38="","",SUM(FA40:FA43))</f>
        <v>63144.9162459914</v>
      </c>
      <c r="FB44" s="0" t="n">
        <f aca="false">IF(FB38="","",SUM(FB40:FB43))</f>
        <v>63144.9162459914</v>
      </c>
      <c r="FC44" s="0" t="n">
        <f aca="false">IF(FC38="","",SUM(FC40:FC43))</f>
        <v>63144.9162459914</v>
      </c>
      <c r="FD44" s="0" t="str">
        <f aca="false">IF(FD38="","",SUM(FD40:FD43))</f>
        <v/>
      </c>
      <c r="FE44" s="0" t="e">
        <f aca="false">IF(FE38="","",SUM(FE40:FE43))</f>
        <v>#VALUE!</v>
      </c>
      <c r="FF44" s="0" t="e">
        <f aca="false">IF(FF38="","",SUM(FF40:FF43))</f>
        <v>#VALUE!</v>
      </c>
      <c r="FG44" s="0" t="e">
        <f aca="false">IF(FG38="","",SUM(FG40:FG43))</f>
        <v>#VALUE!</v>
      </c>
      <c r="FH44" s="0" t="e">
        <f aca="false">IF(FH38="","",SUM(FH40:FH43))</f>
        <v>#VALUE!</v>
      </c>
      <c r="FI44" s="0" t="e">
        <f aca="false">IF(FI38="","",SUM(FI40:FI43))</f>
        <v>#VALUE!</v>
      </c>
      <c r="FJ44" s="0" t="e">
        <f aca="false">IF(FJ38="","",SUM(FJ40:FJ43))</f>
        <v>#VALUE!</v>
      </c>
      <c r="FK44" s="0" t="e">
        <f aca="false">IF(FK38="","",SUM(FK40:FK43))</f>
        <v>#VALUE!</v>
      </c>
      <c r="FL44" s="0" t="e">
        <f aca="false">IF(FL38="","",SUM(FL40:FL43))</f>
        <v>#VALUE!</v>
      </c>
      <c r="FM44" s="0" t="e">
        <f aca="false">IF(FM38="","",SUM(FM40:FM43))</f>
        <v>#VALUE!</v>
      </c>
      <c r="FN44" s="0" t="e">
        <f aca="false">IF(FN38="","",SUM(FN40:FN43))</f>
        <v>#VALUE!</v>
      </c>
      <c r="FO44" s="0" t="e">
        <f aca="false">IF(FO38="","",SUM(FO40:FO43))</f>
        <v>#VALUE!</v>
      </c>
      <c r="FP44" s="0" t="e">
        <f aca="false">IF(FP38="","",SUM(FP40:FP43))</f>
        <v>#VALUE!</v>
      </c>
      <c r="FQ44" s="0" t="e">
        <f aca="false">IF(FQ38="","",SUM(FQ40:FQ43))</f>
        <v>#VALUE!</v>
      </c>
      <c r="FR44" s="0" t="e">
        <f aca="false">IF(FR38="","",SUM(FR40:FR43))</f>
        <v>#VALUE!</v>
      </c>
      <c r="FS44" s="0" t="e">
        <f aca="false">IF(FS38="","",SUM(FS40:FS43))</f>
        <v>#VALUE!</v>
      </c>
      <c r="FT44" s="0" t="e">
        <f aca="false">IF(FT38="","",SUM(FT40:FT43))</f>
        <v>#VALUE!</v>
      </c>
      <c r="FU44" s="0" t="e">
        <f aca="false">IF(FU38="","",SUM(FU40:FU43))</f>
        <v>#VALUE!</v>
      </c>
      <c r="FV44" s="0" t="e">
        <f aca="false">IF(FV38="","",SUM(FV40:FV43))</f>
        <v>#VALUE!</v>
      </c>
      <c r="FW44" s="0" t="e">
        <f aca="false">IF(FW38="","",SUM(FW40:FW43))</f>
        <v>#VALUE!</v>
      </c>
      <c r="FX44" s="0" t="e">
        <f aca="false">IF(FX38="","",SUM(FX40:FX43))</f>
        <v>#VALUE!</v>
      </c>
      <c r="FY44" s="0" t="e">
        <f aca="false">IF(FY38="","",SUM(FY40:FY43))</f>
        <v>#VALUE!</v>
      </c>
      <c r="FZ44" s="0" t="e">
        <f aca="false">IF(FZ38="","",SUM(FZ40:FZ43))</f>
        <v>#VALUE!</v>
      </c>
      <c r="GA44" s="0" t="e">
        <f aca="false">IF(GA38="","",SUM(GA40:GA43))</f>
        <v>#VALUE!</v>
      </c>
      <c r="GB44" s="0" t="e">
        <f aca="false">IF(GB38="","",SUM(GB40:GB43))</f>
        <v>#VALUE!</v>
      </c>
      <c r="GC44" s="0" t="e">
        <f aca="false">IF(GC38="","",SUM(GC40:GC43))</f>
        <v>#VALUE!</v>
      </c>
      <c r="GD44" s="0" t="e">
        <f aca="false">IF(GD38="","",SUM(GD40:GD43))</f>
        <v>#VALUE!</v>
      </c>
      <c r="GE44" s="0" t="e">
        <f aca="false">IF(GE38="","",SUM(GE40:GE43))</f>
        <v>#VALUE!</v>
      </c>
      <c r="GF44" s="0" t="e">
        <f aca="false">IF(GF38="","",SUM(GF40:GF43))</f>
        <v>#VALUE!</v>
      </c>
      <c r="GG44" s="0" t="e">
        <f aca="false">IF(GG38="","",SUM(GG40:GG43))</f>
        <v>#VALUE!</v>
      </c>
      <c r="GH44" s="0" t="e">
        <f aca="false">IF(GH38="","",SUM(GH40:GH43))</f>
        <v>#VALUE!</v>
      </c>
      <c r="GI44" s="0" t="e">
        <f aca="false">IF(GI38="","",SUM(GI40:GI43))</f>
        <v>#VALUE!</v>
      </c>
      <c r="GJ44" s="0" t="e">
        <f aca="false">IF(GJ38="","",SUM(GJ40:GJ43))</f>
        <v>#VALUE!</v>
      </c>
      <c r="GK44" s="0" t="e">
        <f aca="false">IF(GK38="","",SUM(GK40:GK43))</f>
        <v>#VALUE!</v>
      </c>
      <c r="GL44" s="0" t="e">
        <f aca="false">IF(GL38="","",SUM(GL40:GL43))</f>
        <v>#VALUE!</v>
      </c>
      <c r="GM44" s="0" t="e">
        <f aca="false">IF(GM38="","",SUM(GM40:GM43))</f>
        <v>#VALUE!</v>
      </c>
      <c r="GN44" s="0" t="e">
        <f aca="false">IF(GN38="","",SUM(GN40:GN43))</f>
        <v>#VALUE!</v>
      </c>
      <c r="GO44" s="0" t="e">
        <f aca="false">IF(GO38="","",SUM(GO40:GO43))</f>
        <v>#VALUE!</v>
      </c>
      <c r="GP44" s="0" t="e">
        <f aca="false">IF(GP38="","",SUM(GP40:GP43))</f>
        <v>#VALUE!</v>
      </c>
      <c r="GQ44" s="0" t="e">
        <f aca="false">IF(GQ38="","",SUM(GQ40:GQ43))</f>
        <v>#VALUE!</v>
      </c>
      <c r="GR44" s="0" t="e">
        <f aca="false">IF(GR38="","",SUM(GR40:GR43))</f>
        <v>#VALUE!</v>
      </c>
      <c r="GS44" s="0" t="e">
        <f aca="false">IF(GS38="","",SUM(GS40:GS43))</f>
        <v>#VALUE!</v>
      </c>
      <c r="GT44" s="0" t="e">
        <f aca="false">IF(GT38="","",SUM(GT40:GT43))</f>
        <v>#VALUE!</v>
      </c>
      <c r="GU44" s="0" t="e">
        <f aca="false">IF(GU38="","",SUM(GU40:GU43))</f>
        <v>#VALUE!</v>
      </c>
      <c r="GV44" s="0" t="e">
        <f aca="false">IF(GV38="","",SUM(GV40:GV43))</f>
        <v>#VALUE!</v>
      </c>
      <c r="GW44" s="0" t="e">
        <f aca="false">IF(GW38="","",SUM(GW40:GW43))</f>
        <v>#VALUE!</v>
      </c>
      <c r="GX44" s="0" t="e">
        <f aca="false">IF(GX38="","",SUM(GX40:GX43))</f>
        <v>#VALUE!</v>
      </c>
      <c r="GY44" s="0" t="e">
        <f aca="false">IF(GY38="","",SUM(GY40:GY43))</f>
        <v>#VALUE!</v>
      </c>
      <c r="GZ44" s="0" t="e">
        <f aca="false">IF(GZ38="","",SUM(GZ40:GZ43))</f>
        <v>#VALUE!</v>
      </c>
      <c r="HA44" s="0" t="e">
        <f aca="false">IF(HA38="","",SUM(HA40:HA43))</f>
        <v>#VALUE!</v>
      </c>
      <c r="HB44" s="0" t="e">
        <f aca="false">IF(HB38="","",SUM(HB40:HB43))</f>
        <v>#VALUE!</v>
      </c>
      <c r="HC44" s="0" t="e">
        <f aca="false">IF(HC38="","",SUM(HC40:HC43))</f>
        <v>#VALUE!</v>
      </c>
      <c r="HD44" s="0" t="e">
        <f aca="false">IF(HD38="","",SUM(HD40:HD43))</f>
        <v>#VALUE!</v>
      </c>
      <c r="HE44" s="0" t="e">
        <f aca="false">IF(HE38="","",SUM(HE40:HE43))</f>
        <v>#VALUE!</v>
      </c>
      <c r="HF44" s="0" t="e">
        <f aca="false">IF(HF38="","",SUM(HF40:HF43))</f>
        <v>#VALUE!</v>
      </c>
      <c r="HG44" s="0" t="e">
        <f aca="false">IF(HG38="","",SUM(HG40:HG43))</f>
        <v>#VALUE!</v>
      </c>
      <c r="HH44" s="0" t="e">
        <f aca="false">IF(HH38="","",SUM(HH40:HH43))</f>
        <v>#VALUE!</v>
      </c>
      <c r="HI44" s="0" t="e">
        <f aca="false">IF(HI38="","",SUM(HI40:HI43))</f>
        <v>#VALUE!</v>
      </c>
      <c r="HJ44" s="0" t="e">
        <f aca="false">IF(HJ38="","",SUM(HJ40:HJ43))</f>
        <v>#VALUE!</v>
      </c>
      <c r="HK44" s="0" t="e">
        <f aca="false">IF(HK38="","",SUM(HK40:HK43))</f>
        <v>#VALUE!</v>
      </c>
      <c r="HL44" s="0" t="e">
        <f aca="false">IF(HL38="","",SUM(HL40:HL43))</f>
        <v>#VALUE!</v>
      </c>
      <c r="HM44" s="0" t="e">
        <f aca="false">IF(HM38="","",SUM(HM40:HM43))</f>
        <v>#VALUE!</v>
      </c>
      <c r="HN44" s="0" t="e">
        <f aca="false">IF(HN38="","",SUM(HN40:HN43))</f>
        <v>#VALUE!</v>
      </c>
      <c r="HO44" s="0" t="e">
        <f aca="false">IF(HO38="","",SUM(HO40:HO43))</f>
        <v>#VALUE!</v>
      </c>
      <c r="HP44" s="0" t="e">
        <f aca="false">IF(HP38="","",SUM(HP40:HP43))</f>
        <v>#VALUE!</v>
      </c>
      <c r="HQ44" s="0" t="e">
        <f aca="false">IF(HQ38="","",SUM(HQ40:HQ43))</f>
        <v>#VALUE!</v>
      </c>
      <c r="HR44" s="0" t="e">
        <f aca="false">IF(HR38="","",SUM(HR40:HR43))</f>
        <v>#VALUE!</v>
      </c>
      <c r="HS44" s="0" t="e">
        <f aca="false">IF(HS38="","",SUM(HS40:HS43))</f>
        <v>#VALUE!</v>
      </c>
      <c r="HT44" s="0" t="e">
        <f aca="false">IF(HT38="","",SUM(HT40:HT43))</f>
        <v>#VALUE!</v>
      </c>
      <c r="HU44" s="0" t="e">
        <f aca="false">IF(HU38="","",SUM(HU40:HU43))</f>
        <v>#VALUE!</v>
      </c>
      <c r="HV44" s="0" t="e">
        <f aca="false">IF(HV38="","",SUM(HV40:HV43))</f>
        <v>#VALUE!</v>
      </c>
      <c r="HW44" s="0" t="e">
        <f aca="false">IF(HW38="","",SUM(HW40:HW43))</f>
        <v>#VALUE!</v>
      </c>
      <c r="HX44" s="0" t="e">
        <f aca="false">IF(HX38="","",SUM(HX40:HX43))</f>
        <v>#VALUE!</v>
      </c>
      <c r="HY44" s="0" t="e">
        <f aca="false">IF(HY38="","",SUM(HY40:HY43))</f>
        <v>#VALUE!</v>
      </c>
      <c r="HZ44" s="0" t="e">
        <f aca="false">IF(HZ38="","",SUM(HZ40:HZ43))</f>
        <v>#VALUE!</v>
      </c>
      <c r="IA44" s="0" t="e">
        <f aca="false">IF(IA38="","",SUM(IA40:IA43))</f>
        <v>#VALUE!</v>
      </c>
      <c r="IB44" s="0" t="e">
        <f aca="false">IF(IB38="","",SUM(IB40:IB43))</f>
        <v>#VALUE!</v>
      </c>
      <c r="IC44" s="0" t="e">
        <f aca="false">IF(IC38="","",SUM(IC40:IC43))</f>
        <v>#VALUE!</v>
      </c>
      <c r="ID44" s="0" t="e">
        <f aca="false">IF(ID38="","",SUM(ID40:ID43))</f>
        <v>#VALUE!</v>
      </c>
      <c r="IE44" s="0" t="e">
        <f aca="false">IF(IE38="","",SUM(IE40:IE43))</f>
        <v>#VALUE!</v>
      </c>
      <c r="IF44" s="0" t="e">
        <f aca="false">IF(IF38="","",SUM(IF40:IF43))</f>
        <v>#VALUE!</v>
      </c>
      <c r="IG44" s="0" t="e">
        <f aca="false">IF(IG38="","",SUM(IG40:IG43))</f>
        <v>#VALUE!</v>
      </c>
      <c r="IH44" s="0" t="e">
        <f aca="false">IF(IH38="","",SUM(IH40:IH43))</f>
        <v>#VALUE!</v>
      </c>
      <c r="II44" s="0" t="e">
        <f aca="false">IF(II38="","",SUM(II40:II43))</f>
        <v>#VALUE!</v>
      </c>
    </row>
    <row r="45" customFormat="false" ht="15" hidden="false" customHeight="false" outlineLevel="0" collapsed="false">
      <c r="B45" s="0" t="s">
        <v>111</v>
      </c>
      <c r="C45" s="0" t="n">
        <f aca="false">IF(C38="","",Inputs!Q102)</f>
        <v>0</v>
      </c>
      <c r="D45" s="0" t="n">
        <f aca="false">IF(D38="","",Inputs!R102)</f>
        <v>8760.41666666667</v>
      </c>
      <c r="E45" s="0" t="n">
        <f aca="false">IF(E38="","",Inputs!S102)</f>
        <v>8760.41666666667</v>
      </c>
      <c r="F45" s="0" t="n">
        <f aca="false">IF(F38="","",Inputs!T102)</f>
        <v>8760.41666666667</v>
      </c>
      <c r="G45" s="0" t="n">
        <f aca="false">IF(G38="","",Inputs!U102)</f>
        <v>8760.41666666667</v>
      </c>
      <c r="H45" s="0" t="n">
        <f aca="false">IF(H38="","",Inputs!V102)</f>
        <v>8760.41666666667</v>
      </c>
      <c r="I45" s="0" t="n">
        <f aca="false">IF(I38="","",Inputs!W102)</f>
        <v>8760.41666666667</v>
      </c>
      <c r="J45" s="0" t="n">
        <f aca="false">IF(J38="","",Inputs!X102)</f>
        <v>8760.41666666667</v>
      </c>
      <c r="K45" s="0" t="n">
        <f aca="false">IF(K38="","",Inputs!Y102)</f>
        <v>8760.41666666667</v>
      </c>
      <c r="L45" s="0" t="n">
        <f aca="false">IF(L38="","",Inputs!Z102)</f>
        <v>8760.41666666667</v>
      </c>
      <c r="M45" s="0" t="n">
        <f aca="false">IF(M38="","",Inputs!AA102)</f>
        <v>8760.41666666667</v>
      </c>
      <c r="N45" s="0" t="n">
        <f aca="false">IF(N38="","",Inputs!AB102)</f>
        <v>8760.41666666667</v>
      </c>
      <c r="O45" s="0" t="n">
        <f aca="false">IF(O38="","",Inputs!AC102)</f>
        <v>8760.41666666667</v>
      </c>
      <c r="P45" s="0" t="n">
        <f aca="false">IF(P38="","",Inputs!AD102)</f>
        <v>8979.42708333333</v>
      </c>
      <c r="Q45" s="0" t="n">
        <f aca="false">IF(Q38="","",Inputs!AE102)</f>
        <v>8979.42708333333</v>
      </c>
      <c r="R45" s="0" t="n">
        <f aca="false">IF(R38="","",Inputs!AF102)</f>
        <v>8979.42708333333</v>
      </c>
      <c r="S45" s="0" t="n">
        <f aca="false">IF(S38="","",Inputs!AG102)</f>
        <v>8979.42708333333</v>
      </c>
      <c r="T45" s="0" t="n">
        <f aca="false">IF(T38="","",Inputs!AH102)</f>
        <v>8979.42708333333</v>
      </c>
      <c r="U45" s="0" t="n">
        <f aca="false">IF(U38="","",Inputs!AI102)</f>
        <v>8979.42708333333</v>
      </c>
      <c r="V45" s="0" t="n">
        <f aca="false">IF(V38="","",Inputs!AJ102)</f>
        <v>8979.42708333333</v>
      </c>
      <c r="W45" s="0" t="n">
        <f aca="false">IF(W38="","",Inputs!AK102)</f>
        <v>8979.42708333333</v>
      </c>
      <c r="X45" s="0" t="n">
        <f aca="false">IF(X38="","",Inputs!AL102)</f>
        <v>8979.42708333333</v>
      </c>
      <c r="Y45" s="0" t="n">
        <f aca="false">IF(Y38="","",Inputs!AM102)</f>
        <v>8979.42708333333</v>
      </c>
      <c r="Z45" s="0" t="n">
        <f aca="false">IF(Z38="","",Inputs!AN102)</f>
        <v>8979.42708333333</v>
      </c>
      <c r="AA45" s="0" t="n">
        <f aca="false">IF(AA38="","",Inputs!AO102)</f>
        <v>8979.42708333333</v>
      </c>
      <c r="AB45" s="0" t="n">
        <f aca="false">IF(AB38="","",Inputs!AP102)</f>
        <v>9203.91276041667</v>
      </c>
      <c r="AC45" s="0" t="n">
        <f aca="false">IF(AC38="","",Inputs!AQ102)</f>
        <v>9203.91276041667</v>
      </c>
      <c r="AD45" s="0" t="n">
        <f aca="false">IF(AD38="","",Inputs!AR102)</f>
        <v>9203.91276041667</v>
      </c>
      <c r="AE45" s="0" t="n">
        <f aca="false">IF(AE38="","",Inputs!AS102)</f>
        <v>9203.91276041667</v>
      </c>
      <c r="AF45" s="0" t="n">
        <f aca="false">IF(AF38="","",Inputs!AT102)</f>
        <v>9203.91276041667</v>
      </c>
      <c r="AG45" s="0" t="n">
        <f aca="false">IF(AG38="","",Inputs!AU102)</f>
        <v>9203.91276041667</v>
      </c>
      <c r="AH45" s="0" t="n">
        <f aca="false">IF(AH38="","",Inputs!AV102)</f>
        <v>9203.91276041667</v>
      </c>
      <c r="AI45" s="0" t="n">
        <f aca="false">IF(AI38="","",Inputs!AW102)</f>
        <v>9203.91276041667</v>
      </c>
      <c r="AJ45" s="0" t="n">
        <f aca="false">IF(AJ38="","",Inputs!AX102)</f>
        <v>9203.91276041667</v>
      </c>
      <c r="AK45" s="0" t="n">
        <f aca="false">IF(AK38="","",Inputs!AY102)</f>
        <v>9203.91276041667</v>
      </c>
      <c r="AL45" s="0" t="n">
        <f aca="false">IF(AL38="","",Inputs!AZ102)</f>
        <v>9203.91276041667</v>
      </c>
      <c r="AM45" s="0" t="n">
        <f aca="false">IF(AM38="","",Inputs!BA102)</f>
        <v>9203.91276041667</v>
      </c>
      <c r="AN45" s="0" t="n">
        <f aca="false">IF(AN38="","",Inputs!BB102)</f>
        <v>9434.01057942708</v>
      </c>
      <c r="AO45" s="0" t="n">
        <f aca="false">IF(AO38="","",Inputs!BC102)</f>
        <v>9434.01057942708</v>
      </c>
      <c r="AP45" s="0" t="n">
        <f aca="false">IF(AP38="","",Inputs!BD102)</f>
        <v>9434.01057942708</v>
      </c>
      <c r="AQ45" s="0" t="n">
        <f aca="false">IF(AQ38="","",Inputs!BE102)</f>
        <v>9434.01057942708</v>
      </c>
      <c r="AR45" s="0" t="n">
        <f aca="false">IF(AR38="","",Inputs!BF102)</f>
        <v>9434.01057942708</v>
      </c>
      <c r="AS45" s="0" t="n">
        <f aca="false">IF(AS38="","",Inputs!BG102)</f>
        <v>9434.01057942708</v>
      </c>
      <c r="AT45" s="0" t="n">
        <f aca="false">IF(AT38="","",Inputs!BH102)</f>
        <v>9434.01057942708</v>
      </c>
      <c r="AU45" s="0" t="n">
        <f aca="false">IF(AU38="","",Inputs!BI102)</f>
        <v>9434.01057942708</v>
      </c>
      <c r="AV45" s="0" t="n">
        <f aca="false">IF(AV38="","",Inputs!BJ102)</f>
        <v>9434.01057942708</v>
      </c>
      <c r="AW45" s="0" t="n">
        <f aca="false">IF(AW38="","",Inputs!BK102)</f>
        <v>9434.01057942708</v>
      </c>
      <c r="AX45" s="0" t="n">
        <f aca="false">IF(AX38="","",Inputs!BL102)</f>
        <v>9434.01057942708</v>
      </c>
      <c r="AY45" s="0" t="n">
        <f aca="false">IF(AY38="","",Inputs!BM102)</f>
        <v>9434.01057942708</v>
      </c>
      <c r="AZ45" s="0" t="n">
        <f aca="false">IF(AZ38="","",Inputs!BN102)</f>
        <v>9669.86084391276</v>
      </c>
      <c r="BA45" s="0" t="n">
        <f aca="false">IF(BA38="","",Inputs!BO102)</f>
        <v>9669.86084391276</v>
      </c>
      <c r="BB45" s="0" t="n">
        <f aca="false">IF(BB38="","",Inputs!BP102)</f>
        <v>9669.86084391276</v>
      </c>
      <c r="BC45" s="0" t="n">
        <f aca="false">IF(BC38="","",Inputs!BQ102)</f>
        <v>9669.86084391276</v>
      </c>
      <c r="BD45" s="0" t="n">
        <f aca="false">IF(BD38="","",Inputs!BR102)</f>
        <v>9669.86084391276</v>
      </c>
      <c r="BE45" s="0" t="n">
        <f aca="false">IF(BE38="","",Inputs!BS102)</f>
        <v>9669.86084391276</v>
      </c>
      <c r="BF45" s="0" t="n">
        <f aca="false">IF(BF38="","",Inputs!BT102)</f>
        <v>9669.86084391276</v>
      </c>
      <c r="BG45" s="0" t="n">
        <f aca="false">IF(BG38="","",Inputs!BU102)</f>
        <v>9669.86084391276</v>
      </c>
      <c r="BH45" s="0" t="n">
        <f aca="false">IF(BH38="","",Inputs!BV102)</f>
        <v>9669.86084391276</v>
      </c>
      <c r="BI45" s="0" t="n">
        <f aca="false">IF(BI38="","",Inputs!BW102)</f>
        <v>9669.86084391276</v>
      </c>
      <c r="BJ45" s="0" t="n">
        <f aca="false">IF(BJ38="","",Inputs!BX102)</f>
        <v>9669.86084391276</v>
      </c>
      <c r="BK45" s="0" t="n">
        <f aca="false">IF(BK38="","",Inputs!BY102)</f>
        <v>9669.86084391276</v>
      </c>
      <c r="BL45" s="0" t="n">
        <f aca="false">IF(BL38="","",Inputs!BZ102)</f>
        <v>9911.60736501057</v>
      </c>
      <c r="BM45" s="0" t="n">
        <f aca="false">IF(BM38="","",Inputs!CA102)</f>
        <v>9911.60736501057</v>
      </c>
      <c r="BN45" s="0" t="n">
        <f aca="false">IF(BN38="","",Inputs!CB102)</f>
        <v>9911.60736501057</v>
      </c>
      <c r="BO45" s="0" t="n">
        <f aca="false">IF(BO38="","",Inputs!CC102)</f>
        <v>9911.60736501057</v>
      </c>
      <c r="BP45" s="0" t="n">
        <f aca="false">IF(BP38="","",Inputs!CD102)</f>
        <v>9911.60736501057</v>
      </c>
      <c r="BQ45" s="0" t="n">
        <f aca="false">IF(BQ38="","",Inputs!CE102)</f>
        <v>9911.60736501057</v>
      </c>
      <c r="BR45" s="0" t="n">
        <f aca="false">IF(BR38="","",Inputs!CF102)</f>
        <v>9911.60736501057</v>
      </c>
      <c r="BS45" s="0" t="n">
        <f aca="false">IF(BS38="","",Inputs!CG102)</f>
        <v>9911.60736501057</v>
      </c>
      <c r="BT45" s="0" t="n">
        <f aca="false">IF(BT38="","",Inputs!CH102)</f>
        <v>9911.60736501057</v>
      </c>
      <c r="BU45" s="0" t="n">
        <f aca="false">IF(BU38="","",Inputs!CI102)</f>
        <v>9911.60736501057</v>
      </c>
      <c r="BV45" s="0" t="n">
        <f aca="false">IF(BV38="","",Inputs!CJ102)</f>
        <v>9911.60736501057</v>
      </c>
      <c r="BW45" s="0" t="n">
        <f aca="false">IF(BW38="","",Inputs!CK102)</f>
        <v>9911.60736501057</v>
      </c>
      <c r="BX45" s="0" t="n">
        <f aca="false">IF(BX38="","",Inputs!CL102)</f>
        <v>10159.3975491358</v>
      </c>
      <c r="BY45" s="0" t="n">
        <f aca="false">IF(BY38="","",Inputs!CM102)</f>
        <v>10159.3975491358</v>
      </c>
      <c r="BZ45" s="0" t="n">
        <f aca="false">IF(BZ38="","",Inputs!CN102)</f>
        <v>10159.3975491358</v>
      </c>
      <c r="CA45" s="0" t="n">
        <f aca="false">IF(CA38="","",Inputs!CO102)</f>
        <v>10159.3975491358</v>
      </c>
      <c r="CB45" s="0" t="n">
        <f aca="false">IF(CB38="","",Inputs!CP102)</f>
        <v>10159.3975491358</v>
      </c>
      <c r="CC45" s="0" t="n">
        <f aca="false">IF(CC38="","",Inputs!CQ102)</f>
        <v>10159.3975491358</v>
      </c>
      <c r="CD45" s="0" t="n">
        <f aca="false">IF(CD38="","",Inputs!CR102)</f>
        <v>10159.3975491358</v>
      </c>
      <c r="CE45" s="0" t="n">
        <f aca="false">IF(CE38="","",Inputs!CS102)</f>
        <v>10159.3975491358</v>
      </c>
      <c r="CF45" s="0" t="n">
        <f aca="false">IF(CF38="","",Inputs!CT102)</f>
        <v>10159.3975491358</v>
      </c>
      <c r="CG45" s="0" t="n">
        <f aca="false">IF(CG38="","",Inputs!CU102)</f>
        <v>10159.3975491358</v>
      </c>
      <c r="CH45" s="0" t="n">
        <f aca="false">IF(CH38="","",Inputs!CV102)</f>
        <v>10159.3975491358</v>
      </c>
      <c r="CI45" s="0" t="n">
        <f aca="false">IF(CI38="","",Inputs!CW102)</f>
        <v>10159.3975491358</v>
      </c>
      <c r="CJ45" s="0" t="n">
        <f aca="false">IF(CJ38="","",Inputs!CX102)</f>
        <v>10413.3824878642</v>
      </c>
      <c r="CK45" s="0" t="n">
        <f aca="false">IF(CK38="","",Inputs!CY102)</f>
        <v>10413.3824878642</v>
      </c>
      <c r="CL45" s="0" t="n">
        <f aca="false">IF(CL38="","",Inputs!CZ102)</f>
        <v>10413.3824878642</v>
      </c>
      <c r="CM45" s="0" t="n">
        <f aca="false">IF(CM38="","",Inputs!DA102)</f>
        <v>10413.3824878642</v>
      </c>
      <c r="CN45" s="0" t="n">
        <f aca="false">IF(CN38="","",Inputs!DB102)</f>
        <v>10413.3824878642</v>
      </c>
      <c r="CO45" s="0" t="n">
        <f aca="false">IF(CO38="","",Inputs!DC102)</f>
        <v>10413.3824878642</v>
      </c>
      <c r="CP45" s="0" t="n">
        <f aca="false">IF(CP38="","",Inputs!DD102)</f>
        <v>10413.3824878642</v>
      </c>
      <c r="CQ45" s="0" t="n">
        <f aca="false">IF(CQ38="","",Inputs!DE102)</f>
        <v>10413.3824878642</v>
      </c>
      <c r="CR45" s="0" t="n">
        <f aca="false">IF(CR38="","",Inputs!DF102)</f>
        <v>10413.3824878642</v>
      </c>
      <c r="CS45" s="0" t="n">
        <f aca="false">IF(CS38="","",Inputs!DG102)</f>
        <v>10413.3824878642</v>
      </c>
      <c r="CT45" s="0" t="n">
        <f aca="false">IF(CT38="","",Inputs!DH102)</f>
        <v>10413.3824878642</v>
      </c>
      <c r="CU45" s="0" t="n">
        <f aca="false">IF(CU38="","",Inputs!DI102)</f>
        <v>10413.3824878642</v>
      </c>
      <c r="CV45" s="0" t="n">
        <f aca="false">IF(CV38="","",Inputs!DJ102)</f>
        <v>10673.7170500608</v>
      </c>
      <c r="CW45" s="0" t="n">
        <f aca="false">IF(CW38="","",Inputs!DK102)</f>
        <v>10673.7170500608</v>
      </c>
      <c r="CX45" s="0" t="n">
        <f aca="false">IF(CX38="","",Inputs!DL102)</f>
        <v>10673.7170500608</v>
      </c>
      <c r="CY45" s="0" t="n">
        <f aca="false">IF(CY38="","",Inputs!DM102)</f>
        <v>10673.7170500608</v>
      </c>
      <c r="CZ45" s="0" t="n">
        <f aca="false">IF(CZ38="","",Inputs!DN102)</f>
        <v>10673.7170500608</v>
      </c>
      <c r="DA45" s="0" t="n">
        <f aca="false">IF(DA38="","",Inputs!DO102)</f>
        <v>10673.7170500608</v>
      </c>
      <c r="DB45" s="0" t="n">
        <f aca="false">IF(DB38="","",Inputs!DP102)</f>
        <v>10673.7170500608</v>
      </c>
      <c r="DC45" s="0" t="n">
        <f aca="false">IF(DC38="","",Inputs!DQ102)</f>
        <v>10673.7170500608</v>
      </c>
      <c r="DD45" s="0" t="n">
        <f aca="false">IF(DD38="","",Inputs!DR102)</f>
        <v>10673.7170500608</v>
      </c>
      <c r="DE45" s="0" t="n">
        <f aca="false">IF(DE38="","",Inputs!DS102)</f>
        <v>10673.7170500608</v>
      </c>
      <c r="DF45" s="0" t="n">
        <f aca="false">IF(DF38="","",Inputs!DT102)</f>
        <v>10673.7170500608</v>
      </c>
      <c r="DG45" s="0" t="n">
        <f aca="false">IF(DG38="","",Inputs!DU102)</f>
        <v>10673.7170500608</v>
      </c>
      <c r="DH45" s="0" t="n">
        <f aca="false">IF(DH38="","",Inputs!DV102)</f>
        <v>10940.5599763124</v>
      </c>
      <c r="DI45" s="0" t="n">
        <f aca="false">IF(DI38="","",Inputs!DW102)</f>
        <v>10940.5599763124</v>
      </c>
      <c r="DJ45" s="0" t="n">
        <f aca="false">IF(DJ38="","",Inputs!DX102)</f>
        <v>10940.5599763124</v>
      </c>
      <c r="DK45" s="0" t="n">
        <f aca="false">IF(DK38="","",Inputs!DY102)</f>
        <v>10940.5599763124</v>
      </c>
      <c r="DL45" s="0" t="n">
        <f aca="false">IF(DL38="","",Inputs!DZ102)</f>
        <v>10940.5599763124</v>
      </c>
      <c r="DM45" s="0" t="n">
        <f aca="false">IF(DM38="","",Inputs!EA102)</f>
        <v>10940.5599763124</v>
      </c>
      <c r="DN45" s="0" t="n">
        <f aca="false">IF(DN38="","",Inputs!EB102)</f>
        <v>10940.5599763124</v>
      </c>
      <c r="DO45" s="0" t="n">
        <f aca="false">IF(DO38="","",Inputs!EC102)</f>
        <v>10940.5599763124</v>
      </c>
      <c r="DP45" s="0" t="n">
        <f aca="false">IF(DP38="","",Inputs!ED102)</f>
        <v>10940.5599763124</v>
      </c>
      <c r="DQ45" s="0" t="n">
        <f aca="false">IF(DQ38="","",Inputs!EE102)</f>
        <v>10940.5599763124</v>
      </c>
      <c r="DR45" s="0" t="n">
        <f aca="false">IF(DR38="","",Inputs!EF102)</f>
        <v>10940.5599763124</v>
      </c>
      <c r="DS45" s="0" t="n">
        <f aca="false">IF(DS38="","",Inputs!EG102)</f>
        <v>10940.5599763124</v>
      </c>
      <c r="DT45" s="0" t="n">
        <f aca="false">IF(DT38="","",Inputs!EH102)</f>
        <v>11214.0739757202</v>
      </c>
      <c r="DU45" s="0" t="n">
        <f aca="false">IF(DU38="","",Inputs!EI102)</f>
        <v>11214.0739757202</v>
      </c>
      <c r="DV45" s="0" t="n">
        <f aca="false">IF(DV38="","",Inputs!EJ102)</f>
        <v>11214.0739757202</v>
      </c>
      <c r="DW45" s="0" t="n">
        <f aca="false">IF(DW38="","",Inputs!EK102)</f>
        <v>11214.0739757202</v>
      </c>
      <c r="DX45" s="0" t="n">
        <f aca="false">IF(DX38="","",Inputs!EL102)</f>
        <v>11214.0739757202</v>
      </c>
      <c r="DY45" s="0" t="n">
        <f aca="false">IF(DY38="","",Inputs!EM102)</f>
        <v>11214.0739757202</v>
      </c>
      <c r="DZ45" s="0" t="n">
        <f aca="false">IF(DZ38="","",Inputs!EN102)</f>
        <v>11214.0739757202</v>
      </c>
      <c r="EA45" s="0" t="n">
        <f aca="false">IF(EA38="","",Inputs!EO102)</f>
        <v>11214.0739757202</v>
      </c>
      <c r="EB45" s="0" t="n">
        <f aca="false">IF(EB38="","",Inputs!EP102)</f>
        <v>11214.0739757202</v>
      </c>
      <c r="EC45" s="0" t="n">
        <f aca="false">IF(EC38="","",Inputs!EQ102)</f>
        <v>11214.0739757202</v>
      </c>
      <c r="ED45" s="0" t="n">
        <f aca="false">IF(ED38="","",Inputs!ER102)</f>
        <v>11214.0739757202</v>
      </c>
      <c r="EE45" s="0" t="n">
        <f aca="false">IF(EE38="","",Inputs!ES102)</f>
        <v>11214.0739757202</v>
      </c>
      <c r="EF45" s="0" t="n">
        <f aca="false">IF(EF38="","",Inputs!ET102)</f>
        <v>11494.4258251132</v>
      </c>
      <c r="EG45" s="0" t="n">
        <f aca="false">IF(EG38="","",Inputs!EU102)</f>
        <v>11494.4258251132</v>
      </c>
      <c r="EH45" s="0" t="n">
        <f aca="false">IF(EH38="","",Inputs!EV102)</f>
        <v>11494.4258251132</v>
      </c>
      <c r="EI45" s="0" t="n">
        <f aca="false">IF(EI38="","",Inputs!EW102)</f>
        <v>11494.4258251132</v>
      </c>
      <c r="EJ45" s="0" t="n">
        <f aca="false">IF(EJ38="","",Inputs!EX102)</f>
        <v>11494.4258251132</v>
      </c>
      <c r="EK45" s="0" t="n">
        <f aca="false">IF(EK38="","",Inputs!EY102)</f>
        <v>11494.4258251132</v>
      </c>
      <c r="EL45" s="0" t="n">
        <f aca="false">IF(EL38="","",Inputs!EZ102)</f>
        <v>11494.4258251132</v>
      </c>
      <c r="EM45" s="0" t="n">
        <f aca="false">IF(EM38="","",Inputs!FA102)</f>
        <v>11494.4258251132</v>
      </c>
      <c r="EN45" s="0" t="n">
        <f aca="false">IF(EN38="","",Inputs!FB102)</f>
        <v>11494.4258251132</v>
      </c>
      <c r="EO45" s="0" t="n">
        <f aca="false">IF(EO38="","",Inputs!FC102)</f>
        <v>11494.4258251132</v>
      </c>
      <c r="EP45" s="0" t="n">
        <f aca="false">IF(EP38="","",Inputs!FD102)</f>
        <v>11494.4258251132</v>
      </c>
      <c r="EQ45" s="0" t="n">
        <f aca="false">IF(EQ38="","",Inputs!FE102)</f>
        <v>11494.4258251132</v>
      </c>
      <c r="ER45" s="0" t="n">
        <f aca="false">IF(ER38="","",Inputs!FF102)</f>
        <v>11781.786470741</v>
      </c>
      <c r="ES45" s="0" t="n">
        <f aca="false">IF(ES38="","",Inputs!FG102)</f>
        <v>11781.786470741</v>
      </c>
      <c r="ET45" s="0" t="n">
        <f aca="false">IF(ET38="","",Inputs!FH102)</f>
        <v>11781.786470741</v>
      </c>
      <c r="EU45" s="0" t="n">
        <f aca="false">IF(EU38="","",Inputs!FI102)</f>
        <v>11781.786470741</v>
      </c>
      <c r="EV45" s="0" t="n">
        <f aca="false">IF(EV38="","",Inputs!FJ102)</f>
        <v>11781.786470741</v>
      </c>
      <c r="EW45" s="0" t="n">
        <f aca="false">IF(EW38="","",Inputs!FK102)</f>
        <v>11781.786470741</v>
      </c>
      <c r="EX45" s="0" t="n">
        <f aca="false">IF(EX38="","",Inputs!FL102)</f>
        <v>11781.786470741</v>
      </c>
      <c r="EY45" s="0" t="n">
        <f aca="false">IF(EY38="","",Inputs!FM102)</f>
        <v>11781.786470741</v>
      </c>
      <c r="EZ45" s="0" t="n">
        <f aca="false">IF(EZ38="","",Inputs!FN102)</f>
        <v>11781.786470741</v>
      </c>
      <c r="FA45" s="0" t="n">
        <f aca="false">IF(FA38="","",Inputs!FO102)</f>
        <v>11781.786470741</v>
      </c>
      <c r="FB45" s="0" t="n">
        <f aca="false">IF(FB38="","",Inputs!FP102)</f>
        <v>11781.786470741</v>
      </c>
      <c r="FC45" s="0" t="n">
        <f aca="false">IF(FC38="","",Inputs!FQ102)</f>
        <v>11781.786470741</v>
      </c>
      <c r="FD45" s="0" t="str">
        <f aca="false">IF(FD38="","",Inputs!FR102)</f>
        <v/>
      </c>
      <c r="FE45" s="0" t="e">
        <f aca="false">IF(FE38="","",Inputs!FS102)</f>
        <v>#VALUE!</v>
      </c>
      <c r="FF45" s="0" t="e">
        <f aca="false">IF(FF38="","",Inputs!FT102)</f>
        <v>#VALUE!</v>
      </c>
      <c r="FG45" s="0" t="e">
        <f aca="false">IF(FG38="","",Inputs!FU102)</f>
        <v>#VALUE!</v>
      </c>
      <c r="FH45" s="0" t="e">
        <f aca="false">IF(FH38="","",Inputs!FV102)</f>
        <v>#VALUE!</v>
      </c>
      <c r="FI45" s="0" t="e">
        <f aca="false">IF(FI38="","",Inputs!FW102)</f>
        <v>#VALUE!</v>
      </c>
      <c r="FJ45" s="0" t="e">
        <f aca="false">IF(FJ38="","",Inputs!FX102)</f>
        <v>#VALUE!</v>
      </c>
      <c r="FK45" s="0" t="e">
        <f aca="false">IF(FK38="","",Inputs!FY102)</f>
        <v>#VALUE!</v>
      </c>
      <c r="FL45" s="0" t="e">
        <f aca="false">IF(FL38="","",Inputs!FZ102)</f>
        <v>#VALUE!</v>
      </c>
      <c r="FM45" s="0" t="e">
        <f aca="false">IF(FM38="","",Inputs!GA102)</f>
        <v>#VALUE!</v>
      </c>
      <c r="FN45" s="0" t="e">
        <f aca="false">IF(FN38="","",Inputs!GB102)</f>
        <v>#VALUE!</v>
      </c>
      <c r="FO45" s="0" t="e">
        <f aca="false">IF(FO38="","",Inputs!GC102)</f>
        <v>#VALUE!</v>
      </c>
      <c r="FP45" s="0" t="e">
        <f aca="false">IF(FP38="","",Inputs!GD102)</f>
        <v>#VALUE!</v>
      </c>
      <c r="FQ45" s="0" t="e">
        <f aca="false">IF(FQ38="","",Inputs!GE102)</f>
        <v>#VALUE!</v>
      </c>
      <c r="FR45" s="0" t="e">
        <f aca="false">IF(FR38="","",Inputs!GF102)</f>
        <v>#VALUE!</v>
      </c>
      <c r="FS45" s="0" t="e">
        <f aca="false">IF(FS38="","",Inputs!GG102)</f>
        <v>#VALUE!</v>
      </c>
      <c r="FT45" s="0" t="e">
        <f aca="false">IF(FT38="","",Inputs!GH102)</f>
        <v>#VALUE!</v>
      </c>
      <c r="FU45" s="0" t="e">
        <f aca="false">IF(FU38="","",Inputs!GI102)</f>
        <v>#VALUE!</v>
      </c>
      <c r="FV45" s="0" t="e">
        <f aca="false">IF(FV38="","",Inputs!GJ102)</f>
        <v>#VALUE!</v>
      </c>
      <c r="FW45" s="0" t="e">
        <f aca="false">IF(FW38="","",Inputs!GK102)</f>
        <v>#VALUE!</v>
      </c>
      <c r="FX45" s="0" t="e">
        <f aca="false">IF(FX38="","",Inputs!GL102)</f>
        <v>#VALUE!</v>
      </c>
      <c r="FY45" s="0" t="e">
        <f aca="false">IF(FY38="","",Inputs!GM102)</f>
        <v>#VALUE!</v>
      </c>
      <c r="FZ45" s="0" t="e">
        <f aca="false">IF(FZ38="","",Inputs!GN102)</f>
        <v>#VALUE!</v>
      </c>
      <c r="GA45" s="0" t="e">
        <f aca="false">IF(GA38="","",Inputs!GO102)</f>
        <v>#VALUE!</v>
      </c>
      <c r="GB45" s="0" t="e">
        <f aca="false">IF(GB38="","",Inputs!GP102)</f>
        <v>#VALUE!</v>
      </c>
      <c r="GC45" s="0" t="e">
        <f aca="false">IF(GC38="","",Inputs!GQ102)</f>
        <v>#VALUE!</v>
      </c>
      <c r="GD45" s="0" t="e">
        <f aca="false">IF(GD38="","",Inputs!GR102)</f>
        <v>#VALUE!</v>
      </c>
      <c r="GE45" s="0" t="e">
        <f aca="false">IF(GE38="","",Inputs!GS102)</f>
        <v>#VALUE!</v>
      </c>
      <c r="GF45" s="0" t="e">
        <f aca="false">IF(GF38="","",Inputs!GT102)</f>
        <v>#VALUE!</v>
      </c>
      <c r="GG45" s="0" t="e">
        <f aca="false">IF(GG38="","",Inputs!GU102)</f>
        <v>#VALUE!</v>
      </c>
      <c r="GH45" s="0" t="e">
        <f aca="false">IF(GH38="","",Inputs!GV102)</f>
        <v>#VALUE!</v>
      </c>
      <c r="GI45" s="0" t="e">
        <f aca="false">IF(GI38="","",Inputs!GW102)</f>
        <v>#VALUE!</v>
      </c>
      <c r="GJ45" s="0" t="e">
        <f aca="false">IF(GJ38="","",Inputs!GX102)</f>
        <v>#VALUE!</v>
      </c>
      <c r="GK45" s="0" t="e">
        <f aca="false">IF(GK38="","",Inputs!GY102)</f>
        <v>#VALUE!</v>
      </c>
      <c r="GL45" s="0" t="e">
        <f aca="false">IF(GL38="","",Inputs!GZ102)</f>
        <v>#VALUE!</v>
      </c>
      <c r="GM45" s="0" t="e">
        <f aca="false">IF(GM38="","",Inputs!HA102)</f>
        <v>#VALUE!</v>
      </c>
      <c r="GN45" s="0" t="e">
        <f aca="false">IF(GN38="","",Inputs!HB102)</f>
        <v>#VALUE!</v>
      </c>
      <c r="GO45" s="0" t="e">
        <f aca="false">IF(GO38="","",Inputs!HC102)</f>
        <v>#VALUE!</v>
      </c>
      <c r="GP45" s="0" t="e">
        <f aca="false">IF(GP38="","",Inputs!HD102)</f>
        <v>#VALUE!</v>
      </c>
      <c r="GQ45" s="0" t="e">
        <f aca="false">IF(GQ38="","",Inputs!HE102)</f>
        <v>#VALUE!</v>
      </c>
      <c r="GR45" s="0" t="e">
        <f aca="false">IF(GR38="","",Inputs!HF102)</f>
        <v>#VALUE!</v>
      </c>
      <c r="GS45" s="0" t="e">
        <f aca="false">IF(GS38="","",Inputs!HG102)</f>
        <v>#VALUE!</v>
      </c>
      <c r="GT45" s="0" t="e">
        <f aca="false">IF(GT38="","",Inputs!HH102)</f>
        <v>#VALUE!</v>
      </c>
      <c r="GU45" s="0" t="e">
        <f aca="false">IF(GU38="","",Inputs!HI102)</f>
        <v>#VALUE!</v>
      </c>
      <c r="GV45" s="0" t="e">
        <f aca="false">IF(GV38="","",Inputs!HJ102)</f>
        <v>#VALUE!</v>
      </c>
      <c r="GW45" s="0" t="e">
        <f aca="false">IF(GW38="","",Inputs!HK102)</f>
        <v>#VALUE!</v>
      </c>
      <c r="GX45" s="0" t="e">
        <f aca="false">IF(GX38="","",Inputs!HL102)</f>
        <v>#VALUE!</v>
      </c>
      <c r="GY45" s="0" t="e">
        <f aca="false">IF(GY38="","",Inputs!HM102)</f>
        <v>#VALUE!</v>
      </c>
      <c r="GZ45" s="0" t="e">
        <f aca="false">IF(GZ38="","",Inputs!HN102)</f>
        <v>#VALUE!</v>
      </c>
      <c r="HA45" s="0" t="e">
        <f aca="false">IF(HA38="","",Inputs!HO102)</f>
        <v>#VALUE!</v>
      </c>
      <c r="HB45" s="0" t="e">
        <f aca="false">IF(HB38="","",Inputs!HP102)</f>
        <v>#VALUE!</v>
      </c>
      <c r="HC45" s="0" t="e">
        <f aca="false">IF(HC38="","",Inputs!HQ102)</f>
        <v>#VALUE!</v>
      </c>
      <c r="HD45" s="0" t="e">
        <f aca="false">IF(HD38="","",Inputs!HR102)</f>
        <v>#VALUE!</v>
      </c>
      <c r="HE45" s="0" t="e">
        <f aca="false">IF(HE38="","",Inputs!HS102)</f>
        <v>#VALUE!</v>
      </c>
      <c r="HF45" s="0" t="e">
        <f aca="false">IF(HF38="","",Inputs!HT102)</f>
        <v>#VALUE!</v>
      </c>
      <c r="HG45" s="0" t="e">
        <f aca="false">IF(HG38="","",Inputs!HU102)</f>
        <v>#VALUE!</v>
      </c>
      <c r="HH45" s="0" t="e">
        <f aca="false">IF(HH38="","",Inputs!HV102)</f>
        <v>#VALUE!</v>
      </c>
      <c r="HI45" s="0" t="e">
        <f aca="false">IF(HI38="","",Inputs!HW102)</f>
        <v>#VALUE!</v>
      </c>
      <c r="HJ45" s="0" t="e">
        <f aca="false">IF(HJ38="","",Inputs!HX102)</f>
        <v>#VALUE!</v>
      </c>
      <c r="HK45" s="0" t="e">
        <f aca="false">IF(HK38="","",Inputs!HY102)</f>
        <v>#VALUE!</v>
      </c>
      <c r="HL45" s="0" t="e">
        <f aca="false">IF(HL38="","",Inputs!HZ102)</f>
        <v>#VALUE!</v>
      </c>
      <c r="HM45" s="0" t="e">
        <f aca="false">IF(HM38="","",Inputs!IA102)</f>
        <v>#VALUE!</v>
      </c>
      <c r="HN45" s="0" t="e">
        <f aca="false">IF(HN38="","",Inputs!IB102)</f>
        <v>#VALUE!</v>
      </c>
      <c r="HO45" s="0" t="e">
        <f aca="false">IF(HO38="","",Inputs!IC102)</f>
        <v>#VALUE!</v>
      </c>
      <c r="HP45" s="0" t="e">
        <f aca="false">IF(HP38="","",Inputs!ID102)</f>
        <v>#VALUE!</v>
      </c>
      <c r="HQ45" s="0" t="e">
        <f aca="false">IF(HQ38="","",Inputs!IE102)</f>
        <v>#VALUE!</v>
      </c>
      <c r="HR45" s="0" t="e">
        <f aca="false">IF(HR38="","",Inputs!IF102)</f>
        <v>#VALUE!</v>
      </c>
      <c r="HS45" s="0" t="e">
        <f aca="false">IF(HS38="","",Inputs!IG102)</f>
        <v>#VALUE!</v>
      </c>
      <c r="HT45" s="0" t="e">
        <f aca="false">IF(HT38="","",Inputs!IH102)</f>
        <v>#VALUE!</v>
      </c>
      <c r="HU45" s="0" t="e">
        <f aca="false">IF(HU38="","",Inputs!II102)</f>
        <v>#VALUE!</v>
      </c>
      <c r="HV45" s="0" t="e">
        <f aca="false">IF(HV38="","",Inputs!IJ102)</f>
        <v>#VALUE!</v>
      </c>
      <c r="HW45" s="0" t="e">
        <f aca="false">IF(HW38="","",Inputs!IK102)</f>
        <v>#VALUE!</v>
      </c>
      <c r="HX45" s="0" t="e">
        <f aca="false">IF(HX38="","",Inputs!IL102)</f>
        <v>#VALUE!</v>
      </c>
      <c r="HY45" s="0" t="e">
        <f aca="false">IF(HY38="","",Inputs!IM102)</f>
        <v>#VALUE!</v>
      </c>
      <c r="HZ45" s="0" t="e">
        <f aca="false">IF(HZ38="","",Inputs!IN102)</f>
        <v>#VALUE!</v>
      </c>
      <c r="IA45" s="0" t="e">
        <f aca="false">IF(IA38="","",Inputs!IO102)</f>
        <v>#VALUE!</v>
      </c>
      <c r="IB45" s="0" t="e">
        <f aca="false">IF(IB38="","",Inputs!IP102)</f>
        <v>#VALUE!</v>
      </c>
      <c r="IC45" s="0" t="e">
        <f aca="false">IF(IC38="","",Inputs!IQ102)</f>
        <v>#VALUE!</v>
      </c>
      <c r="ID45" s="0" t="e">
        <f aca="false">IF(ID38="","",Inputs!IR102)</f>
        <v>#VALUE!</v>
      </c>
      <c r="IE45" s="0" t="e">
        <f aca="false">IF(IE38="","",Inputs!IS102)</f>
        <v>#VALUE!</v>
      </c>
      <c r="IF45" s="0" t="e">
        <f aca="false">IF(IF38="","",Inputs!IT102)</f>
        <v>#VALUE!</v>
      </c>
      <c r="IG45" s="0" t="e">
        <f aca="false">IF(IG38="","",Inputs!IU102)</f>
        <v>#VALUE!</v>
      </c>
      <c r="IH45" s="0" t="e">
        <f aca="false">IF(IH38="","",Inputs!IV102)</f>
        <v>#VALUE!</v>
      </c>
      <c r="II45" s="0" t="e">
        <f aca="false">IF(II38="","",Inputs!IW102)</f>
        <v>#VALUE!</v>
      </c>
    </row>
    <row r="46" customFormat="false" ht="15" hidden="false" customHeight="false" outlineLevel="0" collapsed="false">
      <c r="B46" s="0" t="s">
        <v>76</v>
      </c>
      <c r="C46" s="0" t="n">
        <f aca="false">IF(C38="","",C44-C45)</f>
        <v>0</v>
      </c>
      <c r="D46" s="0" t="n">
        <f aca="false">IF(D38="","",D44-D45)</f>
        <v>46645.8333333333</v>
      </c>
      <c r="E46" s="0" t="n">
        <f aca="false">IF(E38="","",E44-E45)</f>
        <v>46645.8333333333</v>
      </c>
      <c r="F46" s="0" t="n">
        <f aca="false">IF(F38="","",F44-F45)</f>
        <v>46645.8333333333</v>
      </c>
      <c r="G46" s="0" t="n">
        <f aca="false">IF(G38="","",G44-G45)</f>
        <v>46645.8333333333</v>
      </c>
      <c r="H46" s="0" t="n">
        <f aca="false">IF(H38="","",H44-H45)</f>
        <v>46645.8333333333</v>
      </c>
      <c r="I46" s="0" t="n">
        <f aca="false">IF(I38="","",I44-I45)</f>
        <v>46645.8333333333</v>
      </c>
      <c r="J46" s="0" t="n">
        <f aca="false">IF(J38="","",J44-J45)</f>
        <v>46645.8333333333</v>
      </c>
      <c r="K46" s="0" t="n">
        <f aca="false">IF(K38="","",K44-K45)</f>
        <v>46645.8333333333</v>
      </c>
      <c r="L46" s="0" t="n">
        <f aca="false">IF(L38="","",L44-L45)</f>
        <v>46645.8333333333</v>
      </c>
      <c r="M46" s="0" t="n">
        <f aca="false">IF(M38="","",M44-M45)</f>
        <v>46645.8333333333</v>
      </c>
      <c r="N46" s="0" t="n">
        <f aca="false">IF(N38="","",N44-N45)</f>
        <v>46645.8333333333</v>
      </c>
      <c r="O46" s="0" t="n">
        <f aca="false">IF(O38="","",O44-O45)</f>
        <v>46645.8333333333</v>
      </c>
      <c r="P46" s="0" t="n">
        <f aca="false">IF(P38="","",P44-P45)</f>
        <v>47578.75</v>
      </c>
      <c r="Q46" s="0" t="n">
        <f aca="false">IF(Q38="","",Q44-Q45)</f>
        <v>47578.75</v>
      </c>
      <c r="R46" s="0" t="n">
        <f aca="false">IF(R38="","",R44-R45)</f>
        <v>47578.75</v>
      </c>
      <c r="S46" s="0" t="n">
        <f aca="false">IF(S38="","",S44-S45)</f>
        <v>47578.75</v>
      </c>
      <c r="T46" s="0" t="n">
        <f aca="false">IF(T38="","",T44-T45)</f>
        <v>47578.75</v>
      </c>
      <c r="U46" s="0" t="n">
        <f aca="false">IF(U38="","",U44-U45)</f>
        <v>47578.75</v>
      </c>
      <c r="V46" s="0" t="n">
        <f aca="false">IF(V38="","",V44-V45)</f>
        <v>47578.75</v>
      </c>
      <c r="W46" s="0" t="n">
        <f aca="false">IF(W38="","",W44-W45)</f>
        <v>47578.75</v>
      </c>
      <c r="X46" s="0" t="n">
        <f aca="false">IF(X38="","",X44-X45)</f>
        <v>47578.75</v>
      </c>
      <c r="Y46" s="0" t="n">
        <f aca="false">IF(Y38="","",Y44-Y45)</f>
        <v>47578.75</v>
      </c>
      <c r="Z46" s="0" t="n">
        <f aca="false">IF(Z38="","",Z44-Z45)</f>
        <v>47578.75</v>
      </c>
      <c r="AA46" s="0" t="n">
        <f aca="false">IF(AA38="","",AA44-AA45)</f>
        <v>47578.75</v>
      </c>
      <c r="AB46" s="0" t="n">
        <f aca="false">IF(AB38="","",AB44-AB45)</f>
        <v>48530.325</v>
      </c>
      <c r="AC46" s="0" t="n">
        <f aca="false">IF(AC38="","",AC44-AC45)</f>
        <v>48530.325</v>
      </c>
      <c r="AD46" s="0" t="n">
        <f aca="false">IF(AD38="","",AD44-AD45)</f>
        <v>48530.325</v>
      </c>
      <c r="AE46" s="0" t="n">
        <f aca="false">IF(AE38="","",AE44-AE45)</f>
        <v>48530.325</v>
      </c>
      <c r="AF46" s="0" t="n">
        <f aca="false">IF(AF38="","",AF44-AF45)</f>
        <v>48530.325</v>
      </c>
      <c r="AG46" s="0" t="n">
        <f aca="false">IF(AG38="","",AG44-AG45)</f>
        <v>48530.325</v>
      </c>
      <c r="AH46" s="0" t="n">
        <f aca="false">IF(AH38="","",AH44-AH45)</f>
        <v>48530.325</v>
      </c>
      <c r="AI46" s="0" t="n">
        <f aca="false">IF(AI38="","",AI44-AI45)</f>
        <v>48530.325</v>
      </c>
      <c r="AJ46" s="0" t="n">
        <f aca="false">IF(AJ38="","",AJ44-AJ45)</f>
        <v>48530.325</v>
      </c>
      <c r="AK46" s="0" t="n">
        <f aca="false">IF(AK38="","",AK44-AK45)</f>
        <v>48530.325</v>
      </c>
      <c r="AL46" s="0" t="n">
        <f aca="false">IF(AL38="","",AL44-AL45)</f>
        <v>48530.325</v>
      </c>
      <c r="AM46" s="0" t="n">
        <f aca="false">IF(AM38="","",AM44-AM45)</f>
        <v>48530.325</v>
      </c>
      <c r="AN46" s="0" t="n">
        <f aca="false">IF(AN38="","",AN44-AN45)</f>
        <v>49500.9315</v>
      </c>
      <c r="AO46" s="0" t="n">
        <f aca="false">IF(AO38="","",AO44-AO45)</f>
        <v>49500.9315</v>
      </c>
      <c r="AP46" s="0" t="n">
        <f aca="false">IF(AP38="","",AP44-AP45)</f>
        <v>49500.9315</v>
      </c>
      <c r="AQ46" s="0" t="n">
        <f aca="false">IF(AQ38="","",AQ44-AQ45)</f>
        <v>49500.9315</v>
      </c>
      <c r="AR46" s="0" t="n">
        <f aca="false">IF(AR38="","",AR44-AR45)</f>
        <v>49500.9315</v>
      </c>
      <c r="AS46" s="0" t="n">
        <f aca="false">IF(AS38="","",AS44-AS45)</f>
        <v>49500.9315</v>
      </c>
      <c r="AT46" s="0" t="n">
        <f aca="false">IF(AT38="","",AT44-AT45)</f>
        <v>49500.9315</v>
      </c>
      <c r="AU46" s="0" t="n">
        <f aca="false">IF(AU38="","",AU44-AU45)</f>
        <v>49500.9315</v>
      </c>
      <c r="AV46" s="0" t="n">
        <f aca="false">IF(AV38="","",AV44-AV45)</f>
        <v>49500.9315</v>
      </c>
      <c r="AW46" s="0" t="n">
        <f aca="false">IF(AW38="","",AW44-AW45)</f>
        <v>49500.9315</v>
      </c>
      <c r="AX46" s="0" t="n">
        <f aca="false">IF(AX38="","",AX44-AX45)</f>
        <v>49500.9315</v>
      </c>
      <c r="AY46" s="0" t="n">
        <f aca="false">IF(AY38="","",AY44-AY45)</f>
        <v>49500.9315</v>
      </c>
      <c r="AZ46" s="0" t="n">
        <f aca="false">IF(AZ38="","",AZ44-AZ45)</f>
        <v>50490.95013</v>
      </c>
      <c r="BA46" s="0" t="n">
        <f aca="false">IF(BA38="","",BA44-BA45)</f>
        <v>50490.95013</v>
      </c>
      <c r="BB46" s="0" t="n">
        <f aca="false">IF(BB38="","",BB44-BB45)</f>
        <v>50490.95013</v>
      </c>
      <c r="BC46" s="0" t="n">
        <f aca="false">IF(BC38="","",BC44-BC45)</f>
        <v>50490.95013</v>
      </c>
      <c r="BD46" s="0" t="n">
        <f aca="false">IF(BD38="","",BD44-BD45)</f>
        <v>50490.95013</v>
      </c>
      <c r="BE46" s="0" t="n">
        <f aca="false">IF(BE38="","",BE44-BE45)</f>
        <v>50490.95013</v>
      </c>
      <c r="BF46" s="0" t="n">
        <f aca="false">IF(BF38="","",BF44-BF45)</f>
        <v>50490.95013</v>
      </c>
      <c r="BG46" s="0" t="n">
        <f aca="false">IF(BG38="","",BG44-BG45)</f>
        <v>50490.95013</v>
      </c>
      <c r="BH46" s="0" t="n">
        <f aca="false">IF(BH38="","",BH44-BH45)</f>
        <v>50490.95013</v>
      </c>
      <c r="BI46" s="0" t="n">
        <f aca="false">IF(BI38="","",BI44-BI45)</f>
        <v>50490.95013</v>
      </c>
      <c r="BJ46" s="0" t="n">
        <f aca="false">IF(BJ38="","",BJ44-BJ45)</f>
        <v>50490.95013</v>
      </c>
      <c r="BK46" s="0" t="n">
        <f aca="false">IF(BK38="","",BK44-BK45)</f>
        <v>50490.95013</v>
      </c>
      <c r="BL46" s="0" t="n">
        <f aca="false">IF(BL38="","",BL44-BL45)</f>
        <v>51500.7691326</v>
      </c>
      <c r="BM46" s="0" t="n">
        <f aca="false">IF(BM38="","",BM44-BM45)</f>
        <v>51500.7691326</v>
      </c>
      <c r="BN46" s="0" t="n">
        <f aca="false">IF(BN38="","",BN44-BN45)</f>
        <v>51500.7691326</v>
      </c>
      <c r="BO46" s="0" t="n">
        <f aca="false">IF(BO38="","",BO44-BO45)</f>
        <v>51500.7691326</v>
      </c>
      <c r="BP46" s="0" t="n">
        <f aca="false">IF(BP38="","",BP44-BP45)</f>
        <v>51500.7691326</v>
      </c>
      <c r="BQ46" s="0" t="n">
        <f aca="false">IF(BQ38="","",BQ44-BQ45)</f>
        <v>51500.7691326</v>
      </c>
      <c r="BR46" s="0" t="n">
        <f aca="false">IF(BR38="","",BR44-BR45)</f>
        <v>51500.7691326</v>
      </c>
      <c r="BS46" s="0" t="n">
        <f aca="false">IF(BS38="","",BS44-BS45)</f>
        <v>51500.7691326</v>
      </c>
      <c r="BT46" s="0" t="n">
        <f aca="false">IF(BT38="","",BT44-BT45)</f>
        <v>51500.7691326</v>
      </c>
      <c r="BU46" s="0" t="n">
        <f aca="false">IF(BU38="","",BU44-BU45)</f>
        <v>51500.7691326</v>
      </c>
      <c r="BV46" s="0" t="n">
        <f aca="false">IF(BV38="","",BV44-BV45)</f>
        <v>51500.7691326</v>
      </c>
      <c r="BW46" s="0" t="n">
        <f aca="false">IF(BW38="","",BW44-BW45)</f>
        <v>51500.7691326</v>
      </c>
      <c r="BX46" s="0" t="n">
        <f aca="false">IF(BX38="","",BX44-BX45)</f>
        <v>52530.784515252</v>
      </c>
      <c r="BY46" s="0" t="n">
        <f aca="false">IF(BY38="","",BY44-BY45)</f>
        <v>52530.784515252</v>
      </c>
      <c r="BZ46" s="0" t="n">
        <f aca="false">IF(BZ38="","",BZ44-BZ45)</f>
        <v>52530.784515252</v>
      </c>
      <c r="CA46" s="0" t="n">
        <f aca="false">IF(CA38="","",CA44-CA45)</f>
        <v>52530.784515252</v>
      </c>
      <c r="CB46" s="0" t="n">
        <f aca="false">IF(CB38="","",CB44-CB45)</f>
        <v>52530.784515252</v>
      </c>
      <c r="CC46" s="0" t="n">
        <f aca="false">IF(CC38="","",CC44-CC45)</f>
        <v>52530.784515252</v>
      </c>
      <c r="CD46" s="0" t="n">
        <f aca="false">IF(CD38="","",CD44-CD45)</f>
        <v>52530.784515252</v>
      </c>
      <c r="CE46" s="0" t="n">
        <f aca="false">IF(CE38="","",CE44-CE45)</f>
        <v>52530.784515252</v>
      </c>
      <c r="CF46" s="0" t="n">
        <f aca="false">IF(CF38="","",CF44-CF45)</f>
        <v>52530.784515252</v>
      </c>
      <c r="CG46" s="0" t="n">
        <f aca="false">IF(CG38="","",CG44-CG45)</f>
        <v>52530.784515252</v>
      </c>
      <c r="CH46" s="0" t="n">
        <f aca="false">IF(CH38="","",CH44-CH45)</f>
        <v>52530.784515252</v>
      </c>
      <c r="CI46" s="0" t="n">
        <f aca="false">IF(CI38="","",CI44-CI45)</f>
        <v>52530.784515252</v>
      </c>
      <c r="CJ46" s="0" t="n">
        <f aca="false">IF(CJ38="","",CJ44-CJ45)</f>
        <v>53581.400205557</v>
      </c>
      <c r="CK46" s="0" t="n">
        <f aca="false">IF(CK38="","",CK44-CK45)</f>
        <v>53581.400205557</v>
      </c>
      <c r="CL46" s="0" t="n">
        <f aca="false">IF(CL38="","",CL44-CL45)</f>
        <v>53581.400205557</v>
      </c>
      <c r="CM46" s="0" t="n">
        <f aca="false">IF(CM38="","",CM44-CM45)</f>
        <v>53581.400205557</v>
      </c>
      <c r="CN46" s="0" t="n">
        <f aca="false">IF(CN38="","",CN44-CN45)</f>
        <v>53581.400205557</v>
      </c>
      <c r="CO46" s="0" t="n">
        <f aca="false">IF(CO38="","",CO44-CO45)</f>
        <v>53581.400205557</v>
      </c>
      <c r="CP46" s="0" t="n">
        <f aca="false">IF(CP38="","",CP44-CP45)</f>
        <v>53581.400205557</v>
      </c>
      <c r="CQ46" s="0" t="n">
        <f aca="false">IF(CQ38="","",CQ44-CQ45)</f>
        <v>53581.400205557</v>
      </c>
      <c r="CR46" s="0" t="n">
        <f aca="false">IF(CR38="","",CR44-CR45)</f>
        <v>53581.400205557</v>
      </c>
      <c r="CS46" s="0" t="n">
        <f aca="false">IF(CS38="","",CS44-CS45)</f>
        <v>53581.400205557</v>
      </c>
      <c r="CT46" s="0" t="n">
        <f aca="false">IF(CT38="","",CT44-CT45)</f>
        <v>53581.400205557</v>
      </c>
      <c r="CU46" s="0" t="n">
        <f aca="false">IF(CU38="","",CU44-CU45)</f>
        <v>53581.400205557</v>
      </c>
      <c r="CV46" s="0" t="n">
        <f aca="false">IF(CV38="","",CV44-CV45)</f>
        <v>38301.0569735553</v>
      </c>
      <c r="CW46" s="0" t="n">
        <f aca="false">IF(CW38="","",CW44-CW45)</f>
        <v>38301.0569735553</v>
      </c>
      <c r="CX46" s="0" t="n">
        <f aca="false">IF(CX38="","",CX44-CX45)</f>
        <v>38301.0569735553</v>
      </c>
      <c r="CY46" s="0" t="n">
        <f aca="false">IF(CY38="","",CY44-CY45)</f>
        <v>38301.0569735553</v>
      </c>
      <c r="CZ46" s="0" t="n">
        <f aca="false">IF(CZ38="","",CZ44-CZ45)</f>
        <v>38301.0569735553</v>
      </c>
      <c r="DA46" s="0" t="n">
        <f aca="false">IF(DA38="","",DA44-DA45)</f>
        <v>38301.0569735553</v>
      </c>
      <c r="DB46" s="0" t="n">
        <f aca="false">IF(DB38="","",DB44-DB45)</f>
        <v>38301.0569735553</v>
      </c>
      <c r="DC46" s="0" t="n">
        <f aca="false">IF(DC38="","",DC44-DC45)</f>
        <v>38301.0569735553</v>
      </c>
      <c r="DD46" s="0" t="n">
        <f aca="false">IF(DD38="","",DD44-DD45)</f>
        <v>38301.0569735553</v>
      </c>
      <c r="DE46" s="0" t="n">
        <f aca="false">IF(DE38="","",DE44-DE45)</f>
        <v>51351.0569735553</v>
      </c>
      <c r="DF46" s="0" t="n">
        <f aca="false">IF(DF38="","",DF44-DF45)</f>
        <v>51351.0569735553</v>
      </c>
      <c r="DG46" s="0" t="n">
        <f aca="false">IF(DG38="","",DG44-DG45)</f>
        <v>51351.0569735553</v>
      </c>
      <c r="DH46" s="0" t="n">
        <f aca="false">IF(DH38="","",DH44-DH45)</f>
        <v>51353.9861220078</v>
      </c>
      <c r="DI46" s="0" t="n">
        <f aca="false">IF(DI38="","",DI44-DI45)</f>
        <v>51353.9861220078</v>
      </c>
      <c r="DJ46" s="0" t="n">
        <f aca="false">IF(DJ38="","",DJ44-DJ45)</f>
        <v>51353.9861220078</v>
      </c>
      <c r="DK46" s="0" t="n">
        <f aca="false">IF(DK38="","",DK44-DK45)</f>
        <v>51353.9861220078</v>
      </c>
      <c r="DL46" s="0" t="n">
        <f aca="false">IF(DL38="","",DL44-DL45)</f>
        <v>51353.9861220078</v>
      </c>
      <c r="DM46" s="0" t="n">
        <f aca="false">IF(DM38="","",DM44-DM45)</f>
        <v>51353.9861220078</v>
      </c>
      <c r="DN46" s="0" t="n">
        <f aca="false">IF(DN38="","",DN44-DN45)</f>
        <v>51353.9861220078</v>
      </c>
      <c r="DO46" s="0" t="n">
        <f aca="false">IF(DO38="","",DO44-DO45)</f>
        <v>51353.9861220078</v>
      </c>
      <c r="DP46" s="0" t="n">
        <f aca="false">IF(DP38="","",DP44-DP45)</f>
        <v>51353.9861220078</v>
      </c>
      <c r="DQ46" s="0" t="n">
        <f aca="false">IF(DQ38="","",DQ44-DQ45)</f>
        <v>51353.9861220078</v>
      </c>
      <c r="DR46" s="0" t="n">
        <f aca="false">IF(DR38="","",DR44-DR45)</f>
        <v>51353.9861220078</v>
      </c>
      <c r="DS46" s="0" t="n">
        <f aca="false">IF(DS38="","",DS44-DS45)</f>
        <v>51353.9861220078</v>
      </c>
      <c r="DT46" s="0" t="n">
        <f aca="false">IF(DT38="","",DT44-DT45)</f>
        <v>51356.9738534294</v>
      </c>
      <c r="DU46" s="0" t="n">
        <f aca="false">IF(DU38="","",DU44-DU45)</f>
        <v>51356.9738534294</v>
      </c>
      <c r="DV46" s="0" t="n">
        <f aca="false">IF(DV38="","",DV44-DV45)</f>
        <v>51356.9738534294</v>
      </c>
      <c r="DW46" s="0" t="n">
        <f aca="false">IF(DW38="","",DW44-DW45)</f>
        <v>51356.9738534294</v>
      </c>
      <c r="DX46" s="0" t="n">
        <f aca="false">IF(DX38="","",DX44-DX45)</f>
        <v>51356.9738534294</v>
      </c>
      <c r="DY46" s="0" t="n">
        <f aca="false">IF(DY38="","",DY44-DY45)</f>
        <v>51356.9738534294</v>
      </c>
      <c r="DZ46" s="0" t="n">
        <f aca="false">IF(DZ38="","",DZ44-DZ45)</f>
        <v>51356.9738534294</v>
      </c>
      <c r="EA46" s="0" t="n">
        <f aca="false">IF(EA38="","",EA44-EA45)</f>
        <v>51356.9738534294</v>
      </c>
      <c r="EB46" s="0" t="n">
        <f aca="false">IF(EB38="","",EB44-EB45)</f>
        <v>51356.9738534294</v>
      </c>
      <c r="EC46" s="0" t="n">
        <f aca="false">IF(EC38="","",EC44-EC45)</f>
        <v>51356.9738534294</v>
      </c>
      <c r="ED46" s="0" t="n">
        <f aca="false">IF(ED38="","",ED44-ED45)</f>
        <v>51356.9738534294</v>
      </c>
      <c r="EE46" s="0" t="n">
        <f aca="false">IF(EE38="","",EE44-EE45)</f>
        <v>51356.9738534294</v>
      </c>
      <c r="EF46" s="0" t="n">
        <f aca="false">IF(EF38="","",EF44-EF45)</f>
        <v>51360.0213394794</v>
      </c>
      <c r="EG46" s="0" t="n">
        <f aca="false">IF(EG38="","",EG44-EG45)</f>
        <v>51360.0213394794</v>
      </c>
      <c r="EH46" s="0" t="n">
        <f aca="false">IF(EH38="","",EH44-EH45)</f>
        <v>51360.0213394794</v>
      </c>
      <c r="EI46" s="0" t="n">
        <f aca="false">IF(EI38="","",EI44-EI45)</f>
        <v>51360.0213394794</v>
      </c>
      <c r="EJ46" s="0" t="n">
        <f aca="false">IF(EJ38="","",EJ44-EJ45)</f>
        <v>51360.0213394794</v>
      </c>
      <c r="EK46" s="0" t="n">
        <f aca="false">IF(EK38="","",EK44-EK45)</f>
        <v>51360.0213394794</v>
      </c>
      <c r="EL46" s="0" t="n">
        <f aca="false">IF(EL38="","",EL44-EL45)</f>
        <v>51360.0213394794</v>
      </c>
      <c r="EM46" s="0" t="n">
        <f aca="false">IF(EM38="","",EM44-EM45)</f>
        <v>51360.0213394794</v>
      </c>
      <c r="EN46" s="0" t="n">
        <f aca="false">IF(EN38="","",EN44-EN45)</f>
        <v>51360.0213394794</v>
      </c>
      <c r="EO46" s="0" t="n">
        <f aca="false">IF(EO38="","",EO44-EO45)</f>
        <v>51360.0213394794</v>
      </c>
      <c r="EP46" s="0" t="n">
        <f aca="false">IF(EP38="","",EP44-EP45)</f>
        <v>51360.0213394794</v>
      </c>
      <c r="EQ46" s="0" t="n">
        <f aca="false">IF(EQ38="","",EQ44-EQ45)</f>
        <v>51360.0213394794</v>
      </c>
      <c r="ER46" s="0" t="n">
        <f aca="false">IF(ER38="","",ER44-ER45)</f>
        <v>51363.1297752504</v>
      </c>
      <c r="ES46" s="0" t="n">
        <f aca="false">IF(ES38="","",ES44-ES45)</f>
        <v>51363.1297752504</v>
      </c>
      <c r="ET46" s="0" t="n">
        <f aca="false">IF(ET38="","",ET44-ET45)</f>
        <v>51363.1297752504</v>
      </c>
      <c r="EU46" s="0" t="n">
        <f aca="false">IF(EU38="","",EU44-EU45)</f>
        <v>51363.1297752504</v>
      </c>
      <c r="EV46" s="0" t="n">
        <f aca="false">IF(EV38="","",EV44-EV45)</f>
        <v>51363.1297752504</v>
      </c>
      <c r="EW46" s="0" t="n">
        <f aca="false">IF(EW38="","",EW44-EW45)</f>
        <v>51363.1297752504</v>
      </c>
      <c r="EX46" s="0" t="n">
        <f aca="false">IF(EX38="","",EX44-EX45)</f>
        <v>51363.1297752504</v>
      </c>
      <c r="EY46" s="0" t="n">
        <f aca="false">IF(EY38="","",EY44-EY45)</f>
        <v>51363.1297752504</v>
      </c>
      <c r="EZ46" s="0" t="n">
        <f aca="false">IF(EZ38="","",EZ44-EZ45)</f>
        <v>51363.1297752504</v>
      </c>
      <c r="FA46" s="0" t="n">
        <f aca="false">IF(FA38="","",FA44-FA45)</f>
        <v>51363.1297752504</v>
      </c>
      <c r="FB46" s="0" t="n">
        <f aca="false">IF(FB38="","",FB44-FB45)</f>
        <v>51363.1297752504</v>
      </c>
      <c r="FC46" s="0" t="n">
        <f aca="false">IF(FC38="","",FC44-FC45)</f>
        <v>51363.1297752504</v>
      </c>
      <c r="FD46" s="0" t="str">
        <f aca="false">IF(FD38="","",FD44-FD45)</f>
        <v/>
      </c>
      <c r="FE46" s="0" t="e">
        <f aca="false">IF(FE38="","",FE44-FE45)</f>
        <v>#VALUE!</v>
      </c>
      <c r="FF46" s="0" t="e">
        <f aca="false">IF(FF38="","",FF44-FF45)</f>
        <v>#VALUE!</v>
      </c>
      <c r="FG46" s="0" t="e">
        <f aca="false">IF(FG38="","",FG44-FG45)</f>
        <v>#VALUE!</v>
      </c>
      <c r="FH46" s="0" t="e">
        <f aca="false">IF(FH38="","",FH44-FH45)</f>
        <v>#VALUE!</v>
      </c>
      <c r="FI46" s="0" t="e">
        <f aca="false">IF(FI38="","",FI44-FI45)</f>
        <v>#VALUE!</v>
      </c>
      <c r="FJ46" s="0" t="e">
        <f aca="false">IF(FJ38="","",FJ44-FJ45)</f>
        <v>#VALUE!</v>
      </c>
      <c r="FK46" s="0" t="e">
        <f aca="false">IF(FK38="","",FK44-FK45)</f>
        <v>#VALUE!</v>
      </c>
      <c r="FL46" s="0" t="e">
        <f aca="false">IF(FL38="","",FL44-FL45)</f>
        <v>#VALUE!</v>
      </c>
      <c r="FM46" s="0" t="e">
        <f aca="false">IF(FM38="","",FM44-FM45)</f>
        <v>#VALUE!</v>
      </c>
      <c r="FN46" s="0" t="e">
        <f aca="false">IF(FN38="","",FN44-FN45)</f>
        <v>#VALUE!</v>
      </c>
      <c r="FO46" s="0" t="e">
        <f aca="false">IF(FO38="","",FO44-FO45)</f>
        <v>#VALUE!</v>
      </c>
      <c r="FP46" s="0" t="e">
        <f aca="false">IF(FP38="","",FP44-FP45)</f>
        <v>#VALUE!</v>
      </c>
      <c r="FQ46" s="0" t="e">
        <f aca="false">IF(FQ38="","",FQ44-FQ45)</f>
        <v>#VALUE!</v>
      </c>
      <c r="FR46" s="0" t="e">
        <f aca="false">IF(FR38="","",FR44-FR45)</f>
        <v>#VALUE!</v>
      </c>
      <c r="FS46" s="0" t="e">
        <f aca="false">IF(FS38="","",FS44-FS45)</f>
        <v>#VALUE!</v>
      </c>
      <c r="FT46" s="0" t="e">
        <f aca="false">IF(FT38="","",FT44-FT45)</f>
        <v>#VALUE!</v>
      </c>
      <c r="FU46" s="0" t="e">
        <f aca="false">IF(FU38="","",FU44-FU45)</f>
        <v>#VALUE!</v>
      </c>
      <c r="FV46" s="0" t="e">
        <f aca="false">IF(FV38="","",FV44-FV45)</f>
        <v>#VALUE!</v>
      </c>
      <c r="FW46" s="0" t="e">
        <f aca="false">IF(FW38="","",FW44-FW45)</f>
        <v>#VALUE!</v>
      </c>
      <c r="FX46" s="0" t="e">
        <f aca="false">IF(FX38="","",FX44-FX45)</f>
        <v>#VALUE!</v>
      </c>
      <c r="FY46" s="0" t="e">
        <f aca="false">IF(FY38="","",FY44-FY45)</f>
        <v>#VALUE!</v>
      </c>
      <c r="FZ46" s="0" t="e">
        <f aca="false">IF(FZ38="","",FZ44-FZ45)</f>
        <v>#VALUE!</v>
      </c>
      <c r="GA46" s="0" t="e">
        <f aca="false">IF(GA38="","",GA44-GA45)</f>
        <v>#VALUE!</v>
      </c>
      <c r="GB46" s="0" t="e">
        <f aca="false">IF(GB38="","",GB44-GB45)</f>
        <v>#VALUE!</v>
      </c>
      <c r="GC46" s="0" t="e">
        <f aca="false">IF(GC38="","",GC44-GC45)</f>
        <v>#VALUE!</v>
      </c>
      <c r="GD46" s="0" t="e">
        <f aca="false">IF(GD38="","",GD44-GD45)</f>
        <v>#VALUE!</v>
      </c>
      <c r="GE46" s="0" t="e">
        <f aca="false">IF(GE38="","",GE44-GE45)</f>
        <v>#VALUE!</v>
      </c>
      <c r="GF46" s="0" t="e">
        <f aca="false">IF(GF38="","",GF44-GF45)</f>
        <v>#VALUE!</v>
      </c>
      <c r="GG46" s="0" t="e">
        <f aca="false">IF(GG38="","",GG44-GG45)</f>
        <v>#VALUE!</v>
      </c>
      <c r="GH46" s="0" t="e">
        <f aca="false">IF(GH38="","",GH44-GH45)</f>
        <v>#VALUE!</v>
      </c>
      <c r="GI46" s="0" t="e">
        <f aca="false">IF(GI38="","",GI44-GI45)</f>
        <v>#VALUE!</v>
      </c>
      <c r="GJ46" s="0" t="e">
        <f aca="false">IF(GJ38="","",GJ44-GJ45)</f>
        <v>#VALUE!</v>
      </c>
      <c r="GK46" s="0" t="e">
        <f aca="false">IF(GK38="","",GK44-GK45)</f>
        <v>#VALUE!</v>
      </c>
      <c r="GL46" s="0" t="e">
        <f aca="false">IF(GL38="","",GL44-GL45)</f>
        <v>#VALUE!</v>
      </c>
      <c r="GM46" s="0" t="e">
        <f aca="false">IF(GM38="","",GM44-GM45)</f>
        <v>#VALUE!</v>
      </c>
      <c r="GN46" s="0" t="e">
        <f aca="false">IF(GN38="","",GN44-GN45)</f>
        <v>#VALUE!</v>
      </c>
      <c r="GO46" s="0" t="e">
        <f aca="false">IF(GO38="","",GO44-GO45)</f>
        <v>#VALUE!</v>
      </c>
      <c r="GP46" s="0" t="e">
        <f aca="false">IF(GP38="","",GP44-GP45)</f>
        <v>#VALUE!</v>
      </c>
      <c r="GQ46" s="0" t="e">
        <f aca="false">IF(GQ38="","",GQ44-GQ45)</f>
        <v>#VALUE!</v>
      </c>
      <c r="GR46" s="0" t="e">
        <f aca="false">IF(GR38="","",GR44-GR45)</f>
        <v>#VALUE!</v>
      </c>
      <c r="GS46" s="0" t="e">
        <f aca="false">IF(GS38="","",GS44-GS45)</f>
        <v>#VALUE!</v>
      </c>
      <c r="GT46" s="0" t="e">
        <f aca="false">IF(GT38="","",GT44-GT45)</f>
        <v>#VALUE!</v>
      </c>
      <c r="GU46" s="0" t="e">
        <f aca="false">IF(GU38="","",GU44-GU45)</f>
        <v>#VALUE!</v>
      </c>
      <c r="GV46" s="0" t="e">
        <f aca="false">IF(GV38="","",GV44-GV45)</f>
        <v>#VALUE!</v>
      </c>
      <c r="GW46" s="0" t="e">
        <f aca="false">IF(GW38="","",GW44-GW45)</f>
        <v>#VALUE!</v>
      </c>
      <c r="GX46" s="0" t="e">
        <f aca="false">IF(GX38="","",GX44-GX45)</f>
        <v>#VALUE!</v>
      </c>
      <c r="GY46" s="0" t="e">
        <f aca="false">IF(GY38="","",GY44-GY45)</f>
        <v>#VALUE!</v>
      </c>
      <c r="GZ46" s="0" t="e">
        <f aca="false">IF(GZ38="","",GZ44-GZ45)</f>
        <v>#VALUE!</v>
      </c>
      <c r="HA46" s="0" t="e">
        <f aca="false">IF(HA38="","",HA44-HA45)</f>
        <v>#VALUE!</v>
      </c>
      <c r="HB46" s="0" t="e">
        <f aca="false">IF(HB38="","",HB44-HB45)</f>
        <v>#VALUE!</v>
      </c>
      <c r="HC46" s="0" t="e">
        <f aca="false">IF(HC38="","",HC44-HC45)</f>
        <v>#VALUE!</v>
      </c>
      <c r="HD46" s="0" t="e">
        <f aca="false">IF(HD38="","",HD44-HD45)</f>
        <v>#VALUE!</v>
      </c>
      <c r="HE46" s="0" t="e">
        <f aca="false">IF(HE38="","",HE44-HE45)</f>
        <v>#VALUE!</v>
      </c>
      <c r="HF46" s="0" t="e">
        <f aca="false">IF(HF38="","",HF44-HF45)</f>
        <v>#VALUE!</v>
      </c>
      <c r="HG46" s="0" t="e">
        <f aca="false">IF(HG38="","",HG44-HG45)</f>
        <v>#VALUE!</v>
      </c>
      <c r="HH46" s="0" t="e">
        <f aca="false">IF(HH38="","",HH44-HH45)</f>
        <v>#VALUE!</v>
      </c>
      <c r="HI46" s="0" t="e">
        <f aca="false">IF(HI38="","",HI44-HI45)</f>
        <v>#VALUE!</v>
      </c>
      <c r="HJ46" s="0" t="e">
        <f aca="false">IF(HJ38="","",HJ44-HJ45)</f>
        <v>#VALUE!</v>
      </c>
      <c r="HK46" s="0" t="e">
        <f aca="false">IF(HK38="","",HK44-HK45)</f>
        <v>#VALUE!</v>
      </c>
      <c r="HL46" s="0" t="e">
        <f aca="false">IF(HL38="","",HL44-HL45)</f>
        <v>#VALUE!</v>
      </c>
      <c r="HM46" s="0" t="e">
        <f aca="false">IF(HM38="","",HM44-HM45)</f>
        <v>#VALUE!</v>
      </c>
      <c r="HN46" s="0" t="e">
        <f aca="false">IF(HN38="","",HN44-HN45)</f>
        <v>#VALUE!</v>
      </c>
      <c r="HO46" s="0" t="e">
        <f aca="false">IF(HO38="","",HO44-HO45)</f>
        <v>#VALUE!</v>
      </c>
      <c r="HP46" s="0" t="e">
        <f aca="false">IF(HP38="","",HP44-HP45)</f>
        <v>#VALUE!</v>
      </c>
      <c r="HQ46" s="0" t="e">
        <f aca="false">IF(HQ38="","",HQ44-HQ45)</f>
        <v>#VALUE!</v>
      </c>
      <c r="HR46" s="0" t="e">
        <f aca="false">IF(HR38="","",HR44-HR45)</f>
        <v>#VALUE!</v>
      </c>
      <c r="HS46" s="0" t="e">
        <f aca="false">IF(HS38="","",HS44-HS45)</f>
        <v>#VALUE!</v>
      </c>
      <c r="HT46" s="0" t="e">
        <f aca="false">IF(HT38="","",HT44-HT45)</f>
        <v>#VALUE!</v>
      </c>
      <c r="HU46" s="0" t="e">
        <f aca="false">IF(HU38="","",HU44-HU45)</f>
        <v>#VALUE!</v>
      </c>
      <c r="HV46" s="0" t="e">
        <f aca="false">IF(HV38="","",HV44-HV45)</f>
        <v>#VALUE!</v>
      </c>
      <c r="HW46" s="0" t="e">
        <f aca="false">IF(HW38="","",HW44-HW45)</f>
        <v>#VALUE!</v>
      </c>
      <c r="HX46" s="0" t="e">
        <f aca="false">IF(HX38="","",HX44-HX45)</f>
        <v>#VALUE!</v>
      </c>
      <c r="HY46" s="0" t="e">
        <f aca="false">IF(HY38="","",HY44-HY45)</f>
        <v>#VALUE!</v>
      </c>
      <c r="HZ46" s="0" t="e">
        <f aca="false">IF(HZ38="","",HZ44-HZ45)</f>
        <v>#VALUE!</v>
      </c>
      <c r="IA46" s="0" t="e">
        <f aca="false">IF(IA38="","",IA44-IA45)</f>
        <v>#VALUE!</v>
      </c>
      <c r="IB46" s="0" t="e">
        <f aca="false">IF(IB38="","",IB44-IB45)</f>
        <v>#VALUE!</v>
      </c>
      <c r="IC46" s="0" t="e">
        <f aca="false">IF(IC38="","",IC44-IC45)</f>
        <v>#VALUE!</v>
      </c>
      <c r="ID46" s="0" t="e">
        <f aca="false">IF(ID38="","",ID44-ID45)</f>
        <v>#VALUE!</v>
      </c>
      <c r="IE46" s="0" t="e">
        <f aca="false">IF(IE38="","",IE44-IE45)</f>
        <v>#VALUE!</v>
      </c>
      <c r="IF46" s="0" t="e">
        <f aca="false">IF(IF38="","",IF44-IF45)</f>
        <v>#VALUE!</v>
      </c>
      <c r="IG46" s="0" t="e">
        <f aca="false">IF(IG38="","",IG44-IG45)</f>
        <v>#VALUE!</v>
      </c>
      <c r="IH46" s="0" t="e">
        <f aca="false">IF(IH38="","",IH44-IH45)</f>
        <v>#VALUE!</v>
      </c>
      <c r="II46" s="0" t="e">
        <f aca="false">IF(II38="","",II44-II45)</f>
        <v>#VALUE!</v>
      </c>
    </row>
    <row r="47" customFormat="false" ht="15" hidden="false" customHeight="false" outlineLevel="0" collapsed="false">
      <c r="B47" s="0" t="s">
        <v>112</v>
      </c>
      <c r="C47" s="0" t="n">
        <f aca="false">IF(C38="","",Inputs!Q107)</f>
        <v>0</v>
      </c>
      <c r="D47" s="0" t="n">
        <f aca="false">IF(D38="","",Inputs!R107)</f>
        <v>483.333333333333</v>
      </c>
      <c r="E47" s="0" t="n">
        <f aca="false">IF(E38="","",Inputs!S107)</f>
        <v>483.333333333333</v>
      </c>
      <c r="F47" s="0" t="n">
        <f aca="false">IF(F38="","",Inputs!T107)</f>
        <v>483.333333333333</v>
      </c>
      <c r="G47" s="0" t="n">
        <f aca="false">IF(G38="","",Inputs!U107)</f>
        <v>483.333333333333</v>
      </c>
      <c r="H47" s="0" t="n">
        <f aca="false">IF(H38="","",Inputs!V107)</f>
        <v>483.333333333333</v>
      </c>
      <c r="I47" s="0" t="n">
        <f aca="false">IF(I38="","",Inputs!W107)</f>
        <v>483.333333333333</v>
      </c>
      <c r="J47" s="0" t="n">
        <f aca="false">IF(J38="","",Inputs!X107)</f>
        <v>483.333333333333</v>
      </c>
      <c r="K47" s="0" t="n">
        <f aca="false">IF(K38="","",Inputs!Y107)</f>
        <v>483.333333333333</v>
      </c>
      <c r="L47" s="0" t="n">
        <f aca="false">IF(L38="","",Inputs!Z107)</f>
        <v>483.333333333333</v>
      </c>
      <c r="M47" s="0" t="n">
        <f aca="false">IF(M38="","",Inputs!AA107)</f>
        <v>483.333333333333</v>
      </c>
      <c r="N47" s="0" t="n">
        <f aca="false">IF(N38="","",Inputs!AB107)</f>
        <v>483.333333333333</v>
      </c>
      <c r="O47" s="0" t="n">
        <f aca="false">IF(O38="","",Inputs!AC107)</f>
        <v>483.333333333333</v>
      </c>
      <c r="P47" s="0" t="n">
        <f aca="false">IF(P38="","",Inputs!AD107)</f>
        <v>495.416666666667</v>
      </c>
      <c r="Q47" s="0" t="n">
        <f aca="false">IF(Q38="","",Inputs!AE107)</f>
        <v>495.416666666667</v>
      </c>
      <c r="R47" s="0" t="n">
        <f aca="false">IF(R38="","",Inputs!AF107)</f>
        <v>495.416666666667</v>
      </c>
      <c r="S47" s="0" t="n">
        <f aca="false">IF(S38="","",Inputs!AG107)</f>
        <v>495.416666666667</v>
      </c>
      <c r="T47" s="0" t="n">
        <f aca="false">IF(T38="","",Inputs!AH107)</f>
        <v>495.416666666667</v>
      </c>
      <c r="U47" s="0" t="n">
        <f aca="false">IF(U38="","",Inputs!AI107)</f>
        <v>495.416666666667</v>
      </c>
      <c r="V47" s="0" t="n">
        <f aca="false">IF(V38="","",Inputs!AJ107)</f>
        <v>495.416666666667</v>
      </c>
      <c r="W47" s="0" t="n">
        <f aca="false">IF(W38="","",Inputs!AK107)</f>
        <v>495.416666666667</v>
      </c>
      <c r="X47" s="0" t="n">
        <f aca="false">IF(X38="","",Inputs!AL107)</f>
        <v>495.416666666667</v>
      </c>
      <c r="Y47" s="0" t="n">
        <f aca="false">IF(Y38="","",Inputs!AM107)</f>
        <v>495.416666666667</v>
      </c>
      <c r="Z47" s="0" t="n">
        <f aca="false">IF(Z38="","",Inputs!AN107)</f>
        <v>495.416666666667</v>
      </c>
      <c r="AA47" s="0" t="n">
        <f aca="false">IF(AA38="","",Inputs!AO107)</f>
        <v>495.416666666667</v>
      </c>
      <c r="AB47" s="0" t="n">
        <f aca="false">IF(AB38="","",Inputs!AP107)</f>
        <v>507.802083333333</v>
      </c>
      <c r="AC47" s="0" t="n">
        <f aca="false">IF(AC38="","",Inputs!AQ107)</f>
        <v>507.802083333333</v>
      </c>
      <c r="AD47" s="0" t="n">
        <f aca="false">IF(AD38="","",Inputs!AR107)</f>
        <v>507.802083333333</v>
      </c>
      <c r="AE47" s="0" t="n">
        <f aca="false">IF(AE38="","",Inputs!AS107)</f>
        <v>507.802083333333</v>
      </c>
      <c r="AF47" s="0" t="n">
        <f aca="false">IF(AF38="","",Inputs!AT107)</f>
        <v>507.802083333333</v>
      </c>
      <c r="AG47" s="0" t="n">
        <f aca="false">IF(AG38="","",Inputs!AU107)</f>
        <v>507.802083333333</v>
      </c>
      <c r="AH47" s="0" t="n">
        <f aca="false">IF(AH38="","",Inputs!AV107)</f>
        <v>507.802083333333</v>
      </c>
      <c r="AI47" s="0" t="n">
        <f aca="false">IF(AI38="","",Inputs!AW107)</f>
        <v>507.802083333333</v>
      </c>
      <c r="AJ47" s="0" t="n">
        <f aca="false">IF(AJ38="","",Inputs!AX107)</f>
        <v>507.802083333333</v>
      </c>
      <c r="AK47" s="0" t="n">
        <f aca="false">IF(AK38="","",Inputs!AY107)</f>
        <v>507.802083333333</v>
      </c>
      <c r="AL47" s="0" t="n">
        <f aca="false">IF(AL38="","",Inputs!AZ107)</f>
        <v>507.802083333333</v>
      </c>
      <c r="AM47" s="0" t="n">
        <f aca="false">IF(AM38="","",Inputs!BA107)</f>
        <v>507.802083333333</v>
      </c>
      <c r="AN47" s="0" t="n">
        <f aca="false">IF(AN38="","",Inputs!BB107)</f>
        <v>520.497135416666</v>
      </c>
      <c r="AO47" s="0" t="n">
        <f aca="false">IF(AO38="","",Inputs!BC107)</f>
        <v>520.497135416666</v>
      </c>
      <c r="AP47" s="0" t="n">
        <f aca="false">IF(AP38="","",Inputs!BD107)</f>
        <v>520.497135416666</v>
      </c>
      <c r="AQ47" s="0" t="n">
        <f aca="false">IF(AQ38="","",Inputs!BE107)</f>
        <v>520.497135416666</v>
      </c>
      <c r="AR47" s="0" t="n">
        <f aca="false">IF(AR38="","",Inputs!BF107)</f>
        <v>520.497135416666</v>
      </c>
      <c r="AS47" s="0" t="n">
        <f aca="false">IF(AS38="","",Inputs!BG107)</f>
        <v>520.497135416666</v>
      </c>
      <c r="AT47" s="0" t="n">
        <f aca="false">IF(AT38="","",Inputs!BH107)</f>
        <v>520.497135416666</v>
      </c>
      <c r="AU47" s="0" t="n">
        <f aca="false">IF(AU38="","",Inputs!BI107)</f>
        <v>520.497135416666</v>
      </c>
      <c r="AV47" s="0" t="n">
        <f aca="false">IF(AV38="","",Inputs!BJ107)</f>
        <v>520.497135416666</v>
      </c>
      <c r="AW47" s="0" t="n">
        <f aca="false">IF(AW38="","",Inputs!BK107)</f>
        <v>520.497135416666</v>
      </c>
      <c r="AX47" s="0" t="n">
        <f aca="false">IF(AX38="","",Inputs!BL107)</f>
        <v>520.497135416666</v>
      </c>
      <c r="AY47" s="0" t="n">
        <f aca="false">IF(AY38="","",Inputs!BM107)</f>
        <v>520.497135416666</v>
      </c>
      <c r="AZ47" s="0" t="n">
        <f aca="false">IF(AZ38="","",Inputs!BN107)</f>
        <v>533.509563802083</v>
      </c>
      <c r="BA47" s="0" t="n">
        <f aca="false">IF(BA38="","",Inputs!BO107)</f>
        <v>533.509563802083</v>
      </c>
      <c r="BB47" s="0" t="n">
        <f aca="false">IF(BB38="","",Inputs!BP107)</f>
        <v>533.509563802083</v>
      </c>
      <c r="BC47" s="0" t="n">
        <f aca="false">IF(BC38="","",Inputs!BQ107)</f>
        <v>533.509563802083</v>
      </c>
      <c r="BD47" s="0" t="n">
        <f aca="false">IF(BD38="","",Inputs!BR107)</f>
        <v>533.509563802083</v>
      </c>
      <c r="BE47" s="0" t="n">
        <f aca="false">IF(BE38="","",Inputs!BS107)</f>
        <v>533.509563802083</v>
      </c>
      <c r="BF47" s="0" t="n">
        <f aca="false">IF(BF38="","",Inputs!BT107)</f>
        <v>533.509563802083</v>
      </c>
      <c r="BG47" s="0" t="n">
        <f aca="false">IF(BG38="","",Inputs!BU107)</f>
        <v>533.509563802083</v>
      </c>
      <c r="BH47" s="0" t="n">
        <f aca="false">IF(BH38="","",Inputs!BV107)</f>
        <v>533.509563802083</v>
      </c>
      <c r="BI47" s="0" t="n">
        <f aca="false">IF(BI38="","",Inputs!BW107)</f>
        <v>533.509563802083</v>
      </c>
      <c r="BJ47" s="0" t="n">
        <f aca="false">IF(BJ38="","",Inputs!BX107)</f>
        <v>533.509563802083</v>
      </c>
      <c r="BK47" s="0" t="n">
        <f aca="false">IF(BK38="","",Inputs!BY107)</f>
        <v>533.509563802083</v>
      </c>
      <c r="BL47" s="0" t="n">
        <f aca="false">IF(BL38="","",Inputs!BZ107)</f>
        <v>546.847302897135</v>
      </c>
      <c r="BM47" s="0" t="n">
        <f aca="false">IF(BM38="","",Inputs!CA107)</f>
        <v>546.847302897135</v>
      </c>
      <c r="BN47" s="0" t="n">
        <f aca="false">IF(BN38="","",Inputs!CB107)</f>
        <v>546.847302897135</v>
      </c>
      <c r="BO47" s="0" t="n">
        <f aca="false">IF(BO38="","",Inputs!CC107)</f>
        <v>546.847302897135</v>
      </c>
      <c r="BP47" s="0" t="n">
        <f aca="false">IF(BP38="","",Inputs!CD107)</f>
        <v>546.847302897135</v>
      </c>
      <c r="BQ47" s="0" t="n">
        <f aca="false">IF(BQ38="","",Inputs!CE107)</f>
        <v>546.847302897135</v>
      </c>
      <c r="BR47" s="0" t="n">
        <f aca="false">IF(BR38="","",Inputs!CF107)</f>
        <v>546.847302897135</v>
      </c>
      <c r="BS47" s="0" t="n">
        <f aca="false">IF(BS38="","",Inputs!CG107)</f>
        <v>546.847302897135</v>
      </c>
      <c r="BT47" s="0" t="n">
        <f aca="false">IF(BT38="","",Inputs!CH107)</f>
        <v>546.847302897135</v>
      </c>
      <c r="BU47" s="0" t="n">
        <f aca="false">IF(BU38="","",Inputs!CI107)</f>
        <v>546.847302897135</v>
      </c>
      <c r="BV47" s="0" t="n">
        <f aca="false">IF(BV38="","",Inputs!CJ107)</f>
        <v>546.847302897135</v>
      </c>
      <c r="BW47" s="0" t="n">
        <f aca="false">IF(BW38="","",Inputs!CK107)</f>
        <v>546.847302897135</v>
      </c>
      <c r="BX47" s="0" t="n">
        <f aca="false">IF(BX38="","",Inputs!CL107)</f>
        <v>560.518485469563</v>
      </c>
      <c r="BY47" s="0" t="n">
        <f aca="false">IF(BY38="","",Inputs!CM107)</f>
        <v>560.518485469563</v>
      </c>
      <c r="BZ47" s="0" t="n">
        <f aca="false">IF(BZ38="","",Inputs!CN107)</f>
        <v>560.518485469563</v>
      </c>
      <c r="CA47" s="0" t="n">
        <f aca="false">IF(CA38="","",Inputs!CO107)</f>
        <v>560.518485469563</v>
      </c>
      <c r="CB47" s="0" t="n">
        <f aca="false">IF(CB38="","",Inputs!CP107)</f>
        <v>560.518485469563</v>
      </c>
      <c r="CC47" s="0" t="n">
        <f aca="false">IF(CC38="","",Inputs!CQ107)</f>
        <v>560.518485469563</v>
      </c>
      <c r="CD47" s="0" t="n">
        <f aca="false">IF(CD38="","",Inputs!CR107)</f>
        <v>560.518485469563</v>
      </c>
      <c r="CE47" s="0" t="n">
        <f aca="false">IF(CE38="","",Inputs!CS107)</f>
        <v>560.518485469563</v>
      </c>
      <c r="CF47" s="0" t="n">
        <f aca="false">IF(CF38="","",Inputs!CT107)</f>
        <v>560.518485469563</v>
      </c>
      <c r="CG47" s="0" t="n">
        <f aca="false">IF(CG38="","",Inputs!CU107)</f>
        <v>560.518485469563</v>
      </c>
      <c r="CH47" s="0" t="n">
        <f aca="false">IF(CH38="","",Inputs!CV107)</f>
        <v>560.518485469563</v>
      </c>
      <c r="CI47" s="0" t="n">
        <f aca="false">IF(CI38="","",Inputs!CW107)</f>
        <v>560.518485469563</v>
      </c>
      <c r="CJ47" s="0" t="n">
        <f aca="false">IF(CJ38="","",Inputs!CX107)</f>
        <v>574.531447606303</v>
      </c>
      <c r="CK47" s="0" t="n">
        <f aca="false">IF(CK38="","",Inputs!CY107)</f>
        <v>574.531447606303</v>
      </c>
      <c r="CL47" s="0" t="n">
        <f aca="false">IF(CL38="","",Inputs!CZ107)</f>
        <v>574.531447606303</v>
      </c>
      <c r="CM47" s="0" t="n">
        <f aca="false">IF(CM38="","",Inputs!DA107)</f>
        <v>574.531447606303</v>
      </c>
      <c r="CN47" s="0" t="n">
        <f aca="false">IF(CN38="","",Inputs!DB107)</f>
        <v>574.531447606303</v>
      </c>
      <c r="CO47" s="0" t="n">
        <f aca="false">IF(CO38="","",Inputs!DC107)</f>
        <v>574.531447606303</v>
      </c>
      <c r="CP47" s="0" t="n">
        <f aca="false">IF(CP38="","",Inputs!DD107)</f>
        <v>574.531447606303</v>
      </c>
      <c r="CQ47" s="0" t="n">
        <f aca="false">IF(CQ38="","",Inputs!DE107)</f>
        <v>574.531447606303</v>
      </c>
      <c r="CR47" s="0" t="n">
        <f aca="false">IF(CR38="","",Inputs!DF107)</f>
        <v>574.531447606303</v>
      </c>
      <c r="CS47" s="0" t="n">
        <f aca="false">IF(CS38="","",Inputs!DG107)</f>
        <v>574.531447606303</v>
      </c>
      <c r="CT47" s="0" t="n">
        <f aca="false">IF(CT38="","",Inputs!DH107)</f>
        <v>574.531447606303</v>
      </c>
      <c r="CU47" s="0" t="n">
        <f aca="false">IF(CU38="","",Inputs!DI107)</f>
        <v>574.531447606303</v>
      </c>
      <c r="CV47" s="0" t="n">
        <f aca="false">IF(CV38="","",Inputs!DJ107)</f>
        <v>588.89473379646</v>
      </c>
      <c r="CW47" s="0" t="n">
        <f aca="false">IF(CW38="","",Inputs!DK107)</f>
        <v>588.89473379646</v>
      </c>
      <c r="CX47" s="0" t="n">
        <f aca="false">IF(CX38="","",Inputs!DL107)</f>
        <v>588.89473379646</v>
      </c>
      <c r="CY47" s="0" t="n">
        <f aca="false">IF(CY38="","",Inputs!DM107)</f>
        <v>588.89473379646</v>
      </c>
      <c r="CZ47" s="0" t="n">
        <f aca="false">IF(CZ38="","",Inputs!DN107)</f>
        <v>588.89473379646</v>
      </c>
      <c r="DA47" s="0" t="n">
        <f aca="false">IF(DA38="","",Inputs!DO107)</f>
        <v>588.89473379646</v>
      </c>
      <c r="DB47" s="0" t="n">
        <f aca="false">IF(DB38="","",Inputs!DP107)</f>
        <v>588.89473379646</v>
      </c>
      <c r="DC47" s="0" t="n">
        <f aca="false">IF(DC38="","",Inputs!DQ107)</f>
        <v>588.89473379646</v>
      </c>
      <c r="DD47" s="0" t="n">
        <f aca="false">IF(DD38="","",Inputs!DR107)</f>
        <v>588.89473379646</v>
      </c>
      <c r="DE47" s="0" t="n">
        <f aca="false">IF(DE38="","",Inputs!DS107)</f>
        <v>588.89473379646</v>
      </c>
      <c r="DF47" s="0" t="n">
        <f aca="false">IF(DF38="","",Inputs!DT107)</f>
        <v>588.89473379646</v>
      </c>
      <c r="DG47" s="0" t="n">
        <f aca="false">IF(DG38="","",Inputs!DU107)</f>
        <v>588.89473379646</v>
      </c>
      <c r="DH47" s="0" t="n">
        <f aca="false">IF(DH38="","",Inputs!DV107)</f>
        <v>603.617102141371</v>
      </c>
      <c r="DI47" s="0" t="n">
        <f aca="false">IF(DI38="","",Inputs!DW107)</f>
        <v>603.617102141371</v>
      </c>
      <c r="DJ47" s="0" t="n">
        <f aca="false">IF(DJ38="","",Inputs!DX107)</f>
        <v>603.617102141371</v>
      </c>
      <c r="DK47" s="0" t="n">
        <f aca="false">IF(DK38="","",Inputs!DY107)</f>
        <v>603.617102141371</v>
      </c>
      <c r="DL47" s="0" t="n">
        <f aca="false">IF(DL38="","",Inputs!DZ107)</f>
        <v>603.617102141371</v>
      </c>
      <c r="DM47" s="0" t="n">
        <f aca="false">IF(DM38="","",Inputs!EA107)</f>
        <v>603.617102141371</v>
      </c>
      <c r="DN47" s="0" t="n">
        <f aca="false">IF(DN38="","",Inputs!EB107)</f>
        <v>603.617102141371</v>
      </c>
      <c r="DO47" s="0" t="n">
        <f aca="false">IF(DO38="","",Inputs!EC107)</f>
        <v>603.617102141371</v>
      </c>
      <c r="DP47" s="0" t="n">
        <f aca="false">IF(DP38="","",Inputs!ED107)</f>
        <v>603.617102141371</v>
      </c>
      <c r="DQ47" s="0" t="n">
        <f aca="false">IF(DQ38="","",Inputs!EE107)</f>
        <v>603.617102141371</v>
      </c>
      <c r="DR47" s="0" t="n">
        <f aca="false">IF(DR38="","",Inputs!EF107)</f>
        <v>603.617102141371</v>
      </c>
      <c r="DS47" s="0" t="n">
        <f aca="false">IF(DS38="","",Inputs!EG107)</f>
        <v>603.617102141371</v>
      </c>
      <c r="DT47" s="0" t="n">
        <f aca="false">IF(DT38="","",Inputs!EH107)</f>
        <v>618.707529694906</v>
      </c>
      <c r="DU47" s="0" t="n">
        <f aca="false">IF(DU38="","",Inputs!EI107)</f>
        <v>618.707529694906</v>
      </c>
      <c r="DV47" s="0" t="n">
        <f aca="false">IF(DV38="","",Inputs!EJ107)</f>
        <v>618.707529694906</v>
      </c>
      <c r="DW47" s="0" t="n">
        <f aca="false">IF(DW38="","",Inputs!EK107)</f>
        <v>618.707529694906</v>
      </c>
      <c r="DX47" s="0" t="n">
        <f aca="false">IF(DX38="","",Inputs!EL107)</f>
        <v>618.707529694906</v>
      </c>
      <c r="DY47" s="0" t="n">
        <f aca="false">IF(DY38="","",Inputs!EM107)</f>
        <v>618.707529694906</v>
      </c>
      <c r="DZ47" s="0" t="n">
        <f aca="false">IF(DZ38="","",Inputs!EN107)</f>
        <v>618.707529694906</v>
      </c>
      <c r="EA47" s="0" t="n">
        <f aca="false">IF(EA38="","",Inputs!EO107)</f>
        <v>618.707529694906</v>
      </c>
      <c r="EB47" s="0" t="n">
        <f aca="false">IF(EB38="","",Inputs!EP107)</f>
        <v>618.707529694906</v>
      </c>
      <c r="EC47" s="0" t="n">
        <f aca="false">IF(EC38="","",Inputs!EQ107)</f>
        <v>618.707529694906</v>
      </c>
      <c r="ED47" s="0" t="n">
        <f aca="false">IF(ED38="","",Inputs!ER107)</f>
        <v>618.707529694906</v>
      </c>
      <c r="EE47" s="0" t="n">
        <f aca="false">IF(EE38="","",Inputs!ES107)</f>
        <v>618.707529694906</v>
      </c>
      <c r="EF47" s="0" t="n">
        <f aca="false">IF(EF38="","",Inputs!ET107)</f>
        <v>634.175217937278</v>
      </c>
      <c r="EG47" s="0" t="n">
        <f aca="false">IF(EG38="","",Inputs!EU107)</f>
        <v>634.175217937278</v>
      </c>
      <c r="EH47" s="0" t="n">
        <f aca="false">IF(EH38="","",Inputs!EV107)</f>
        <v>634.175217937278</v>
      </c>
      <c r="EI47" s="0" t="n">
        <f aca="false">IF(EI38="","",Inputs!EW107)</f>
        <v>634.175217937278</v>
      </c>
      <c r="EJ47" s="0" t="n">
        <f aca="false">IF(EJ38="","",Inputs!EX107)</f>
        <v>634.175217937278</v>
      </c>
      <c r="EK47" s="0" t="n">
        <f aca="false">IF(EK38="","",Inputs!EY107)</f>
        <v>634.175217937278</v>
      </c>
      <c r="EL47" s="0" t="n">
        <f aca="false">IF(EL38="","",Inputs!EZ107)</f>
        <v>634.175217937278</v>
      </c>
      <c r="EM47" s="0" t="n">
        <f aca="false">IF(EM38="","",Inputs!FA107)</f>
        <v>634.175217937278</v>
      </c>
      <c r="EN47" s="0" t="n">
        <f aca="false">IF(EN38="","",Inputs!FB107)</f>
        <v>634.175217937278</v>
      </c>
      <c r="EO47" s="0" t="n">
        <f aca="false">IF(EO38="","",Inputs!FC107)</f>
        <v>634.175217937278</v>
      </c>
      <c r="EP47" s="0" t="n">
        <f aca="false">IF(EP38="","",Inputs!FD107)</f>
        <v>634.175217937278</v>
      </c>
      <c r="EQ47" s="0" t="n">
        <f aca="false">IF(EQ38="","",Inputs!FE107)</f>
        <v>634.175217937278</v>
      </c>
      <c r="ER47" s="0" t="n">
        <f aca="false">IF(ER38="","",Inputs!FF107)</f>
        <v>650.02959838571</v>
      </c>
      <c r="ES47" s="0" t="n">
        <f aca="false">IF(ES38="","",Inputs!FG107)</f>
        <v>650.02959838571</v>
      </c>
      <c r="ET47" s="0" t="n">
        <f aca="false">IF(ET38="","",Inputs!FH107)</f>
        <v>650.02959838571</v>
      </c>
      <c r="EU47" s="0" t="n">
        <f aca="false">IF(EU38="","",Inputs!FI107)</f>
        <v>650.02959838571</v>
      </c>
      <c r="EV47" s="0" t="n">
        <f aca="false">IF(EV38="","",Inputs!FJ107)</f>
        <v>650.02959838571</v>
      </c>
      <c r="EW47" s="0" t="n">
        <f aca="false">IF(EW38="","",Inputs!FK107)</f>
        <v>650.02959838571</v>
      </c>
      <c r="EX47" s="0" t="n">
        <f aca="false">IF(EX38="","",Inputs!FL107)</f>
        <v>650.02959838571</v>
      </c>
      <c r="EY47" s="0" t="n">
        <f aca="false">IF(EY38="","",Inputs!FM107)</f>
        <v>650.02959838571</v>
      </c>
      <c r="EZ47" s="0" t="n">
        <f aca="false">IF(EZ38="","",Inputs!FN107)</f>
        <v>650.02959838571</v>
      </c>
      <c r="FA47" s="0" t="n">
        <f aca="false">IF(FA38="","",Inputs!FO107)</f>
        <v>650.02959838571</v>
      </c>
      <c r="FB47" s="0" t="n">
        <f aca="false">IF(FB38="","",Inputs!FP107)</f>
        <v>650.02959838571</v>
      </c>
      <c r="FC47" s="0" t="n">
        <f aca="false">IF(FC38="","",Inputs!FQ107)</f>
        <v>650.02959838571</v>
      </c>
      <c r="FD47" s="0" t="str">
        <f aca="false">IF(FD38="","",Inputs!FR107)</f>
        <v/>
      </c>
      <c r="FE47" s="0" t="e">
        <f aca="false">IF(FE38="","",Inputs!FS107)</f>
        <v>#VALUE!</v>
      </c>
      <c r="FF47" s="0" t="e">
        <f aca="false">IF(FF38="","",Inputs!FT107)</f>
        <v>#VALUE!</v>
      </c>
      <c r="FG47" s="0" t="e">
        <f aca="false">IF(FG38="","",Inputs!FU107)</f>
        <v>#VALUE!</v>
      </c>
      <c r="FH47" s="0" t="e">
        <f aca="false">IF(FH38="","",Inputs!FV107)</f>
        <v>#VALUE!</v>
      </c>
      <c r="FI47" s="0" t="e">
        <f aca="false">IF(FI38="","",Inputs!FW107)</f>
        <v>#VALUE!</v>
      </c>
      <c r="FJ47" s="0" t="e">
        <f aca="false">IF(FJ38="","",Inputs!FX107)</f>
        <v>#VALUE!</v>
      </c>
      <c r="FK47" s="0" t="e">
        <f aca="false">IF(FK38="","",Inputs!FY107)</f>
        <v>#VALUE!</v>
      </c>
      <c r="FL47" s="0" t="e">
        <f aca="false">IF(FL38="","",Inputs!FZ107)</f>
        <v>#VALUE!</v>
      </c>
      <c r="FM47" s="0" t="e">
        <f aca="false">IF(FM38="","",Inputs!GA107)</f>
        <v>#VALUE!</v>
      </c>
      <c r="FN47" s="0" t="e">
        <f aca="false">IF(FN38="","",Inputs!GB107)</f>
        <v>#VALUE!</v>
      </c>
      <c r="FO47" s="0" t="e">
        <f aca="false">IF(FO38="","",Inputs!GC107)</f>
        <v>#VALUE!</v>
      </c>
      <c r="FP47" s="0" t="e">
        <f aca="false">IF(FP38="","",Inputs!GD107)</f>
        <v>#VALUE!</v>
      </c>
      <c r="FQ47" s="0" t="e">
        <f aca="false">IF(FQ38="","",Inputs!GE107)</f>
        <v>#VALUE!</v>
      </c>
      <c r="FR47" s="0" t="e">
        <f aca="false">IF(FR38="","",Inputs!GF107)</f>
        <v>#VALUE!</v>
      </c>
      <c r="FS47" s="0" t="e">
        <f aca="false">IF(FS38="","",Inputs!GG107)</f>
        <v>#VALUE!</v>
      </c>
      <c r="FT47" s="0" t="e">
        <f aca="false">IF(FT38="","",Inputs!GH107)</f>
        <v>#VALUE!</v>
      </c>
      <c r="FU47" s="0" t="e">
        <f aca="false">IF(FU38="","",Inputs!GI107)</f>
        <v>#VALUE!</v>
      </c>
      <c r="FV47" s="0" t="e">
        <f aca="false">IF(FV38="","",Inputs!GJ107)</f>
        <v>#VALUE!</v>
      </c>
      <c r="FW47" s="0" t="e">
        <f aca="false">IF(FW38="","",Inputs!GK107)</f>
        <v>#VALUE!</v>
      </c>
      <c r="FX47" s="0" t="e">
        <f aca="false">IF(FX38="","",Inputs!GL107)</f>
        <v>#VALUE!</v>
      </c>
      <c r="FY47" s="0" t="e">
        <f aca="false">IF(FY38="","",Inputs!GM107)</f>
        <v>#VALUE!</v>
      </c>
      <c r="FZ47" s="0" t="e">
        <f aca="false">IF(FZ38="","",Inputs!GN107)</f>
        <v>#VALUE!</v>
      </c>
      <c r="GA47" s="0" t="e">
        <f aca="false">IF(GA38="","",Inputs!GO107)</f>
        <v>#VALUE!</v>
      </c>
      <c r="GB47" s="0" t="e">
        <f aca="false">IF(GB38="","",Inputs!GP107)</f>
        <v>#VALUE!</v>
      </c>
      <c r="GC47" s="0" t="e">
        <f aca="false">IF(GC38="","",Inputs!GQ107)</f>
        <v>#VALUE!</v>
      </c>
      <c r="GD47" s="0" t="e">
        <f aca="false">IF(GD38="","",Inputs!GR107)</f>
        <v>#VALUE!</v>
      </c>
      <c r="GE47" s="0" t="e">
        <f aca="false">IF(GE38="","",Inputs!GS107)</f>
        <v>#VALUE!</v>
      </c>
      <c r="GF47" s="0" t="e">
        <f aca="false">IF(GF38="","",Inputs!GT107)</f>
        <v>#VALUE!</v>
      </c>
      <c r="GG47" s="0" t="e">
        <f aca="false">IF(GG38="","",Inputs!GU107)</f>
        <v>#VALUE!</v>
      </c>
      <c r="GH47" s="0" t="e">
        <f aca="false">IF(GH38="","",Inputs!GV107)</f>
        <v>#VALUE!</v>
      </c>
      <c r="GI47" s="0" t="e">
        <f aca="false">IF(GI38="","",Inputs!GW107)</f>
        <v>#VALUE!</v>
      </c>
      <c r="GJ47" s="0" t="e">
        <f aca="false">IF(GJ38="","",Inputs!GX107)</f>
        <v>#VALUE!</v>
      </c>
      <c r="GK47" s="0" t="e">
        <f aca="false">IF(GK38="","",Inputs!GY107)</f>
        <v>#VALUE!</v>
      </c>
      <c r="GL47" s="0" t="e">
        <f aca="false">IF(GL38="","",Inputs!GZ107)</f>
        <v>#VALUE!</v>
      </c>
      <c r="GM47" s="0" t="e">
        <f aca="false">IF(GM38="","",Inputs!HA107)</f>
        <v>#VALUE!</v>
      </c>
      <c r="GN47" s="0" t="e">
        <f aca="false">IF(GN38="","",Inputs!HB107)</f>
        <v>#VALUE!</v>
      </c>
      <c r="GO47" s="0" t="e">
        <f aca="false">IF(GO38="","",Inputs!HC107)</f>
        <v>#VALUE!</v>
      </c>
      <c r="GP47" s="0" t="e">
        <f aca="false">IF(GP38="","",Inputs!HD107)</f>
        <v>#VALUE!</v>
      </c>
      <c r="GQ47" s="0" t="e">
        <f aca="false">IF(GQ38="","",Inputs!HE107)</f>
        <v>#VALUE!</v>
      </c>
      <c r="GR47" s="0" t="e">
        <f aca="false">IF(GR38="","",Inputs!HF107)</f>
        <v>#VALUE!</v>
      </c>
      <c r="GS47" s="0" t="e">
        <f aca="false">IF(GS38="","",Inputs!HG107)</f>
        <v>#VALUE!</v>
      </c>
      <c r="GT47" s="0" t="e">
        <f aca="false">IF(GT38="","",Inputs!HH107)</f>
        <v>#VALUE!</v>
      </c>
      <c r="GU47" s="0" t="e">
        <f aca="false">IF(GU38="","",Inputs!HI107)</f>
        <v>#VALUE!</v>
      </c>
      <c r="GV47" s="0" t="e">
        <f aca="false">IF(GV38="","",Inputs!HJ107)</f>
        <v>#VALUE!</v>
      </c>
      <c r="GW47" s="0" t="e">
        <f aca="false">IF(GW38="","",Inputs!HK107)</f>
        <v>#VALUE!</v>
      </c>
      <c r="GX47" s="0" t="e">
        <f aca="false">IF(GX38="","",Inputs!HL107)</f>
        <v>#VALUE!</v>
      </c>
      <c r="GY47" s="0" t="e">
        <f aca="false">IF(GY38="","",Inputs!HM107)</f>
        <v>#VALUE!</v>
      </c>
      <c r="GZ47" s="0" t="e">
        <f aca="false">IF(GZ38="","",Inputs!HN107)</f>
        <v>#VALUE!</v>
      </c>
      <c r="HA47" s="0" t="e">
        <f aca="false">IF(HA38="","",Inputs!HO107)</f>
        <v>#VALUE!</v>
      </c>
      <c r="HB47" s="0" t="e">
        <f aca="false">IF(HB38="","",Inputs!HP107)</f>
        <v>#VALUE!</v>
      </c>
      <c r="HC47" s="0" t="e">
        <f aca="false">IF(HC38="","",Inputs!HQ107)</f>
        <v>#VALUE!</v>
      </c>
      <c r="HD47" s="0" t="e">
        <f aca="false">IF(HD38="","",Inputs!HR107)</f>
        <v>#VALUE!</v>
      </c>
      <c r="HE47" s="0" t="e">
        <f aca="false">IF(HE38="","",Inputs!HS107)</f>
        <v>#VALUE!</v>
      </c>
      <c r="HF47" s="0" t="e">
        <f aca="false">IF(HF38="","",Inputs!HT107)</f>
        <v>#VALUE!</v>
      </c>
      <c r="HG47" s="0" t="e">
        <f aca="false">IF(HG38="","",Inputs!HU107)</f>
        <v>#VALUE!</v>
      </c>
      <c r="HH47" s="0" t="e">
        <f aca="false">IF(HH38="","",Inputs!HV107)</f>
        <v>#VALUE!</v>
      </c>
      <c r="HI47" s="0" t="e">
        <f aca="false">IF(HI38="","",Inputs!HW107)</f>
        <v>#VALUE!</v>
      </c>
      <c r="HJ47" s="0" t="e">
        <f aca="false">IF(HJ38="","",Inputs!HX107)</f>
        <v>#VALUE!</v>
      </c>
      <c r="HK47" s="0" t="e">
        <f aca="false">IF(HK38="","",Inputs!HY107)</f>
        <v>#VALUE!</v>
      </c>
      <c r="HL47" s="0" t="e">
        <f aca="false">IF(HL38="","",Inputs!HZ107)</f>
        <v>#VALUE!</v>
      </c>
      <c r="HM47" s="0" t="e">
        <f aca="false">IF(HM38="","",Inputs!IA107)</f>
        <v>#VALUE!</v>
      </c>
      <c r="HN47" s="0" t="e">
        <f aca="false">IF(HN38="","",Inputs!IB107)</f>
        <v>#VALUE!</v>
      </c>
      <c r="HO47" s="0" t="e">
        <f aca="false">IF(HO38="","",Inputs!IC107)</f>
        <v>#VALUE!</v>
      </c>
      <c r="HP47" s="0" t="e">
        <f aca="false">IF(HP38="","",Inputs!ID107)</f>
        <v>#VALUE!</v>
      </c>
      <c r="HQ47" s="0" t="e">
        <f aca="false">IF(HQ38="","",Inputs!IE107)</f>
        <v>#VALUE!</v>
      </c>
      <c r="HR47" s="0" t="e">
        <f aca="false">IF(HR38="","",Inputs!IF107)</f>
        <v>#VALUE!</v>
      </c>
      <c r="HS47" s="0" t="e">
        <f aca="false">IF(HS38="","",Inputs!IG107)</f>
        <v>#VALUE!</v>
      </c>
      <c r="HT47" s="0" t="e">
        <f aca="false">IF(HT38="","",Inputs!IH107)</f>
        <v>#VALUE!</v>
      </c>
      <c r="HU47" s="0" t="e">
        <f aca="false">IF(HU38="","",Inputs!II107)</f>
        <v>#VALUE!</v>
      </c>
      <c r="HV47" s="0" t="e">
        <f aca="false">IF(HV38="","",Inputs!IJ107)</f>
        <v>#VALUE!</v>
      </c>
      <c r="HW47" s="0" t="e">
        <f aca="false">IF(HW38="","",Inputs!IK107)</f>
        <v>#VALUE!</v>
      </c>
      <c r="HX47" s="0" t="e">
        <f aca="false">IF(HX38="","",Inputs!IL107)</f>
        <v>#VALUE!</v>
      </c>
      <c r="HY47" s="0" t="e">
        <f aca="false">IF(HY38="","",Inputs!IM107)</f>
        <v>#VALUE!</v>
      </c>
      <c r="HZ47" s="0" t="e">
        <f aca="false">IF(HZ38="","",Inputs!IN107)</f>
        <v>#VALUE!</v>
      </c>
      <c r="IA47" s="0" t="e">
        <f aca="false">IF(IA38="","",Inputs!IO107)</f>
        <v>#VALUE!</v>
      </c>
      <c r="IB47" s="0" t="e">
        <f aca="false">IF(IB38="","",Inputs!IP107)</f>
        <v>#VALUE!</v>
      </c>
      <c r="IC47" s="0" t="e">
        <f aca="false">IF(IC38="","",Inputs!IQ107)</f>
        <v>#VALUE!</v>
      </c>
      <c r="ID47" s="0" t="e">
        <f aca="false">IF(ID38="","",Inputs!IR107)</f>
        <v>#VALUE!</v>
      </c>
      <c r="IE47" s="0" t="e">
        <f aca="false">IF(IE38="","",Inputs!IS107)</f>
        <v>#VALUE!</v>
      </c>
      <c r="IF47" s="0" t="e">
        <f aca="false">IF(IF38="","",Inputs!IT107)</f>
        <v>#VALUE!</v>
      </c>
      <c r="IG47" s="0" t="e">
        <f aca="false">IF(IG38="","",Inputs!IU107)</f>
        <v>#VALUE!</v>
      </c>
      <c r="IH47" s="0" t="e">
        <f aca="false">IF(IH38="","",Inputs!IV107)</f>
        <v>#VALUE!</v>
      </c>
      <c r="II47" s="0" t="e">
        <f aca="false">IF(II38="","",Inputs!IW107)</f>
        <v>#VALUE!</v>
      </c>
    </row>
    <row r="48" customFormat="false" ht="15" hidden="false" customHeight="false" outlineLevel="0" collapsed="false">
      <c r="B48" s="0" t="s">
        <v>105</v>
      </c>
      <c r="C48" s="0" t="n">
        <f aca="false">IF(C38="","",C46-C47)</f>
        <v>0</v>
      </c>
      <c r="D48" s="0" t="n">
        <f aca="false">IF(D38="","",D46-D47)</f>
        <v>46162.5</v>
      </c>
      <c r="E48" s="0" t="n">
        <f aca="false">IF(E38="","",E46-E47)</f>
        <v>46162.5</v>
      </c>
      <c r="F48" s="0" t="n">
        <f aca="false">IF(F38="","",F46-F47)</f>
        <v>46162.5</v>
      </c>
      <c r="G48" s="0" t="n">
        <f aca="false">IF(G38="","",G46-G47)</f>
        <v>46162.5</v>
      </c>
      <c r="H48" s="0" t="n">
        <f aca="false">IF(H38="","",H46-H47)</f>
        <v>46162.5</v>
      </c>
      <c r="I48" s="0" t="n">
        <f aca="false">IF(I38="","",I46-I47)</f>
        <v>46162.5</v>
      </c>
      <c r="J48" s="0" t="n">
        <f aca="false">IF(J38="","",J46-J47)</f>
        <v>46162.5</v>
      </c>
      <c r="K48" s="0" t="n">
        <f aca="false">IF(K38="","",K46-K47)</f>
        <v>46162.5</v>
      </c>
      <c r="L48" s="0" t="n">
        <f aca="false">IF(L38="","",L46-L47)</f>
        <v>46162.5</v>
      </c>
      <c r="M48" s="0" t="n">
        <f aca="false">IF(M38="","",M46-M47)</f>
        <v>46162.5</v>
      </c>
      <c r="N48" s="0" t="n">
        <f aca="false">IF(N38="","",N46-N47)</f>
        <v>46162.5</v>
      </c>
      <c r="O48" s="0" t="n">
        <f aca="false">IF(O38="","",O46-O47)</f>
        <v>46162.5</v>
      </c>
      <c r="P48" s="0" t="n">
        <f aca="false">IF(P38="","",P46-P47)</f>
        <v>47083.3333333333</v>
      </c>
      <c r="Q48" s="0" t="n">
        <f aca="false">IF(Q38="","",Q46-Q47)</f>
        <v>47083.3333333333</v>
      </c>
      <c r="R48" s="0" t="n">
        <f aca="false">IF(R38="","",R46-R47)</f>
        <v>47083.3333333333</v>
      </c>
      <c r="S48" s="0" t="n">
        <f aca="false">IF(S38="","",S46-S47)</f>
        <v>47083.3333333333</v>
      </c>
      <c r="T48" s="0" t="n">
        <f aca="false">IF(T38="","",T46-T47)</f>
        <v>47083.3333333333</v>
      </c>
      <c r="U48" s="0" t="n">
        <f aca="false">IF(U38="","",U46-U47)</f>
        <v>47083.3333333333</v>
      </c>
      <c r="V48" s="0" t="n">
        <f aca="false">IF(V38="","",V46-V47)</f>
        <v>47083.3333333333</v>
      </c>
      <c r="W48" s="0" t="n">
        <f aca="false">IF(W38="","",W46-W47)</f>
        <v>47083.3333333333</v>
      </c>
      <c r="X48" s="0" t="n">
        <f aca="false">IF(X38="","",X46-X47)</f>
        <v>47083.3333333333</v>
      </c>
      <c r="Y48" s="0" t="n">
        <f aca="false">IF(Y38="","",Y46-Y47)</f>
        <v>47083.3333333333</v>
      </c>
      <c r="Z48" s="0" t="n">
        <f aca="false">IF(Z38="","",Z46-Z47)</f>
        <v>47083.3333333333</v>
      </c>
      <c r="AA48" s="0" t="n">
        <f aca="false">IF(AA38="","",AA46-AA47)</f>
        <v>47083.3333333333</v>
      </c>
      <c r="AB48" s="0" t="n">
        <f aca="false">IF(AB38="","",AB46-AB47)</f>
        <v>48022.5229166667</v>
      </c>
      <c r="AC48" s="0" t="n">
        <f aca="false">IF(AC38="","",AC46-AC47)</f>
        <v>48022.5229166667</v>
      </c>
      <c r="AD48" s="0" t="n">
        <f aca="false">IF(AD38="","",AD46-AD47)</f>
        <v>48022.5229166667</v>
      </c>
      <c r="AE48" s="0" t="n">
        <f aca="false">IF(AE38="","",AE46-AE47)</f>
        <v>48022.5229166667</v>
      </c>
      <c r="AF48" s="0" t="n">
        <f aca="false">IF(AF38="","",AF46-AF47)</f>
        <v>48022.5229166667</v>
      </c>
      <c r="AG48" s="0" t="n">
        <f aca="false">IF(AG38="","",AG46-AG47)</f>
        <v>48022.5229166667</v>
      </c>
      <c r="AH48" s="0" t="n">
        <f aca="false">IF(AH38="","",AH46-AH47)</f>
        <v>48022.5229166667</v>
      </c>
      <c r="AI48" s="0" t="n">
        <f aca="false">IF(AI38="","",AI46-AI47)</f>
        <v>48022.5229166667</v>
      </c>
      <c r="AJ48" s="0" t="n">
        <f aca="false">IF(AJ38="","",AJ46-AJ47)</f>
        <v>48022.5229166667</v>
      </c>
      <c r="AK48" s="0" t="n">
        <f aca="false">IF(AK38="","",AK46-AK47)</f>
        <v>48022.5229166667</v>
      </c>
      <c r="AL48" s="0" t="n">
        <f aca="false">IF(AL38="","",AL46-AL47)</f>
        <v>48022.5229166667</v>
      </c>
      <c r="AM48" s="0" t="n">
        <f aca="false">IF(AM38="","",AM46-AM47)</f>
        <v>48022.5229166667</v>
      </c>
      <c r="AN48" s="0" t="n">
        <f aca="false">IF(AN38="","",AN46-AN47)</f>
        <v>48980.4343645833</v>
      </c>
      <c r="AO48" s="0" t="n">
        <f aca="false">IF(AO38="","",AO46-AO47)</f>
        <v>48980.4343645833</v>
      </c>
      <c r="AP48" s="0" t="n">
        <f aca="false">IF(AP38="","",AP46-AP47)</f>
        <v>48980.4343645833</v>
      </c>
      <c r="AQ48" s="0" t="n">
        <f aca="false">IF(AQ38="","",AQ46-AQ47)</f>
        <v>48980.4343645833</v>
      </c>
      <c r="AR48" s="0" t="n">
        <f aca="false">IF(AR38="","",AR46-AR47)</f>
        <v>48980.4343645833</v>
      </c>
      <c r="AS48" s="0" t="n">
        <f aca="false">IF(AS38="","",AS46-AS47)</f>
        <v>48980.4343645833</v>
      </c>
      <c r="AT48" s="0" t="n">
        <f aca="false">IF(AT38="","",AT46-AT47)</f>
        <v>48980.4343645833</v>
      </c>
      <c r="AU48" s="0" t="n">
        <f aca="false">IF(AU38="","",AU46-AU47)</f>
        <v>48980.4343645833</v>
      </c>
      <c r="AV48" s="0" t="n">
        <f aca="false">IF(AV38="","",AV46-AV47)</f>
        <v>48980.4343645833</v>
      </c>
      <c r="AW48" s="0" t="n">
        <f aca="false">IF(AW38="","",AW46-AW47)</f>
        <v>48980.4343645833</v>
      </c>
      <c r="AX48" s="0" t="n">
        <f aca="false">IF(AX38="","",AX46-AX47)</f>
        <v>48980.4343645833</v>
      </c>
      <c r="AY48" s="0" t="n">
        <f aca="false">IF(AY38="","",AY46-AY47)</f>
        <v>48980.4343645833</v>
      </c>
      <c r="AZ48" s="0" t="n">
        <f aca="false">IF(AZ38="","",AZ46-AZ47)</f>
        <v>49957.4405661979</v>
      </c>
      <c r="BA48" s="0" t="n">
        <f aca="false">IF(BA38="","",BA46-BA47)</f>
        <v>49957.4405661979</v>
      </c>
      <c r="BB48" s="0" t="n">
        <f aca="false">IF(BB38="","",BB46-BB47)</f>
        <v>49957.4405661979</v>
      </c>
      <c r="BC48" s="0" t="n">
        <f aca="false">IF(BC38="","",BC46-BC47)</f>
        <v>49957.4405661979</v>
      </c>
      <c r="BD48" s="0" t="n">
        <f aca="false">IF(BD38="","",BD46-BD47)</f>
        <v>49957.4405661979</v>
      </c>
      <c r="BE48" s="0" t="n">
        <f aca="false">IF(BE38="","",BE46-BE47)</f>
        <v>49957.4405661979</v>
      </c>
      <c r="BF48" s="0" t="n">
        <f aca="false">IF(BF38="","",BF46-BF47)</f>
        <v>49957.4405661979</v>
      </c>
      <c r="BG48" s="0" t="n">
        <f aca="false">IF(BG38="","",BG46-BG47)</f>
        <v>49957.4405661979</v>
      </c>
      <c r="BH48" s="0" t="n">
        <f aca="false">IF(BH38="","",BH46-BH47)</f>
        <v>49957.4405661979</v>
      </c>
      <c r="BI48" s="0" t="n">
        <f aca="false">IF(BI38="","",BI46-BI47)</f>
        <v>49957.4405661979</v>
      </c>
      <c r="BJ48" s="0" t="n">
        <f aca="false">IF(BJ38="","",BJ46-BJ47)</f>
        <v>49957.4405661979</v>
      </c>
      <c r="BK48" s="0" t="n">
        <f aca="false">IF(BK38="","",BK46-BK47)</f>
        <v>49957.4405661979</v>
      </c>
      <c r="BL48" s="0" t="n">
        <f aca="false">IF(BL38="","",BL46-BL47)</f>
        <v>50953.9218297029</v>
      </c>
      <c r="BM48" s="0" t="n">
        <f aca="false">IF(BM38="","",BM46-BM47)</f>
        <v>50953.9218297029</v>
      </c>
      <c r="BN48" s="0" t="n">
        <f aca="false">IF(BN38="","",BN46-BN47)</f>
        <v>50953.9218297029</v>
      </c>
      <c r="BO48" s="0" t="n">
        <f aca="false">IF(BO38="","",BO46-BO47)</f>
        <v>50953.9218297029</v>
      </c>
      <c r="BP48" s="0" t="n">
        <f aca="false">IF(BP38="","",BP46-BP47)</f>
        <v>50953.9218297029</v>
      </c>
      <c r="BQ48" s="0" t="n">
        <f aca="false">IF(BQ38="","",BQ46-BQ47)</f>
        <v>50953.9218297029</v>
      </c>
      <c r="BR48" s="0" t="n">
        <f aca="false">IF(BR38="","",BR46-BR47)</f>
        <v>50953.9218297029</v>
      </c>
      <c r="BS48" s="0" t="n">
        <f aca="false">IF(BS38="","",BS46-BS47)</f>
        <v>50953.9218297029</v>
      </c>
      <c r="BT48" s="0" t="n">
        <f aca="false">IF(BT38="","",BT46-BT47)</f>
        <v>50953.9218297029</v>
      </c>
      <c r="BU48" s="0" t="n">
        <f aca="false">IF(BU38="","",BU46-BU47)</f>
        <v>50953.9218297029</v>
      </c>
      <c r="BV48" s="0" t="n">
        <f aca="false">IF(BV38="","",BV46-BV47)</f>
        <v>50953.9218297029</v>
      </c>
      <c r="BW48" s="0" t="n">
        <f aca="false">IF(BW38="","",BW46-BW47)</f>
        <v>50953.9218297029</v>
      </c>
      <c r="BX48" s="0" t="n">
        <f aca="false">IF(BX38="","",BX46-BX47)</f>
        <v>51970.2660297824</v>
      </c>
      <c r="BY48" s="0" t="n">
        <f aca="false">IF(BY38="","",BY46-BY47)</f>
        <v>51970.2660297824</v>
      </c>
      <c r="BZ48" s="0" t="n">
        <f aca="false">IF(BZ38="","",BZ46-BZ47)</f>
        <v>51970.2660297824</v>
      </c>
      <c r="CA48" s="0" t="n">
        <f aca="false">IF(CA38="","",CA46-CA47)</f>
        <v>51970.2660297824</v>
      </c>
      <c r="CB48" s="0" t="n">
        <f aca="false">IF(CB38="","",CB46-CB47)</f>
        <v>51970.2660297824</v>
      </c>
      <c r="CC48" s="0" t="n">
        <f aca="false">IF(CC38="","",CC46-CC47)</f>
        <v>51970.2660297824</v>
      </c>
      <c r="CD48" s="0" t="n">
        <f aca="false">IF(CD38="","",CD46-CD47)</f>
        <v>51970.2660297824</v>
      </c>
      <c r="CE48" s="0" t="n">
        <f aca="false">IF(CE38="","",CE46-CE47)</f>
        <v>51970.2660297824</v>
      </c>
      <c r="CF48" s="0" t="n">
        <f aca="false">IF(CF38="","",CF46-CF47)</f>
        <v>51970.2660297824</v>
      </c>
      <c r="CG48" s="0" t="n">
        <f aca="false">IF(CG38="","",CG46-CG47)</f>
        <v>51970.2660297824</v>
      </c>
      <c r="CH48" s="0" t="n">
        <f aca="false">IF(CH38="","",CH46-CH47)</f>
        <v>51970.2660297824</v>
      </c>
      <c r="CI48" s="0" t="n">
        <f aca="false">IF(CI38="","",CI46-CI47)</f>
        <v>51970.2660297824</v>
      </c>
      <c r="CJ48" s="0" t="n">
        <f aca="false">IF(CJ38="","",CJ46-CJ47)</f>
        <v>53006.8687579507</v>
      </c>
      <c r="CK48" s="0" t="n">
        <f aca="false">IF(CK38="","",CK46-CK47)</f>
        <v>53006.8687579507</v>
      </c>
      <c r="CL48" s="0" t="n">
        <f aca="false">IF(CL38="","",CL46-CL47)</f>
        <v>53006.8687579507</v>
      </c>
      <c r="CM48" s="0" t="n">
        <f aca="false">IF(CM38="","",CM46-CM47)</f>
        <v>53006.8687579507</v>
      </c>
      <c r="CN48" s="0" t="n">
        <f aca="false">IF(CN38="","",CN46-CN47)</f>
        <v>53006.8687579507</v>
      </c>
      <c r="CO48" s="0" t="n">
        <f aca="false">IF(CO38="","",CO46-CO47)</f>
        <v>53006.8687579507</v>
      </c>
      <c r="CP48" s="0" t="n">
        <f aca="false">IF(CP38="","",CP46-CP47)</f>
        <v>53006.8687579507</v>
      </c>
      <c r="CQ48" s="0" t="n">
        <f aca="false">IF(CQ38="","",CQ46-CQ47)</f>
        <v>53006.8687579507</v>
      </c>
      <c r="CR48" s="0" t="n">
        <f aca="false">IF(CR38="","",CR46-CR47)</f>
        <v>53006.8687579507</v>
      </c>
      <c r="CS48" s="0" t="n">
        <f aca="false">IF(CS38="","",CS46-CS47)</f>
        <v>53006.8687579507</v>
      </c>
      <c r="CT48" s="0" t="n">
        <f aca="false">IF(CT38="","",CT46-CT47)</f>
        <v>53006.8687579507</v>
      </c>
      <c r="CU48" s="0" t="n">
        <f aca="false">IF(CU38="","",CU46-CU47)</f>
        <v>53006.8687579507</v>
      </c>
      <c r="CV48" s="0" t="n">
        <f aca="false">IF(CV38="","",CV46-CV47)</f>
        <v>37712.1622397589</v>
      </c>
      <c r="CW48" s="0" t="n">
        <f aca="false">IF(CW38="","",CW46-CW47)</f>
        <v>37712.1622397589</v>
      </c>
      <c r="CX48" s="0" t="n">
        <f aca="false">IF(CX38="","",CX46-CX47)</f>
        <v>37712.1622397589</v>
      </c>
      <c r="CY48" s="0" t="n">
        <f aca="false">IF(CY38="","",CY46-CY47)</f>
        <v>37712.1622397589</v>
      </c>
      <c r="CZ48" s="0" t="n">
        <f aca="false">IF(CZ38="","",CZ46-CZ47)</f>
        <v>37712.1622397589</v>
      </c>
      <c r="DA48" s="0" t="n">
        <f aca="false">IF(DA38="","",DA46-DA47)</f>
        <v>37712.1622397589</v>
      </c>
      <c r="DB48" s="0" t="n">
        <f aca="false">IF(DB38="","",DB46-DB47)</f>
        <v>37712.1622397589</v>
      </c>
      <c r="DC48" s="0" t="n">
        <f aca="false">IF(DC38="","",DC46-DC47)</f>
        <v>37712.1622397589</v>
      </c>
      <c r="DD48" s="0" t="n">
        <f aca="false">IF(DD38="","",DD46-DD47)</f>
        <v>37712.1622397589</v>
      </c>
      <c r="DE48" s="0" t="n">
        <f aca="false">IF(DE38="","",DE46-DE47)</f>
        <v>50762.1622397589</v>
      </c>
      <c r="DF48" s="0" t="n">
        <f aca="false">IF(DF38="","",DF46-DF47)</f>
        <v>50762.1622397589</v>
      </c>
      <c r="DG48" s="0" t="n">
        <f aca="false">IF(DG38="","",DG46-DG47)</f>
        <v>50762.1622397589</v>
      </c>
      <c r="DH48" s="0" t="n">
        <f aca="false">IF(DH38="","",DH46-DH47)</f>
        <v>50750.3690198665</v>
      </c>
      <c r="DI48" s="0" t="n">
        <f aca="false">IF(DI38="","",DI46-DI47)</f>
        <v>50750.3690198665</v>
      </c>
      <c r="DJ48" s="0" t="n">
        <f aca="false">IF(DJ38="","",DJ46-DJ47)</f>
        <v>50750.3690198665</v>
      </c>
      <c r="DK48" s="0" t="n">
        <f aca="false">IF(DK38="","",DK46-DK47)</f>
        <v>50750.3690198665</v>
      </c>
      <c r="DL48" s="0" t="n">
        <f aca="false">IF(DL38="","",DL46-DL47)</f>
        <v>50750.3690198665</v>
      </c>
      <c r="DM48" s="0" t="n">
        <f aca="false">IF(DM38="","",DM46-DM47)</f>
        <v>50750.3690198665</v>
      </c>
      <c r="DN48" s="0" t="n">
        <f aca="false">IF(DN38="","",DN46-DN47)</f>
        <v>50750.3690198665</v>
      </c>
      <c r="DO48" s="0" t="n">
        <f aca="false">IF(DO38="","",DO46-DO47)</f>
        <v>50750.3690198665</v>
      </c>
      <c r="DP48" s="0" t="n">
        <f aca="false">IF(DP38="","",DP46-DP47)</f>
        <v>50750.3690198665</v>
      </c>
      <c r="DQ48" s="0" t="n">
        <f aca="false">IF(DQ38="","",DQ46-DQ47)</f>
        <v>50750.3690198665</v>
      </c>
      <c r="DR48" s="0" t="n">
        <f aca="false">IF(DR38="","",DR46-DR47)</f>
        <v>50750.3690198665</v>
      </c>
      <c r="DS48" s="0" t="n">
        <f aca="false">IF(DS38="","",DS46-DS47)</f>
        <v>50750.3690198665</v>
      </c>
      <c r="DT48" s="0" t="n">
        <f aca="false">IF(DT38="","",DT46-DT47)</f>
        <v>50738.2663237345</v>
      </c>
      <c r="DU48" s="0" t="n">
        <f aca="false">IF(DU38="","",DU46-DU47)</f>
        <v>50738.2663237345</v>
      </c>
      <c r="DV48" s="0" t="n">
        <f aca="false">IF(DV38="","",DV46-DV47)</f>
        <v>50738.2663237345</v>
      </c>
      <c r="DW48" s="0" t="n">
        <f aca="false">IF(DW38="","",DW46-DW47)</f>
        <v>50738.2663237345</v>
      </c>
      <c r="DX48" s="0" t="n">
        <f aca="false">IF(DX38="","",DX46-DX47)</f>
        <v>50738.2663237345</v>
      </c>
      <c r="DY48" s="0" t="n">
        <f aca="false">IF(DY38="","",DY46-DY47)</f>
        <v>50738.2663237345</v>
      </c>
      <c r="DZ48" s="0" t="n">
        <f aca="false">IF(DZ38="","",DZ46-DZ47)</f>
        <v>50738.2663237345</v>
      </c>
      <c r="EA48" s="0" t="n">
        <f aca="false">IF(EA38="","",EA46-EA47)</f>
        <v>50738.2663237345</v>
      </c>
      <c r="EB48" s="0" t="n">
        <f aca="false">IF(EB38="","",EB46-EB47)</f>
        <v>50738.2663237345</v>
      </c>
      <c r="EC48" s="0" t="n">
        <f aca="false">IF(EC38="","",EC46-EC47)</f>
        <v>50738.2663237345</v>
      </c>
      <c r="ED48" s="0" t="n">
        <f aca="false">IF(ED38="","",ED46-ED47)</f>
        <v>50738.2663237345</v>
      </c>
      <c r="EE48" s="0" t="n">
        <f aca="false">IF(EE38="","",EE46-EE47)</f>
        <v>50738.2663237345</v>
      </c>
      <c r="EF48" s="0" t="n">
        <f aca="false">IF(EF38="","",EF46-EF47)</f>
        <v>50725.8461215421</v>
      </c>
      <c r="EG48" s="0" t="n">
        <f aca="false">IF(EG38="","",EG46-EG47)</f>
        <v>50725.8461215421</v>
      </c>
      <c r="EH48" s="0" t="n">
        <f aca="false">IF(EH38="","",EH46-EH47)</f>
        <v>50725.8461215421</v>
      </c>
      <c r="EI48" s="0" t="n">
        <f aca="false">IF(EI38="","",EI46-EI47)</f>
        <v>50725.8461215421</v>
      </c>
      <c r="EJ48" s="0" t="n">
        <f aca="false">IF(EJ38="","",EJ46-EJ47)</f>
        <v>50725.8461215421</v>
      </c>
      <c r="EK48" s="0" t="n">
        <f aca="false">IF(EK38="","",EK46-EK47)</f>
        <v>50725.8461215421</v>
      </c>
      <c r="EL48" s="0" t="n">
        <f aca="false">IF(EL38="","",EL46-EL47)</f>
        <v>50725.8461215421</v>
      </c>
      <c r="EM48" s="0" t="n">
        <f aca="false">IF(EM38="","",EM46-EM47)</f>
        <v>50725.8461215421</v>
      </c>
      <c r="EN48" s="0" t="n">
        <f aca="false">IF(EN38="","",EN46-EN47)</f>
        <v>50725.8461215421</v>
      </c>
      <c r="EO48" s="0" t="n">
        <f aca="false">IF(EO38="","",EO46-EO47)</f>
        <v>50725.8461215421</v>
      </c>
      <c r="EP48" s="0" t="n">
        <f aca="false">IF(EP38="","",EP46-EP47)</f>
        <v>50725.8461215421</v>
      </c>
      <c r="EQ48" s="0" t="n">
        <f aca="false">IF(EQ38="","",EQ46-EQ47)</f>
        <v>50725.8461215421</v>
      </c>
      <c r="ER48" s="0" t="n">
        <f aca="false">IF(ER38="","",ER46-ER47)</f>
        <v>50713.1001768646</v>
      </c>
      <c r="ES48" s="0" t="n">
        <f aca="false">IF(ES38="","",ES46-ES47)</f>
        <v>50713.1001768646</v>
      </c>
      <c r="ET48" s="0" t="n">
        <f aca="false">IF(ET38="","",ET46-ET47)</f>
        <v>50713.1001768646</v>
      </c>
      <c r="EU48" s="0" t="n">
        <f aca="false">IF(EU38="","",EU46-EU47)</f>
        <v>50713.1001768646</v>
      </c>
      <c r="EV48" s="0" t="n">
        <f aca="false">IF(EV38="","",EV46-EV47)</f>
        <v>50713.1001768646</v>
      </c>
      <c r="EW48" s="0" t="n">
        <f aca="false">IF(EW38="","",EW46-EW47)</f>
        <v>50713.1001768646</v>
      </c>
      <c r="EX48" s="0" t="n">
        <f aca="false">IF(EX38="","",EX46-EX47)</f>
        <v>50713.1001768646</v>
      </c>
      <c r="EY48" s="0" t="n">
        <f aca="false">IF(EY38="","",EY46-EY47)</f>
        <v>50713.1001768646</v>
      </c>
      <c r="EZ48" s="0" t="n">
        <f aca="false">IF(EZ38="","",EZ46-EZ47)</f>
        <v>50713.1001768646</v>
      </c>
      <c r="FA48" s="0" t="n">
        <f aca="false">IF(FA38="","",FA46-FA47)</f>
        <v>50713.1001768646</v>
      </c>
      <c r="FB48" s="0" t="n">
        <f aca="false">IF(FB38="","",FB46-FB47)</f>
        <v>50713.1001768646</v>
      </c>
      <c r="FC48" s="0" t="n">
        <f aca="false">IF(FC38="","",FC46-FC47)</f>
        <v>50713.1001768646</v>
      </c>
      <c r="FD48" s="0" t="str">
        <f aca="false">IF(FD38="","",FD46-FD47)</f>
        <v/>
      </c>
      <c r="FE48" s="0" t="e">
        <f aca="false">IF(FE38="","",FE46-FE47)</f>
        <v>#VALUE!</v>
      </c>
      <c r="FF48" s="0" t="e">
        <f aca="false">IF(FF38="","",FF46-FF47)</f>
        <v>#VALUE!</v>
      </c>
      <c r="FG48" s="0" t="e">
        <f aca="false">IF(FG38="","",FG46-FG47)</f>
        <v>#VALUE!</v>
      </c>
      <c r="FH48" s="0" t="e">
        <f aca="false">IF(FH38="","",FH46-FH47)</f>
        <v>#VALUE!</v>
      </c>
      <c r="FI48" s="0" t="e">
        <f aca="false">IF(FI38="","",FI46-FI47)</f>
        <v>#VALUE!</v>
      </c>
      <c r="FJ48" s="0" t="e">
        <f aca="false">IF(FJ38="","",FJ46-FJ47)</f>
        <v>#VALUE!</v>
      </c>
      <c r="FK48" s="0" t="e">
        <f aca="false">IF(FK38="","",FK46-FK47)</f>
        <v>#VALUE!</v>
      </c>
      <c r="FL48" s="0" t="e">
        <f aca="false">IF(FL38="","",FL46-FL47)</f>
        <v>#VALUE!</v>
      </c>
      <c r="FM48" s="0" t="e">
        <f aca="false">IF(FM38="","",FM46-FM47)</f>
        <v>#VALUE!</v>
      </c>
      <c r="FN48" s="0" t="e">
        <f aca="false">IF(FN38="","",FN46-FN47)</f>
        <v>#VALUE!</v>
      </c>
      <c r="FO48" s="0" t="e">
        <f aca="false">IF(FO38="","",FO46-FO47)</f>
        <v>#VALUE!</v>
      </c>
      <c r="FP48" s="0" t="e">
        <f aca="false">IF(FP38="","",FP46-FP47)</f>
        <v>#VALUE!</v>
      </c>
      <c r="FQ48" s="0" t="e">
        <f aca="false">IF(FQ38="","",FQ46-FQ47)</f>
        <v>#VALUE!</v>
      </c>
      <c r="FR48" s="0" t="e">
        <f aca="false">IF(FR38="","",FR46-FR47)</f>
        <v>#VALUE!</v>
      </c>
      <c r="FS48" s="0" t="e">
        <f aca="false">IF(FS38="","",FS46-FS47)</f>
        <v>#VALUE!</v>
      </c>
      <c r="FT48" s="0" t="e">
        <f aca="false">IF(FT38="","",FT46-FT47)</f>
        <v>#VALUE!</v>
      </c>
      <c r="FU48" s="0" t="e">
        <f aca="false">IF(FU38="","",FU46-FU47)</f>
        <v>#VALUE!</v>
      </c>
      <c r="FV48" s="0" t="e">
        <f aca="false">IF(FV38="","",FV46-FV47)</f>
        <v>#VALUE!</v>
      </c>
      <c r="FW48" s="0" t="e">
        <f aca="false">IF(FW38="","",FW46-FW47)</f>
        <v>#VALUE!</v>
      </c>
      <c r="FX48" s="0" t="e">
        <f aca="false">IF(FX38="","",FX46-FX47)</f>
        <v>#VALUE!</v>
      </c>
      <c r="FY48" s="0" t="e">
        <f aca="false">IF(FY38="","",FY46-FY47)</f>
        <v>#VALUE!</v>
      </c>
      <c r="FZ48" s="0" t="e">
        <f aca="false">IF(FZ38="","",FZ46-FZ47)</f>
        <v>#VALUE!</v>
      </c>
      <c r="GA48" s="0" t="e">
        <f aca="false">IF(GA38="","",GA46-GA47)</f>
        <v>#VALUE!</v>
      </c>
      <c r="GB48" s="0" t="e">
        <f aca="false">IF(GB38="","",GB46-GB47)</f>
        <v>#VALUE!</v>
      </c>
      <c r="GC48" s="0" t="e">
        <f aca="false">IF(GC38="","",GC46-GC47)</f>
        <v>#VALUE!</v>
      </c>
      <c r="GD48" s="0" t="e">
        <f aca="false">IF(GD38="","",GD46-GD47)</f>
        <v>#VALUE!</v>
      </c>
      <c r="GE48" s="0" t="e">
        <f aca="false">IF(GE38="","",GE46-GE47)</f>
        <v>#VALUE!</v>
      </c>
      <c r="GF48" s="0" t="e">
        <f aca="false">IF(GF38="","",GF46-GF47)</f>
        <v>#VALUE!</v>
      </c>
      <c r="GG48" s="0" t="e">
        <f aca="false">IF(GG38="","",GG46-GG47)</f>
        <v>#VALUE!</v>
      </c>
      <c r="GH48" s="0" t="e">
        <f aca="false">IF(GH38="","",GH46-GH47)</f>
        <v>#VALUE!</v>
      </c>
      <c r="GI48" s="0" t="e">
        <f aca="false">IF(GI38="","",GI46-GI47)</f>
        <v>#VALUE!</v>
      </c>
      <c r="GJ48" s="0" t="e">
        <f aca="false">IF(GJ38="","",GJ46-GJ47)</f>
        <v>#VALUE!</v>
      </c>
      <c r="GK48" s="0" t="e">
        <f aca="false">IF(GK38="","",GK46-GK47)</f>
        <v>#VALUE!</v>
      </c>
      <c r="GL48" s="0" t="e">
        <f aca="false">IF(GL38="","",GL46-GL47)</f>
        <v>#VALUE!</v>
      </c>
      <c r="GM48" s="0" t="e">
        <f aca="false">IF(GM38="","",GM46-GM47)</f>
        <v>#VALUE!</v>
      </c>
      <c r="GN48" s="0" t="e">
        <f aca="false">IF(GN38="","",GN46-GN47)</f>
        <v>#VALUE!</v>
      </c>
      <c r="GO48" s="0" t="e">
        <f aca="false">IF(GO38="","",GO46-GO47)</f>
        <v>#VALUE!</v>
      </c>
      <c r="GP48" s="0" t="e">
        <f aca="false">IF(GP38="","",GP46-GP47)</f>
        <v>#VALUE!</v>
      </c>
      <c r="GQ48" s="0" t="e">
        <f aca="false">IF(GQ38="","",GQ46-GQ47)</f>
        <v>#VALUE!</v>
      </c>
      <c r="GR48" s="0" t="e">
        <f aca="false">IF(GR38="","",GR46-GR47)</f>
        <v>#VALUE!</v>
      </c>
      <c r="GS48" s="0" t="e">
        <f aca="false">IF(GS38="","",GS46-GS47)</f>
        <v>#VALUE!</v>
      </c>
      <c r="GT48" s="0" t="e">
        <f aca="false">IF(GT38="","",GT46-GT47)</f>
        <v>#VALUE!</v>
      </c>
      <c r="GU48" s="0" t="e">
        <f aca="false">IF(GU38="","",GU46-GU47)</f>
        <v>#VALUE!</v>
      </c>
      <c r="GV48" s="0" t="e">
        <f aca="false">IF(GV38="","",GV46-GV47)</f>
        <v>#VALUE!</v>
      </c>
      <c r="GW48" s="0" t="e">
        <f aca="false">IF(GW38="","",GW46-GW47)</f>
        <v>#VALUE!</v>
      </c>
      <c r="GX48" s="0" t="e">
        <f aca="false">IF(GX38="","",GX46-GX47)</f>
        <v>#VALUE!</v>
      </c>
      <c r="GY48" s="0" t="e">
        <f aca="false">IF(GY38="","",GY46-GY47)</f>
        <v>#VALUE!</v>
      </c>
      <c r="GZ48" s="0" t="e">
        <f aca="false">IF(GZ38="","",GZ46-GZ47)</f>
        <v>#VALUE!</v>
      </c>
      <c r="HA48" s="0" t="e">
        <f aca="false">IF(HA38="","",HA46-HA47)</f>
        <v>#VALUE!</v>
      </c>
      <c r="HB48" s="0" t="e">
        <f aca="false">IF(HB38="","",HB46-HB47)</f>
        <v>#VALUE!</v>
      </c>
      <c r="HC48" s="0" t="e">
        <f aca="false">IF(HC38="","",HC46-HC47)</f>
        <v>#VALUE!</v>
      </c>
      <c r="HD48" s="0" t="e">
        <f aca="false">IF(HD38="","",HD46-HD47)</f>
        <v>#VALUE!</v>
      </c>
      <c r="HE48" s="0" t="e">
        <f aca="false">IF(HE38="","",HE46-HE47)</f>
        <v>#VALUE!</v>
      </c>
      <c r="HF48" s="0" t="e">
        <f aca="false">IF(HF38="","",HF46-HF47)</f>
        <v>#VALUE!</v>
      </c>
      <c r="HG48" s="0" t="e">
        <f aca="false">IF(HG38="","",HG46-HG47)</f>
        <v>#VALUE!</v>
      </c>
      <c r="HH48" s="0" t="e">
        <f aca="false">IF(HH38="","",HH46-HH47)</f>
        <v>#VALUE!</v>
      </c>
      <c r="HI48" s="0" t="e">
        <f aca="false">IF(HI38="","",HI46-HI47)</f>
        <v>#VALUE!</v>
      </c>
      <c r="HJ48" s="0" t="e">
        <f aca="false">IF(HJ38="","",HJ46-HJ47)</f>
        <v>#VALUE!</v>
      </c>
      <c r="HK48" s="0" t="e">
        <f aca="false">IF(HK38="","",HK46-HK47)</f>
        <v>#VALUE!</v>
      </c>
      <c r="HL48" s="0" t="e">
        <f aca="false">IF(HL38="","",HL46-HL47)</f>
        <v>#VALUE!</v>
      </c>
      <c r="HM48" s="0" t="e">
        <f aca="false">IF(HM38="","",HM46-HM47)</f>
        <v>#VALUE!</v>
      </c>
      <c r="HN48" s="0" t="e">
        <f aca="false">IF(HN38="","",HN46-HN47)</f>
        <v>#VALUE!</v>
      </c>
      <c r="HO48" s="0" t="e">
        <f aca="false">IF(HO38="","",HO46-HO47)</f>
        <v>#VALUE!</v>
      </c>
      <c r="HP48" s="0" t="e">
        <f aca="false">IF(HP38="","",HP46-HP47)</f>
        <v>#VALUE!</v>
      </c>
      <c r="HQ48" s="0" t="e">
        <f aca="false">IF(HQ38="","",HQ46-HQ47)</f>
        <v>#VALUE!</v>
      </c>
      <c r="HR48" s="0" t="e">
        <f aca="false">IF(HR38="","",HR46-HR47)</f>
        <v>#VALUE!</v>
      </c>
      <c r="HS48" s="0" t="e">
        <f aca="false">IF(HS38="","",HS46-HS47)</f>
        <v>#VALUE!</v>
      </c>
      <c r="HT48" s="0" t="e">
        <f aca="false">IF(HT38="","",HT46-HT47)</f>
        <v>#VALUE!</v>
      </c>
      <c r="HU48" s="0" t="e">
        <f aca="false">IF(HU38="","",HU46-HU47)</f>
        <v>#VALUE!</v>
      </c>
      <c r="HV48" s="0" t="e">
        <f aca="false">IF(HV38="","",HV46-HV47)</f>
        <v>#VALUE!</v>
      </c>
      <c r="HW48" s="0" t="e">
        <f aca="false">IF(HW38="","",HW46-HW47)</f>
        <v>#VALUE!</v>
      </c>
      <c r="HX48" s="0" t="e">
        <f aca="false">IF(HX38="","",HX46-HX47)</f>
        <v>#VALUE!</v>
      </c>
      <c r="HY48" s="0" t="e">
        <f aca="false">IF(HY38="","",HY46-HY47)</f>
        <v>#VALUE!</v>
      </c>
      <c r="HZ48" s="0" t="e">
        <f aca="false">IF(HZ38="","",HZ46-HZ47)</f>
        <v>#VALUE!</v>
      </c>
      <c r="IA48" s="0" t="e">
        <f aca="false">IF(IA38="","",IA46-IA47)</f>
        <v>#VALUE!</v>
      </c>
      <c r="IB48" s="0" t="e">
        <f aca="false">IF(IB38="","",IB46-IB47)</f>
        <v>#VALUE!</v>
      </c>
      <c r="IC48" s="0" t="e">
        <f aca="false">IF(IC38="","",IC46-IC47)</f>
        <v>#VALUE!</v>
      </c>
      <c r="ID48" s="0" t="e">
        <f aca="false">IF(ID38="","",ID46-ID47)</f>
        <v>#VALUE!</v>
      </c>
      <c r="IE48" s="0" t="e">
        <f aca="false">IF(IE38="","",IE46-IE47)</f>
        <v>#VALUE!</v>
      </c>
      <c r="IF48" s="0" t="e">
        <f aca="false">IF(IF38="","",IF46-IF47)</f>
        <v>#VALUE!</v>
      </c>
      <c r="IG48" s="0" t="e">
        <f aca="false">IF(IG38="","",IG46-IG47)</f>
        <v>#VALUE!</v>
      </c>
      <c r="IH48" s="0" t="e">
        <f aca="false">IF(IH38="","",IH46-IH47)</f>
        <v>#VALUE!</v>
      </c>
      <c r="II48" s="0" t="e">
        <f aca="false">IF(II38="","",II46-II47)</f>
        <v>#VALUE!</v>
      </c>
    </row>
    <row r="49" customFormat="false" ht="15" hidden="false" customHeight="false" outlineLevel="0" collapsed="false">
      <c r="B49" s="0" t="s">
        <v>106</v>
      </c>
      <c r="C49" s="0" t="n">
        <v>0</v>
      </c>
      <c r="D49" s="7" t="n">
        <f aca="false">IF(D38="","",Debt_Payment)</f>
        <v>29554.6733967241</v>
      </c>
      <c r="E49" s="7" t="n">
        <f aca="false">IF(E38="","",Debt_Payment)</f>
        <v>29554.6733967241</v>
      </c>
      <c r="F49" s="7" t="n">
        <f aca="false">IF(F38="","",Debt_Payment)</f>
        <v>29554.6733967241</v>
      </c>
      <c r="G49" s="7" t="n">
        <f aca="false">IF(G38="","",Debt_Payment)</f>
        <v>29554.6733967241</v>
      </c>
      <c r="H49" s="7" t="n">
        <f aca="false">IF(H38="","",Debt_Payment)</f>
        <v>29554.6733967241</v>
      </c>
      <c r="I49" s="7" t="n">
        <f aca="false">IF(I38="","",Debt_Payment)</f>
        <v>29554.6733967241</v>
      </c>
      <c r="J49" s="7" t="n">
        <f aca="false">IF(J38="","",Debt_Payment)</f>
        <v>29554.6733967241</v>
      </c>
      <c r="K49" s="7" t="n">
        <f aca="false">IF(K38="","",Debt_Payment)</f>
        <v>29554.6733967241</v>
      </c>
      <c r="L49" s="7" t="n">
        <f aca="false">IF(L38="","",Debt_Payment)</f>
        <v>29554.6733967241</v>
      </c>
      <c r="M49" s="7" t="n">
        <f aca="false">IF(M38="","",Debt_Payment)</f>
        <v>29554.6733967241</v>
      </c>
      <c r="N49" s="7" t="n">
        <f aca="false">IF(N38="","",Debt_Payment)</f>
        <v>29554.6733967241</v>
      </c>
      <c r="O49" s="7" t="n">
        <f aca="false">IF(O38="","",Debt_Payment)</f>
        <v>29554.6733967241</v>
      </c>
      <c r="P49" s="7" t="n">
        <f aca="false">IF(P38="","",Debt_Payment)</f>
        <v>29554.6733967241</v>
      </c>
      <c r="Q49" s="7" t="n">
        <f aca="false">IF(Q38="","",Debt_Payment)</f>
        <v>29554.6733967241</v>
      </c>
      <c r="R49" s="7" t="n">
        <f aca="false">IF(R38="","",Debt_Payment)</f>
        <v>29554.6733967241</v>
      </c>
      <c r="S49" s="7" t="n">
        <f aca="false">IF(S38="","",Debt_Payment)</f>
        <v>29554.6733967241</v>
      </c>
      <c r="T49" s="7" t="n">
        <f aca="false">IF(T38="","",Debt_Payment)</f>
        <v>29554.6733967241</v>
      </c>
      <c r="U49" s="7" t="n">
        <f aca="false">IF(U38="","",Debt_Payment)</f>
        <v>29554.6733967241</v>
      </c>
      <c r="V49" s="7" t="n">
        <f aca="false">IF(V38="","",Debt_Payment)</f>
        <v>29554.6733967241</v>
      </c>
      <c r="W49" s="7" t="n">
        <f aca="false">IF(W38="","",Debt_Payment)</f>
        <v>29554.6733967241</v>
      </c>
      <c r="X49" s="7" t="n">
        <f aca="false">IF(X38="","",Debt_Payment)</f>
        <v>29554.6733967241</v>
      </c>
      <c r="Y49" s="7" t="n">
        <f aca="false">IF(Y38="","",Debt_Payment)</f>
        <v>29554.6733967241</v>
      </c>
      <c r="Z49" s="7" t="n">
        <f aca="false">IF(Z38="","",Debt_Payment)</f>
        <v>29554.6733967241</v>
      </c>
      <c r="AA49" s="7" t="n">
        <f aca="false">IF(AA38="","",Debt_Payment)</f>
        <v>29554.6733967241</v>
      </c>
      <c r="AB49" s="7" t="n">
        <f aca="false">IF(AB38="","",Debt_Payment)</f>
        <v>29554.6733967241</v>
      </c>
      <c r="AC49" s="7" t="n">
        <f aca="false">IF(AC38="","",Debt_Payment)</f>
        <v>29554.6733967241</v>
      </c>
      <c r="AD49" s="7" t="n">
        <f aca="false">IF(AD38="","",Debt_Payment)</f>
        <v>29554.6733967241</v>
      </c>
      <c r="AE49" s="7" t="n">
        <f aca="false">IF(AE38="","",Debt_Payment)</f>
        <v>29554.6733967241</v>
      </c>
      <c r="AF49" s="7" t="n">
        <f aca="false">IF(AF38="","",Debt_Payment)</f>
        <v>29554.6733967241</v>
      </c>
      <c r="AG49" s="7" t="n">
        <f aca="false">IF(AG38="","",Debt_Payment)</f>
        <v>29554.6733967241</v>
      </c>
      <c r="AH49" s="7" t="n">
        <f aca="false">IF(AH38="","",Debt_Payment)</f>
        <v>29554.6733967241</v>
      </c>
      <c r="AI49" s="7" t="n">
        <f aca="false">IF(AI38="","",Debt_Payment)</f>
        <v>29554.6733967241</v>
      </c>
      <c r="AJ49" s="7" t="n">
        <f aca="false">IF(AJ38="","",Debt_Payment)</f>
        <v>29554.6733967241</v>
      </c>
      <c r="AK49" s="7" t="n">
        <f aca="false">IF(AK38="","",Debt_Payment)</f>
        <v>29554.6733967241</v>
      </c>
      <c r="AL49" s="7" t="n">
        <f aca="false">IF(AL38="","",Debt_Payment)</f>
        <v>29554.6733967241</v>
      </c>
      <c r="AM49" s="7" t="n">
        <f aca="false">IF(AM38="","",Debt_Payment)</f>
        <v>29554.6733967241</v>
      </c>
      <c r="AN49" s="7" t="n">
        <f aca="false">IF(AN38="","",Debt_Payment)</f>
        <v>29554.6733967241</v>
      </c>
      <c r="AO49" s="7" t="n">
        <f aca="false">IF(AO38="","",Debt_Payment)</f>
        <v>29554.6733967241</v>
      </c>
      <c r="AP49" s="7" t="n">
        <f aca="false">IF(AP38="","",Debt_Payment)</f>
        <v>29554.6733967241</v>
      </c>
      <c r="AQ49" s="7" t="n">
        <f aca="false">IF(AQ38="","",Debt_Payment)</f>
        <v>29554.6733967241</v>
      </c>
      <c r="AR49" s="7" t="n">
        <f aca="false">IF(AR38="","",Debt_Payment)</f>
        <v>29554.6733967241</v>
      </c>
      <c r="AS49" s="7" t="n">
        <f aca="false">IF(AS38="","",Debt_Payment)</f>
        <v>29554.6733967241</v>
      </c>
      <c r="AT49" s="7" t="n">
        <f aca="false">IF(AT38="","",Debt_Payment)</f>
        <v>29554.6733967241</v>
      </c>
      <c r="AU49" s="7" t="n">
        <f aca="false">IF(AU38="","",Debt_Payment)</f>
        <v>29554.6733967241</v>
      </c>
      <c r="AV49" s="7" t="n">
        <f aca="false">IF(AV38="","",Debt_Payment)</f>
        <v>29554.6733967241</v>
      </c>
      <c r="AW49" s="7" t="n">
        <f aca="false">IF(AW38="","",Debt_Payment)</f>
        <v>29554.6733967241</v>
      </c>
      <c r="AX49" s="7" t="n">
        <f aca="false">IF(AX38="","",Debt_Payment)</f>
        <v>29554.6733967241</v>
      </c>
      <c r="AY49" s="7" t="n">
        <f aca="false">IF(AY38="","",Debt_Payment)</f>
        <v>29554.6733967241</v>
      </c>
      <c r="AZ49" s="7" t="n">
        <f aca="false">IF(AZ38="","",Debt_Payment)</f>
        <v>29554.6733967241</v>
      </c>
      <c r="BA49" s="7" t="n">
        <f aca="false">IF(BA38="","",Debt_Payment)</f>
        <v>29554.6733967241</v>
      </c>
      <c r="BB49" s="7" t="n">
        <f aca="false">IF(BB38="","",Debt_Payment)</f>
        <v>29554.6733967241</v>
      </c>
      <c r="BC49" s="7" t="n">
        <f aca="false">IF(BC38="","",Debt_Payment)</f>
        <v>29554.6733967241</v>
      </c>
      <c r="BD49" s="7" t="n">
        <f aca="false">IF(BD38="","",Debt_Payment)</f>
        <v>29554.6733967241</v>
      </c>
      <c r="BE49" s="7" t="n">
        <f aca="false">IF(BE38="","",Debt_Payment)</f>
        <v>29554.6733967241</v>
      </c>
      <c r="BF49" s="7" t="n">
        <f aca="false">IF(BF38="","",Debt_Payment)</f>
        <v>29554.6733967241</v>
      </c>
      <c r="BG49" s="7" t="n">
        <f aca="false">IF(BG38="","",Debt_Payment)</f>
        <v>29554.6733967241</v>
      </c>
      <c r="BH49" s="7" t="n">
        <f aca="false">IF(BH38="","",Debt_Payment)</f>
        <v>29554.6733967241</v>
      </c>
      <c r="BI49" s="7" t="n">
        <f aca="false">IF(BI38="","",Debt_Payment)</f>
        <v>29554.6733967241</v>
      </c>
      <c r="BJ49" s="7" t="n">
        <f aca="false">IF(BJ38="","",Debt_Payment)</f>
        <v>29554.6733967241</v>
      </c>
      <c r="BK49" s="7" t="n">
        <f aca="false">IF(BK38="","",Debt_Payment)</f>
        <v>29554.6733967241</v>
      </c>
      <c r="BL49" s="7" t="n">
        <f aca="false">IF(BL38="","",Debt_Payment)</f>
        <v>29554.6733967241</v>
      </c>
      <c r="BM49" s="7" t="n">
        <f aca="false">IF(BM38="","",Debt_Payment)</f>
        <v>29554.6733967241</v>
      </c>
      <c r="BN49" s="7" t="n">
        <f aca="false">IF(BN38="","",Debt_Payment)</f>
        <v>29554.6733967241</v>
      </c>
      <c r="BO49" s="7" t="n">
        <f aca="false">IF(BO38="","",Debt_Payment)</f>
        <v>29554.6733967241</v>
      </c>
      <c r="BP49" s="7" t="n">
        <f aca="false">IF(BP38="","",Debt_Payment)</f>
        <v>29554.6733967241</v>
      </c>
      <c r="BQ49" s="7" t="n">
        <f aca="false">IF(BQ38="","",Debt_Payment)</f>
        <v>29554.6733967241</v>
      </c>
      <c r="BR49" s="7" t="n">
        <f aca="false">IF(BR38="","",Debt_Payment)</f>
        <v>29554.6733967241</v>
      </c>
      <c r="BS49" s="7" t="n">
        <f aca="false">IF(BS38="","",Debt_Payment)</f>
        <v>29554.6733967241</v>
      </c>
      <c r="BT49" s="7" t="n">
        <f aca="false">IF(BT38="","",Debt_Payment)</f>
        <v>29554.6733967241</v>
      </c>
      <c r="BU49" s="7" t="n">
        <f aca="false">IF(BU38="","",Debt_Payment)</f>
        <v>29554.6733967241</v>
      </c>
      <c r="BV49" s="7" t="n">
        <f aca="false">IF(BV38="","",Debt_Payment)</f>
        <v>29554.6733967241</v>
      </c>
      <c r="BW49" s="7" t="n">
        <f aca="false">IF(BW38="","",Debt_Payment)</f>
        <v>29554.6733967241</v>
      </c>
      <c r="BX49" s="7" t="n">
        <f aca="false">IF(BX38="","",Debt_Payment)</f>
        <v>29554.6733967241</v>
      </c>
      <c r="BY49" s="7" t="n">
        <f aca="false">IF(BY38="","",Debt_Payment)</f>
        <v>29554.6733967241</v>
      </c>
      <c r="BZ49" s="7" t="n">
        <f aca="false">IF(BZ38="","",Debt_Payment)</f>
        <v>29554.6733967241</v>
      </c>
      <c r="CA49" s="7" t="n">
        <f aca="false">IF(CA38="","",Debt_Payment)</f>
        <v>29554.6733967241</v>
      </c>
      <c r="CB49" s="7" t="n">
        <f aca="false">IF(CB38="","",Debt_Payment)</f>
        <v>29554.6733967241</v>
      </c>
      <c r="CC49" s="7" t="n">
        <f aca="false">IF(CC38="","",Debt_Payment)</f>
        <v>29554.6733967241</v>
      </c>
      <c r="CD49" s="7" t="n">
        <f aca="false">IF(CD38="","",Debt_Payment)</f>
        <v>29554.6733967241</v>
      </c>
      <c r="CE49" s="7" t="n">
        <f aca="false">IF(CE38="","",Debt_Payment)</f>
        <v>29554.6733967241</v>
      </c>
      <c r="CF49" s="7" t="n">
        <f aca="false">IF(CF38="","",Debt_Payment)</f>
        <v>29554.6733967241</v>
      </c>
      <c r="CG49" s="7" t="n">
        <f aca="false">IF(CG38="","",Debt_Payment)</f>
        <v>29554.6733967241</v>
      </c>
      <c r="CH49" s="7" t="n">
        <f aca="false">IF(CH38="","",Debt_Payment)</f>
        <v>29554.6733967241</v>
      </c>
      <c r="CI49" s="7" t="n">
        <f aca="false">IF(CI38="","",Debt_Payment)</f>
        <v>29554.6733967241</v>
      </c>
      <c r="CJ49" s="7" t="n">
        <f aca="false">IF(CJ38="","",Debt_Payment)</f>
        <v>29554.6733967241</v>
      </c>
      <c r="CK49" s="7" t="n">
        <f aca="false">IF(CK38="","",Debt_Payment)</f>
        <v>29554.6733967241</v>
      </c>
      <c r="CL49" s="7" t="n">
        <f aca="false">IF(CL38="","",Debt_Payment)</f>
        <v>29554.6733967241</v>
      </c>
      <c r="CM49" s="7" t="n">
        <f aca="false">IF(CM38="","",Debt_Payment)</f>
        <v>29554.6733967241</v>
      </c>
      <c r="CN49" s="7" t="n">
        <f aca="false">IF(CN38="","",Debt_Payment)</f>
        <v>29554.6733967241</v>
      </c>
      <c r="CO49" s="7" t="n">
        <f aca="false">IF(CO38="","",Debt_Payment)</f>
        <v>29554.6733967241</v>
      </c>
      <c r="CP49" s="7" t="n">
        <f aca="false">IF(CP38="","",Debt_Payment)</f>
        <v>29554.6733967241</v>
      </c>
      <c r="CQ49" s="7" t="n">
        <f aca="false">IF(CQ38="","",Debt_Payment)</f>
        <v>29554.6733967241</v>
      </c>
      <c r="CR49" s="7" t="n">
        <f aca="false">IF(CR38="","",Debt_Payment)</f>
        <v>29554.6733967241</v>
      </c>
      <c r="CS49" s="7" t="n">
        <f aca="false">IF(CS38="","",Debt_Payment)</f>
        <v>29554.6733967241</v>
      </c>
      <c r="CT49" s="7" t="n">
        <f aca="false">IF(CT38="","",Debt_Payment)</f>
        <v>29554.6733967241</v>
      </c>
      <c r="CU49" s="7" t="n">
        <f aca="false">IF(CU38="","",Debt_Payment)</f>
        <v>29554.6733967241</v>
      </c>
      <c r="CV49" s="7" t="n">
        <f aca="false">IF(CV38="","",Debt_Payment)</f>
        <v>29554.6733967241</v>
      </c>
      <c r="CW49" s="7" t="n">
        <f aca="false">IF(CW38="","",Debt_Payment)</f>
        <v>29554.6733967241</v>
      </c>
      <c r="CX49" s="7" t="n">
        <f aca="false">IF(CX38="","",Debt_Payment)</f>
        <v>29554.6733967241</v>
      </c>
      <c r="CY49" s="7" t="n">
        <f aca="false">IF(CY38="","",Debt_Payment)</f>
        <v>29554.6733967241</v>
      </c>
      <c r="CZ49" s="7" t="n">
        <f aca="false">IF(CZ38="","",Debt_Payment)</f>
        <v>29554.6733967241</v>
      </c>
      <c r="DA49" s="7" t="n">
        <f aca="false">IF(DA38="","",Debt_Payment)</f>
        <v>29554.6733967241</v>
      </c>
      <c r="DB49" s="7" t="n">
        <f aca="false">IF(DB38="","",Debt_Payment)</f>
        <v>29554.6733967241</v>
      </c>
      <c r="DC49" s="7" t="n">
        <f aca="false">IF(DC38="","",Debt_Payment)</f>
        <v>29554.6733967241</v>
      </c>
      <c r="DD49" s="7" t="n">
        <f aca="false">IF(DD38="","",Debt_Payment)</f>
        <v>29554.6733967241</v>
      </c>
      <c r="DE49" s="7" t="n">
        <f aca="false">IF(DE38="","",Debt_Payment)</f>
        <v>29554.6733967241</v>
      </c>
      <c r="DF49" s="7" t="n">
        <f aca="false">IF(DF38="","",Debt_Payment)</f>
        <v>29554.6733967241</v>
      </c>
      <c r="DG49" s="7" t="n">
        <f aca="false">IF(DG38="","",Debt_Payment)</f>
        <v>29554.6733967241</v>
      </c>
      <c r="DH49" s="7" t="n">
        <f aca="false">IF(DH38="","",Debt_Payment)</f>
        <v>29554.6733967241</v>
      </c>
      <c r="DI49" s="7" t="n">
        <f aca="false">IF(DI38="","",Debt_Payment)</f>
        <v>29554.6733967241</v>
      </c>
      <c r="DJ49" s="7" t="n">
        <f aca="false">IF(DJ38="","",Debt_Payment)</f>
        <v>29554.6733967241</v>
      </c>
      <c r="DK49" s="7" t="n">
        <f aca="false">IF(DK38="","",Debt_Payment)</f>
        <v>29554.6733967241</v>
      </c>
      <c r="DL49" s="7" t="n">
        <f aca="false">IF(DL38="","",Debt_Payment)</f>
        <v>29554.6733967241</v>
      </c>
      <c r="DM49" s="7" t="n">
        <f aca="false">IF(DM38="","",Debt_Payment)</f>
        <v>29554.6733967241</v>
      </c>
      <c r="DN49" s="7" t="n">
        <f aca="false">IF(DN38="","",Debt_Payment)</f>
        <v>29554.6733967241</v>
      </c>
      <c r="DO49" s="7" t="n">
        <f aca="false">IF(DO38="","",Debt_Payment)</f>
        <v>29554.6733967241</v>
      </c>
      <c r="DP49" s="7" t="n">
        <f aca="false">IF(DP38="","",Debt_Payment)</f>
        <v>29554.6733967241</v>
      </c>
      <c r="DQ49" s="7" t="n">
        <f aca="false">IF(DQ38="","",Debt_Payment)</f>
        <v>29554.6733967241</v>
      </c>
      <c r="DR49" s="7" t="n">
        <f aca="false">IF(DR38="","",Debt_Payment)</f>
        <v>29554.6733967241</v>
      </c>
      <c r="DS49" s="7" t="n">
        <f aca="false">IF(DS38="","",Debt_Payment)</f>
        <v>29554.6733967241</v>
      </c>
      <c r="DT49" s="7" t="n">
        <f aca="false">IF(DT38="","",Debt_Payment)</f>
        <v>29554.6733967241</v>
      </c>
      <c r="DU49" s="7" t="n">
        <f aca="false">IF(DU38="","",Debt_Payment)</f>
        <v>29554.6733967241</v>
      </c>
      <c r="DV49" s="7" t="n">
        <f aca="false">IF(DV38="","",Debt_Payment)</f>
        <v>29554.6733967241</v>
      </c>
      <c r="DW49" s="7" t="n">
        <f aca="false">IF(DW38="","",Debt_Payment)</f>
        <v>29554.6733967241</v>
      </c>
      <c r="DX49" s="7" t="n">
        <f aca="false">IF(DX38="","",Debt_Payment)</f>
        <v>29554.6733967241</v>
      </c>
      <c r="DY49" s="7" t="n">
        <f aca="false">IF(DY38="","",Debt_Payment)</f>
        <v>29554.6733967241</v>
      </c>
      <c r="DZ49" s="7" t="n">
        <f aca="false">IF(DZ38="","",Debt_Payment)</f>
        <v>29554.6733967241</v>
      </c>
      <c r="EA49" s="7" t="n">
        <f aca="false">IF(EA38="","",Debt_Payment)</f>
        <v>29554.6733967241</v>
      </c>
      <c r="EB49" s="7" t="n">
        <f aca="false">IF(EB38="","",Debt_Payment)</f>
        <v>29554.6733967241</v>
      </c>
      <c r="EC49" s="7" t="n">
        <f aca="false">IF(EC38="","",Debt_Payment)</f>
        <v>29554.6733967241</v>
      </c>
      <c r="ED49" s="7" t="n">
        <f aca="false">IF(ED38="","",Debt_Payment)</f>
        <v>29554.6733967241</v>
      </c>
      <c r="EE49" s="7" t="n">
        <f aca="false">IF(EE38="","",Debt_Payment)</f>
        <v>29554.6733967241</v>
      </c>
      <c r="EF49" s="7" t="n">
        <f aca="false">IF(EF38="","",Debt_Payment)</f>
        <v>29554.6733967241</v>
      </c>
      <c r="EG49" s="7" t="n">
        <f aca="false">IF(EG38="","",Debt_Payment)</f>
        <v>29554.6733967241</v>
      </c>
      <c r="EH49" s="7" t="n">
        <f aca="false">IF(EH38="","",Debt_Payment)</f>
        <v>29554.6733967241</v>
      </c>
      <c r="EI49" s="7" t="n">
        <f aca="false">IF(EI38="","",Debt_Payment)</f>
        <v>29554.6733967241</v>
      </c>
      <c r="EJ49" s="7" t="n">
        <f aca="false">IF(EJ38="","",Debt_Payment)</f>
        <v>29554.6733967241</v>
      </c>
      <c r="EK49" s="7" t="n">
        <f aca="false">IF(EK38="","",Debt_Payment)</f>
        <v>29554.6733967241</v>
      </c>
      <c r="EL49" s="7" t="n">
        <f aca="false">IF(EL38="","",Debt_Payment)</f>
        <v>29554.6733967241</v>
      </c>
      <c r="EM49" s="7" t="n">
        <f aca="false">IF(EM38="","",Debt_Payment)</f>
        <v>29554.6733967241</v>
      </c>
      <c r="EN49" s="7" t="n">
        <f aca="false">IF(EN38="","",Debt_Payment)</f>
        <v>29554.6733967241</v>
      </c>
      <c r="EO49" s="7" t="n">
        <f aca="false">IF(EO38="","",Debt_Payment)</f>
        <v>29554.6733967241</v>
      </c>
      <c r="EP49" s="7" t="n">
        <f aca="false">IF(EP38="","",Debt_Payment)</f>
        <v>29554.6733967241</v>
      </c>
      <c r="EQ49" s="7" t="n">
        <f aca="false">IF(EQ38="","",Debt_Payment)</f>
        <v>29554.6733967241</v>
      </c>
      <c r="ER49" s="7" t="n">
        <f aca="false">IF(ER38="","",Debt_Payment)</f>
        <v>29554.6733967241</v>
      </c>
      <c r="ES49" s="7" t="n">
        <f aca="false">IF(ES38="","",Debt_Payment)</f>
        <v>29554.6733967241</v>
      </c>
      <c r="ET49" s="7" t="n">
        <f aca="false">IF(ET38="","",Debt_Payment)</f>
        <v>29554.6733967241</v>
      </c>
      <c r="EU49" s="7" t="n">
        <f aca="false">IF(EU38="","",Debt_Payment)</f>
        <v>29554.6733967241</v>
      </c>
      <c r="EV49" s="7" t="n">
        <f aca="false">IF(EV38="","",Debt_Payment)</f>
        <v>29554.6733967241</v>
      </c>
      <c r="EW49" s="7" t="n">
        <f aca="false">IF(EW38="","",Debt_Payment)</f>
        <v>29554.6733967241</v>
      </c>
      <c r="EX49" s="7" t="n">
        <f aca="false">IF(EX38="","",Debt_Payment)</f>
        <v>29554.6733967241</v>
      </c>
      <c r="EY49" s="7" t="n">
        <f aca="false">IF(EY38="","",Debt_Payment)</f>
        <v>29554.6733967241</v>
      </c>
      <c r="EZ49" s="7" t="n">
        <f aca="false">IF(EZ38="","",Debt_Payment)</f>
        <v>29554.6733967241</v>
      </c>
      <c r="FA49" s="7" t="n">
        <f aca="false">IF(FA38="","",Debt_Payment)</f>
        <v>29554.6733967241</v>
      </c>
      <c r="FB49" s="7" t="n">
        <f aca="false">IF(FB38="","",Debt_Payment)</f>
        <v>29554.6733967241</v>
      </c>
      <c r="FC49" s="7" t="n">
        <f aca="false">IF(FC38="","",Debt_Payment)</f>
        <v>29554.6733967241</v>
      </c>
      <c r="FD49" s="0" t="str">
        <f aca="false">IF(FD38="","",Debt_Payment)</f>
        <v/>
      </c>
      <c r="FE49" s="4" t="e">
        <f aca="false">IF(FE38="","",Debt_Payment)</f>
        <v>#VALUE!</v>
      </c>
      <c r="FF49" s="4" t="e">
        <f aca="false">IF(FF38="","",Debt_Payment)</f>
        <v>#VALUE!</v>
      </c>
      <c r="FG49" s="4" t="e">
        <f aca="false">IF(FG38="","",Debt_Payment)</f>
        <v>#VALUE!</v>
      </c>
      <c r="FH49" s="4" t="e">
        <f aca="false">IF(FH38="","",Debt_Payment)</f>
        <v>#VALUE!</v>
      </c>
      <c r="FI49" s="4" t="e">
        <f aca="false">IF(FI38="","",Debt_Payment)</f>
        <v>#VALUE!</v>
      </c>
      <c r="FJ49" s="4" t="e">
        <f aca="false">IF(FJ38="","",Debt_Payment)</f>
        <v>#VALUE!</v>
      </c>
      <c r="FK49" s="4" t="e">
        <f aca="false">IF(FK38="","",Debt_Payment)</f>
        <v>#VALUE!</v>
      </c>
      <c r="FL49" s="4" t="e">
        <f aca="false">IF(FL38="","",Debt_Payment)</f>
        <v>#VALUE!</v>
      </c>
      <c r="FM49" s="4" t="e">
        <f aca="false">IF(FM38="","",Debt_Payment)</f>
        <v>#VALUE!</v>
      </c>
      <c r="FN49" s="4" t="e">
        <f aca="false">IF(FN38="","",Debt_Payment)</f>
        <v>#VALUE!</v>
      </c>
      <c r="FO49" s="4" t="e">
        <f aca="false">IF(FO38="","",Debt_Payment)</f>
        <v>#VALUE!</v>
      </c>
      <c r="FP49" s="4" t="e">
        <f aca="false">IF(FP38="","",Debt_Payment)</f>
        <v>#VALUE!</v>
      </c>
      <c r="FQ49" s="4" t="e">
        <f aca="false">IF(FQ38="","",Debt_Payment)</f>
        <v>#VALUE!</v>
      </c>
      <c r="FR49" s="4" t="e">
        <f aca="false">IF(FR38="","",Debt_Payment)</f>
        <v>#VALUE!</v>
      </c>
      <c r="FS49" s="4" t="e">
        <f aca="false">IF(FS38="","",Debt_Payment)</f>
        <v>#VALUE!</v>
      </c>
      <c r="FT49" s="4" t="e">
        <f aca="false">IF(FT38="","",Debt_Payment)</f>
        <v>#VALUE!</v>
      </c>
      <c r="FU49" s="4" t="e">
        <f aca="false">IF(FU38="","",Debt_Payment)</f>
        <v>#VALUE!</v>
      </c>
      <c r="FV49" s="4" t="e">
        <f aca="false">IF(FV38="","",Debt_Payment)</f>
        <v>#VALUE!</v>
      </c>
      <c r="FW49" s="4" t="e">
        <f aca="false">IF(FW38="","",Debt_Payment)</f>
        <v>#VALUE!</v>
      </c>
      <c r="FX49" s="4" t="e">
        <f aca="false">IF(FX38="","",Debt_Payment)</f>
        <v>#VALUE!</v>
      </c>
      <c r="FY49" s="4" t="e">
        <f aca="false">IF(FY38="","",Debt_Payment)</f>
        <v>#VALUE!</v>
      </c>
      <c r="FZ49" s="4" t="e">
        <f aca="false">IF(FZ38="","",Debt_Payment)</f>
        <v>#VALUE!</v>
      </c>
      <c r="GA49" s="4" t="e">
        <f aca="false">IF(GA38="","",Debt_Payment)</f>
        <v>#VALUE!</v>
      </c>
      <c r="GB49" s="4" t="e">
        <f aca="false">IF(GB38="","",Debt_Payment)</f>
        <v>#VALUE!</v>
      </c>
      <c r="GC49" s="4" t="e">
        <f aca="false">IF(GC38="","",Debt_Payment)</f>
        <v>#VALUE!</v>
      </c>
      <c r="GD49" s="4" t="e">
        <f aca="false">IF(GD38="","",Debt_Payment)</f>
        <v>#VALUE!</v>
      </c>
      <c r="GE49" s="4" t="e">
        <f aca="false">IF(GE38="","",Debt_Payment)</f>
        <v>#VALUE!</v>
      </c>
      <c r="GF49" s="4" t="e">
        <f aca="false">IF(GF38="","",Debt_Payment)</f>
        <v>#VALUE!</v>
      </c>
      <c r="GG49" s="4" t="e">
        <f aca="false">IF(GG38="","",Debt_Payment)</f>
        <v>#VALUE!</v>
      </c>
      <c r="GH49" s="4" t="e">
        <f aca="false">IF(GH38="","",Debt_Payment)</f>
        <v>#VALUE!</v>
      </c>
      <c r="GI49" s="4" t="e">
        <f aca="false">IF(GI38="","",Debt_Payment)</f>
        <v>#VALUE!</v>
      </c>
      <c r="GJ49" s="4" t="e">
        <f aca="false">IF(GJ38="","",Debt_Payment)</f>
        <v>#VALUE!</v>
      </c>
      <c r="GK49" s="4" t="e">
        <f aca="false">IF(GK38="","",Debt_Payment)</f>
        <v>#VALUE!</v>
      </c>
      <c r="GL49" s="4" t="e">
        <f aca="false">IF(GL38="","",Debt_Payment)</f>
        <v>#VALUE!</v>
      </c>
      <c r="GM49" s="4" t="e">
        <f aca="false">IF(GM38="","",Debt_Payment)</f>
        <v>#VALUE!</v>
      </c>
      <c r="GN49" s="4" t="e">
        <f aca="false">IF(GN38="","",Debt_Payment)</f>
        <v>#VALUE!</v>
      </c>
      <c r="GO49" s="4" t="e">
        <f aca="false">IF(GO38="","",Debt_Payment)</f>
        <v>#VALUE!</v>
      </c>
      <c r="GP49" s="4" t="e">
        <f aca="false">IF(GP38="","",Debt_Payment)</f>
        <v>#VALUE!</v>
      </c>
      <c r="GQ49" s="4" t="e">
        <f aca="false">IF(GQ38="","",Debt_Payment)</f>
        <v>#VALUE!</v>
      </c>
      <c r="GR49" s="4" t="e">
        <f aca="false">IF(GR38="","",Debt_Payment)</f>
        <v>#VALUE!</v>
      </c>
      <c r="GS49" s="4" t="e">
        <f aca="false">IF(GS38="","",Debt_Payment)</f>
        <v>#VALUE!</v>
      </c>
      <c r="GT49" s="4" t="e">
        <f aca="false">IF(GT38="","",Debt_Payment)</f>
        <v>#VALUE!</v>
      </c>
      <c r="GU49" s="4" t="e">
        <f aca="false">IF(GU38="","",Debt_Payment)</f>
        <v>#VALUE!</v>
      </c>
      <c r="GV49" s="4" t="e">
        <f aca="false">IF(GV38="","",Debt_Payment)</f>
        <v>#VALUE!</v>
      </c>
      <c r="GW49" s="4" t="e">
        <f aca="false">IF(GW38="","",Debt_Payment)</f>
        <v>#VALUE!</v>
      </c>
      <c r="GX49" s="4" t="e">
        <f aca="false">IF(GX38="","",Debt_Payment)</f>
        <v>#VALUE!</v>
      </c>
      <c r="GY49" s="4" t="e">
        <f aca="false">IF(GY38="","",Debt_Payment)</f>
        <v>#VALUE!</v>
      </c>
      <c r="GZ49" s="4" t="e">
        <f aca="false">IF(GZ38="","",Debt_Payment)</f>
        <v>#VALUE!</v>
      </c>
      <c r="HA49" s="4" t="e">
        <f aca="false">IF(HA38="","",Debt_Payment)</f>
        <v>#VALUE!</v>
      </c>
      <c r="HB49" s="4" t="e">
        <f aca="false">IF(HB38="","",Debt_Payment)</f>
        <v>#VALUE!</v>
      </c>
      <c r="HC49" s="4" t="e">
        <f aca="false">IF(HC38="","",Debt_Payment)</f>
        <v>#VALUE!</v>
      </c>
      <c r="HD49" s="4" t="e">
        <f aca="false">IF(HD38="","",Debt_Payment)</f>
        <v>#VALUE!</v>
      </c>
      <c r="HE49" s="4" t="e">
        <f aca="false">IF(HE38="","",Debt_Payment)</f>
        <v>#VALUE!</v>
      </c>
      <c r="HF49" s="4" t="e">
        <f aca="false">IF(HF38="","",Debt_Payment)</f>
        <v>#VALUE!</v>
      </c>
      <c r="HG49" s="4" t="e">
        <f aca="false">IF(HG38="","",Debt_Payment)</f>
        <v>#VALUE!</v>
      </c>
      <c r="HH49" s="4" t="e">
        <f aca="false">IF(HH38="","",Debt_Payment)</f>
        <v>#VALUE!</v>
      </c>
      <c r="HI49" s="4" t="e">
        <f aca="false">IF(HI38="","",Debt_Payment)</f>
        <v>#VALUE!</v>
      </c>
      <c r="HJ49" s="4" t="e">
        <f aca="false">IF(HJ38="","",Debt_Payment)</f>
        <v>#VALUE!</v>
      </c>
      <c r="HK49" s="4" t="e">
        <f aca="false">IF(HK38="","",Debt_Payment)</f>
        <v>#VALUE!</v>
      </c>
      <c r="HL49" s="4" t="e">
        <f aca="false">IF(HL38="","",Debt_Payment)</f>
        <v>#VALUE!</v>
      </c>
      <c r="HM49" s="4" t="e">
        <f aca="false">IF(HM38="","",Debt_Payment)</f>
        <v>#VALUE!</v>
      </c>
      <c r="HN49" s="4" t="e">
        <f aca="false">IF(HN38="","",Debt_Payment)</f>
        <v>#VALUE!</v>
      </c>
      <c r="HO49" s="4" t="e">
        <f aca="false">IF(HO38="","",Debt_Payment)</f>
        <v>#VALUE!</v>
      </c>
      <c r="HP49" s="4" t="e">
        <f aca="false">IF(HP38="","",Debt_Payment)</f>
        <v>#VALUE!</v>
      </c>
      <c r="HQ49" s="4" t="e">
        <f aca="false">IF(HQ38="","",Debt_Payment)</f>
        <v>#VALUE!</v>
      </c>
      <c r="HR49" s="4" t="e">
        <f aca="false">IF(HR38="","",Debt_Payment)</f>
        <v>#VALUE!</v>
      </c>
      <c r="HS49" s="4" t="e">
        <f aca="false">IF(HS38="","",Debt_Payment)</f>
        <v>#VALUE!</v>
      </c>
      <c r="HT49" s="4" t="e">
        <f aca="false">IF(HT38="","",Debt_Payment)</f>
        <v>#VALUE!</v>
      </c>
      <c r="HU49" s="4" t="e">
        <f aca="false">IF(HU38="","",Debt_Payment)</f>
        <v>#VALUE!</v>
      </c>
      <c r="HV49" s="4" t="e">
        <f aca="false">IF(HV38="","",Debt_Payment)</f>
        <v>#VALUE!</v>
      </c>
      <c r="HW49" s="4" t="e">
        <f aca="false">IF(HW38="","",Debt_Payment)</f>
        <v>#VALUE!</v>
      </c>
      <c r="HX49" s="4" t="e">
        <f aca="false">IF(HX38="","",Debt_Payment)</f>
        <v>#VALUE!</v>
      </c>
      <c r="HY49" s="4" t="e">
        <f aca="false">IF(HY38="","",Debt_Payment)</f>
        <v>#VALUE!</v>
      </c>
      <c r="HZ49" s="4" t="e">
        <f aca="false">IF(HZ38="","",Debt_Payment)</f>
        <v>#VALUE!</v>
      </c>
      <c r="IA49" s="4" t="e">
        <f aca="false">IF(IA38="","",Debt_Payment)</f>
        <v>#VALUE!</v>
      </c>
      <c r="IB49" s="4" t="e">
        <f aca="false">IF(IB38="","",Debt_Payment)</f>
        <v>#VALUE!</v>
      </c>
      <c r="IC49" s="4" t="e">
        <f aca="false">IF(IC38="","",Debt_Payment)</f>
        <v>#VALUE!</v>
      </c>
      <c r="ID49" s="4" t="e">
        <f aca="false">IF(ID38="","",Debt_Payment)</f>
        <v>#VALUE!</v>
      </c>
      <c r="IE49" s="4" t="e">
        <f aca="false">IF(IE38="","",Debt_Payment)</f>
        <v>#VALUE!</v>
      </c>
      <c r="IF49" s="4" t="e">
        <f aca="false">IF(IF38="","",Debt_Payment)</f>
        <v>#VALUE!</v>
      </c>
      <c r="IG49" s="4" t="e">
        <f aca="false">IF(IG38="","",Debt_Payment)</f>
        <v>#VALUE!</v>
      </c>
      <c r="IH49" s="4" t="e">
        <f aca="false">IF(IH38="","",Debt_Payment)</f>
        <v>#VALUE!</v>
      </c>
      <c r="II49" s="4" t="e">
        <f aca="false">IF(II38="","",Debt_Payment)</f>
        <v>#VALUE!</v>
      </c>
    </row>
    <row r="50" customFormat="false" ht="15" hidden="false" customHeight="false" outlineLevel="0" collapsed="false">
      <c r="B50" s="0" t="s">
        <v>113</v>
      </c>
      <c r="C50" s="0" t="n">
        <f aca="false">IF(C38="","",C48-C49)</f>
        <v>0</v>
      </c>
      <c r="D50" s="7" t="n">
        <f aca="false">IF(D38="","",D48-D49)</f>
        <v>16607.8266032759</v>
      </c>
      <c r="E50" s="7" t="n">
        <f aca="false">IF(E38="","",E48-E49)</f>
        <v>16607.8266032759</v>
      </c>
      <c r="F50" s="7" t="n">
        <f aca="false">IF(F38="","",F48-F49)</f>
        <v>16607.8266032759</v>
      </c>
      <c r="G50" s="7" t="n">
        <f aca="false">IF(G38="","",G48-G49)</f>
        <v>16607.8266032759</v>
      </c>
      <c r="H50" s="7" t="n">
        <f aca="false">IF(H38="","",H48-H49)</f>
        <v>16607.8266032759</v>
      </c>
      <c r="I50" s="7" t="n">
        <f aca="false">IF(I38="","",I48-I49)</f>
        <v>16607.8266032759</v>
      </c>
      <c r="J50" s="7" t="n">
        <f aca="false">IF(J38="","",J48-J49)</f>
        <v>16607.8266032759</v>
      </c>
      <c r="K50" s="7" t="n">
        <f aca="false">IF(K38="","",K48-K49)</f>
        <v>16607.8266032759</v>
      </c>
      <c r="L50" s="7" t="n">
        <f aca="false">IF(L38="","",L48-L49)</f>
        <v>16607.8266032759</v>
      </c>
      <c r="M50" s="7" t="n">
        <f aca="false">IF(M38="","",M48-M49)</f>
        <v>16607.8266032759</v>
      </c>
      <c r="N50" s="7" t="n">
        <f aca="false">IF(N38="","",N48-N49)</f>
        <v>16607.8266032759</v>
      </c>
      <c r="O50" s="7" t="n">
        <f aca="false">IF(O38="","",O48-O49)</f>
        <v>16607.8266032759</v>
      </c>
      <c r="P50" s="7" t="n">
        <f aca="false">IF(P38="","",P48-P49)</f>
        <v>17528.6599366092</v>
      </c>
      <c r="Q50" s="7" t="n">
        <f aca="false">IF(Q38="","",Q48-Q49)</f>
        <v>17528.6599366092</v>
      </c>
      <c r="R50" s="7" t="n">
        <f aca="false">IF(R38="","",R48-R49)</f>
        <v>17528.6599366092</v>
      </c>
      <c r="S50" s="7" t="n">
        <f aca="false">IF(S38="","",S48-S49)</f>
        <v>17528.6599366092</v>
      </c>
      <c r="T50" s="7" t="n">
        <f aca="false">IF(T38="","",T48-T49)</f>
        <v>17528.6599366092</v>
      </c>
      <c r="U50" s="7" t="n">
        <f aca="false">IF(U38="","",U48-U49)</f>
        <v>17528.6599366092</v>
      </c>
      <c r="V50" s="7" t="n">
        <f aca="false">IF(V38="","",V48-V49)</f>
        <v>17528.6599366092</v>
      </c>
      <c r="W50" s="7" t="n">
        <f aca="false">IF(W38="","",W48-W49)</f>
        <v>17528.6599366092</v>
      </c>
      <c r="X50" s="7" t="n">
        <f aca="false">IF(X38="","",X48-X49)</f>
        <v>17528.6599366092</v>
      </c>
      <c r="Y50" s="7" t="n">
        <f aca="false">IF(Y38="","",Y48-Y49)</f>
        <v>17528.6599366092</v>
      </c>
      <c r="Z50" s="7" t="n">
        <f aca="false">IF(Z38="","",Z48-Z49)</f>
        <v>17528.6599366092</v>
      </c>
      <c r="AA50" s="7" t="n">
        <f aca="false">IF(AA38="","",AA48-AA49)</f>
        <v>17528.6599366092</v>
      </c>
      <c r="AB50" s="7" t="n">
        <f aca="false">IF(AB38="","",AB48-AB49)</f>
        <v>18467.8495199426</v>
      </c>
      <c r="AC50" s="7" t="n">
        <f aca="false">IF(AC38="","",AC48-AC49)</f>
        <v>18467.8495199426</v>
      </c>
      <c r="AD50" s="7" t="n">
        <f aca="false">IF(AD38="","",AD48-AD49)</f>
        <v>18467.8495199426</v>
      </c>
      <c r="AE50" s="7" t="n">
        <f aca="false">IF(AE38="","",AE48-AE49)</f>
        <v>18467.8495199426</v>
      </c>
      <c r="AF50" s="7" t="n">
        <f aca="false">IF(AF38="","",AF48-AF49)</f>
        <v>18467.8495199426</v>
      </c>
      <c r="AG50" s="7" t="n">
        <f aca="false">IF(AG38="","",AG48-AG49)</f>
        <v>18467.8495199426</v>
      </c>
      <c r="AH50" s="7" t="n">
        <f aca="false">IF(AH38="","",AH48-AH49)</f>
        <v>18467.8495199426</v>
      </c>
      <c r="AI50" s="7" t="n">
        <f aca="false">IF(AI38="","",AI48-AI49)</f>
        <v>18467.8495199426</v>
      </c>
      <c r="AJ50" s="7" t="n">
        <f aca="false">IF(AJ38="","",AJ48-AJ49)</f>
        <v>18467.8495199426</v>
      </c>
      <c r="AK50" s="7" t="n">
        <f aca="false">IF(AK38="","",AK48-AK49)</f>
        <v>18467.8495199426</v>
      </c>
      <c r="AL50" s="7" t="n">
        <f aca="false">IF(AL38="","",AL48-AL49)</f>
        <v>18467.8495199426</v>
      </c>
      <c r="AM50" s="7" t="n">
        <f aca="false">IF(AM38="","",AM48-AM49)</f>
        <v>18467.8495199426</v>
      </c>
      <c r="AN50" s="7" t="n">
        <f aca="false">IF(AN38="","",AN48-AN49)</f>
        <v>19425.7609678592</v>
      </c>
      <c r="AO50" s="7" t="n">
        <f aca="false">IF(AO38="","",AO48-AO49)</f>
        <v>19425.7609678592</v>
      </c>
      <c r="AP50" s="7" t="n">
        <f aca="false">IF(AP38="","",AP48-AP49)</f>
        <v>19425.7609678592</v>
      </c>
      <c r="AQ50" s="7" t="n">
        <f aca="false">IF(AQ38="","",AQ48-AQ49)</f>
        <v>19425.7609678592</v>
      </c>
      <c r="AR50" s="7" t="n">
        <f aca="false">IF(AR38="","",AR48-AR49)</f>
        <v>19425.7609678592</v>
      </c>
      <c r="AS50" s="7" t="n">
        <f aca="false">IF(AS38="","",AS48-AS49)</f>
        <v>19425.7609678592</v>
      </c>
      <c r="AT50" s="7" t="n">
        <f aca="false">IF(AT38="","",AT48-AT49)</f>
        <v>19425.7609678592</v>
      </c>
      <c r="AU50" s="7" t="n">
        <f aca="false">IF(AU38="","",AU48-AU49)</f>
        <v>19425.7609678592</v>
      </c>
      <c r="AV50" s="7" t="n">
        <f aca="false">IF(AV38="","",AV48-AV49)</f>
        <v>19425.7609678592</v>
      </c>
      <c r="AW50" s="7" t="n">
        <f aca="false">IF(AW38="","",AW48-AW49)</f>
        <v>19425.7609678592</v>
      </c>
      <c r="AX50" s="7" t="n">
        <f aca="false">IF(AX38="","",AX48-AX49)</f>
        <v>19425.7609678592</v>
      </c>
      <c r="AY50" s="7" t="n">
        <f aca="false">IF(AY38="","",AY48-AY49)</f>
        <v>19425.7609678592</v>
      </c>
      <c r="AZ50" s="7" t="n">
        <f aca="false">IF(AZ38="","",AZ48-AZ49)</f>
        <v>20402.7671694738</v>
      </c>
      <c r="BA50" s="7" t="n">
        <f aca="false">IF(BA38="","",BA48-BA49)</f>
        <v>20402.7671694738</v>
      </c>
      <c r="BB50" s="7" t="n">
        <f aca="false">IF(BB38="","",BB48-BB49)</f>
        <v>20402.7671694738</v>
      </c>
      <c r="BC50" s="7" t="n">
        <f aca="false">IF(BC38="","",BC48-BC49)</f>
        <v>20402.7671694738</v>
      </c>
      <c r="BD50" s="7" t="n">
        <f aca="false">IF(BD38="","",BD48-BD49)</f>
        <v>20402.7671694738</v>
      </c>
      <c r="BE50" s="7" t="n">
        <f aca="false">IF(BE38="","",BE48-BE49)</f>
        <v>20402.7671694738</v>
      </c>
      <c r="BF50" s="7" t="n">
        <f aca="false">IF(BF38="","",BF48-BF49)</f>
        <v>20402.7671694738</v>
      </c>
      <c r="BG50" s="7" t="n">
        <f aca="false">IF(BG38="","",BG48-BG49)</f>
        <v>20402.7671694738</v>
      </c>
      <c r="BH50" s="7" t="n">
        <f aca="false">IF(BH38="","",BH48-BH49)</f>
        <v>20402.7671694738</v>
      </c>
      <c r="BI50" s="7" t="n">
        <f aca="false">IF(BI38="","",BI48-BI49)</f>
        <v>20402.7671694738</v>
      </c>
      <c r="BJ50" s="7" t="n">
        <f aca="false">IF(BJ38="","",BJ48-BJ49)</f>
        <v>20402.7671694738</v>
      </c>
      <c r="BK50" s="7" t="n">
        <f aca="false">IF(BK38="","",BK48-BK49)</f>
        <v>20402.7671694738</v>
      </c>
      <c r="BL50" s="7" t="n">
        <f aca="false">IF(BL38="","",BL48-BL49)</f>
        <v>21399.2484329788</v>
      </c>
      <c r="BM50" s="7" t="n">
        <f aca="false">IF(BM38="","",BM48-BM49)</f>
        <v>21399.2484329788</v>
      </c>
      <c r="BN50" s="7" t="n">
        <f aca="false">IF(BN38="","",BN48-BN49)</f>
        <v>21399.2484329788</v>
      </c>
      <c r="BO50" s="7" t="n">
        <f aca="false">IF(BO38="","",BO48-BO49)</f>
        <v>21399.2484329788</v>
      </c>
      <c r="BP50" s="7" t="n">
        <f aca="false">IF(BP38="","",BP48-BP49)</f>
        <v>21399.2484329788</v>
      </c>
      <c r="BQ50" s="7" t="n">
        <f aca="false">IF(BQ38="","",BQ48-BQ49)</f>
        <v>21399.2484329788</v>
      </c>
      <c r="BR50" s="7" t="n">
        <f aca="false">IF(BR38="","",BR48-BR49)</f>
        <v>21399.2484329788</v>
      </c>
      <c r="BS50" s="7" t="n">
        <f aca="false">IF(BS38="","",BS48-BS49)</f>
        <v>21399.2484329788</v>
      </c>
      <c r="BT50" s="7" t="n">
        <f aca="false">IF(BT38="","",BT48-BT49)</f>
        <v>21399.2484329788</v>
      </c>
      <c r="BU50" s="7" t="n">
        <f aca="false">IF(BU38="","",BU48-BU49)</f>
        <v>21399.2484329788</v>
      </c>
      <c r="BV50" s="7" t="n">
        <f aca="false">IF(BV38="","",BV48-BV49)</f>
        <v>21399.2484329788</v>
      </c>
      <c r="BW50" s="7" t="n">
        <f aca="false">IF(BW38="","",BW48-BW49)</f>
        <v>21399.2484329788</v>
      </c>
      <c r="BX50" s="7" t="n">
        <f aca="false">IF(BX38="","",BX48-BX49)</f>
        <v>22415.5926330583</v>
      </c>
      <c r="BY50" s="7" t="n">
        <f aca="false">IF(BY38="","",BY48-BY49)</f>
        <v>22415.5926330583</v>
      </c>
      <c r="BZ50" s="7" t="n">
        <f aca="false">IF(BZ38="","",BZ48-BZ49)</f>
        <v>22415.5926330583</v>
      </c>
      <c r="CA50" s="7" t="n">
        <f aca="false">IF(CA38="","",CA48-CA49)</f>
        <v>22415.5926330583</v>
      </c>
      <c r="CB50" s="7" t="n">
        <f aca="false">IF(CB38="","",CB48-CB49)</f>
        <v>22415.5926330583</v>
      </c>
      <c r="CC50" s="7" t="n">
        <f aca="false">IF(CC38="","",CC48-CC49)</f>
        <v>22415.5926330583</v>
      </c>
      <c r="CD50" s="7" t="n">
        <f aca="false">IF(CD38="","",CD48-CD49)</f>
        <v>22415.5926330583</v>
      </c>
      <c r="CE50" s="7" t="n">
        <f aca="false">IF(CE38="","",CE48-CE49)</f>
        <v>22415.5926330583</v>
      </c>
      <c r="CF50" s="7" t="n">
        <f aca="false">IF(CF38="","",CF48-CF49)</f>
        <v>22415.5926330583</v>
      </c>
      <c r="CG50" s="7" t="n">
        <f aca="false">IF(CG38="","",CG48-CG49)</f>
        <v>22415.5926330583</v>
      </c>
      <c r="CH50" s="7" t="n">
        <f aca="false">IF(CH38="","",CH48-CH49)</f>
        <v>22415.5926330583</v>
      </c>
      <c r="CI50" s="7" t="n">
        <f aca="false">IF(CI38="","",CI48-CI49)</f>
        <v>22415.5926330583</v>
      </c>
      <c r="CJ50" s="7" t="n">
        <f aca="false">IF(CJ38="","",CJ48-CJ49)</f>
        <v>23452.1953612266</v>
      </c>
      <c r="CK50" s="7" t="n">
        <f aca="false">IF(CK38="","",CK48-CK49)</f>
        <v>23452.1953612266</v>
      </c>
      <c r="CL50" s="7" t="n">
        <f aca="false">IF(CL38="","",CL48-CL49)</f>
        <v>23452.1953612266</v>
      </c>
      <c r="CM50" s="7" t="n">
        <f aca="false">IF(CM38="","",CM48-CM49)</f>
        <v>23452.1953612266</v>
      </c>
      <c r="CN50" s="7" t="n">
        <f aca="false">IF(CN38="","",CN48-CN49)</f>
        <v>23452.1953612266</v>
      </c>
      <c r="CO50" s="7" t="n">
        <f aca="false">IF(CO38="","",CO48-CO49)</f>
        <v>23452.1953612266</v>
      </c>
      <c r="CP50" s="7" t="n">
        <f aca="false">IF(CP38="","",CP48-CP49)</f>
        <v>23452.1953612266</v>
      </c>
      <c r="CQ50" s="7" t="n">
        <f aca="false">IF(CQ38="","",CQ48-CQ49)</f>
        <v>23452.1953612266</v>
      </c>
      <c r="CR50" s="7" t="n">
        <f aca="false">IF(CR38="","",CR48-CR49)</f>
        <v>23452.1953612266</v>
      </c>
      <c r="CS50" s="7" t="n">
        <f aca="false">IF(CS38="","",CS48-CS49)</f>
        <v>23452.1953612266</v>
      </c>
      <c r="CT50" s="7" t="n">
        <f aca="false">IF(CT38="","",CT48-CT49)</f>
        <v>23452.1953612266</v>
      </c>
      <c r="CU50" s="7" t="n">
        <f aca="false">IF(CU38="","",CU48-CU49)</f>
        <v>23452.1953612266</v>
      </c>
      <c r="CV50" s="7" t="n">
        <f aca="false">IF(CV38="","",CV48-CV49)</f>
        <v>8157.48884303476</v>
      </c>
      <c r="CW50" s="7" t="n">
        <f aca="false">IF(CW38="","",CW48-CW49)</f>
        <v>8157.48884303476</v>
      </c>
      <c r="CX50" s="7" t="n">
        <f aca="false">IF(CX38="","",CX48-CX49)</f>
        <v>8157.48884303476</v>
      </c>
      <c r="CY50" s="7" t="n">
        <f aca="false">IF(CY38="","",CY48-CY49)</f>
        <v>8157.48884303476</v>
      </c>
      <c r="CZ50" s="7" t="n">
        <f aca="false">IF(CZ38="","",CZ48-CZ49)</f>
        <v>8157.48884303476</v>
      </c>
      <c r="DA50" s="7" t="n">
        <f aca="false">IF(DA38="","",DA48-DA49)</f>
        <v>8157.48884303476</v>
      </c>
      <c r="DB50" s="7" t="n">
        <f aca="false">IF(DB38="","",DB48-DB49)</f>
        <v>8157.48884303476</v>
      </c>
      <c r="DC50" s="7" t="n">
        <f aca="false">IF(DC38="","",DC48-DC49)</f>
        <v>8157.48884303476</v>
      </c>
      <c r="DD50" s="7" t="n">
        <f aca="false">IF(DD38="","",DD48-DD49)</f>
        <v>8157.48884303476</v>
      </c>
      <c r="DE50" s="7" t="n">
        <f aca="false">IF(DE38="","",DE48-DE49)</f>
        <v>21207.4888430348</v>
      </c>
      <c r="DF50" s="7" t="n">
        <f aca="false">IF(DF38="","",DF48-DF49)</f>
        <v>21207.4888430348</v>
      </c>
      <c r="DG50" s="7" t="n">
        <f aca="false">IF(DG38="","",DG48-DG49)</f>
        <v>21207.4888430348</v>
      </c>
      <c r="DH50" s="7" t="n">
        <f aca="false">IF(DH38="","",DH48-DH49)</f>
        <v>21195.6956231424</v>
      </c>
      <c r="DI50" s="7" t="n">
        <f aca="false">IF(DI38="","",DI48-DI49)</f>
        <v>21195.6956231424</v>
      </c>
      <c r="DJ50" s="7" t="n">
        <f aca="false">IF(DJ38="","",DJ48-DJ49)</f>
        <v>21195.6956231424</v>
      </c>
      <c r="DK50" s="7" t="n">
        <f aca="false">IF(DK38="","",DK48-DK49)</f>
        <v>21195.6956231424</v>
      </c>
      <c r="DL50" s="7" t="n">
        <f aca="false">IF(DL38="","",DL48-DL49)</f>
        <v>21195.6956231424</v>
      </c>
      <c r="DM50" s="7" t="n">
        <f aca="false">IF(DM38="","",DM48-DM49)</f>
        <v>21195.6956231424</v>
      </c>
      <c r="DN50" s="7" t="n">
        <f aca="false">IF(DN38="","",DN48-DN49)</f>
        <v>21195.6956231424</v>
      </c>
      <c r="DO50" s="7" t="n">
        <f aca="false">IF(DO38="","",DO48-DO49)</f>
        <v>21195.6956231424</v>
      </c>
      <c r="DP50" s="7" t="n">
        <f aca="false">IF(DP38="","",DP48-DP49)</f>
        <v>21195.6956231424</v>
      </c>
      <c r="DQ50" s="7" t="n">
        <f aca="false">IF(DQ38="","",DQ48-DQ49)</f>
        <v>21195.6956231424</v>
      </c>
      <c r="DR50" s="7" t="n">
        <f aca="false">IF(DR38="","",DR48-DR49)</f>
        <v>21195.6956231424</v>
      </c>
      <c r="DS50" s="7" t="n">
        <f aca="false">IF(DS38="","",DS48-DS49)</f>
        <v>21195.6956231424</v>
      </c>
      <c r="DT50" s="7" t="n">
        <f aca="false">IF(DT38="","",DT48-DT49)</f>
        <v>21183.5929270104</v>
      </c>
      <c r="DU50" s="7" t="n">
        <f aca="false">IF(DU38="","",DU48-DU49)</f>
        <v>21183.5929270104</v>
      </c>
      <c r="DV50" s="7" t="n">
        <f aca="false">IF(DV38="","",DV48-DV49)</f>
        <v>21183.5929270104</v>
      </c>
      <c r="DW50" s="7" t="n">
        <f aca="false">IF(DW38="","",DW48-DW49)</f>
        <v>21183.5929270104</v>
      </c>
      <c r="DX50" s="7" t="n">
        <f aca="false">IF(DX38="","",DX48-DX49)</f>
        <v>21183.5929270104</v>
      </c>
      <c r="DY50" s="7" t="n">
        <f aca="false">IF(DY38="","",DY48-DY49)</f>
        <v>21183.5929270104</v>
      </c>
      <c r="DZ50" s="7" t="n">
        <f aca="false">IF(DZ38="","",DZ48-DZ49)</f>
        <v>21183.5929270104</v>
      </c>
      <c r="EA50" s="7" t="n">
        <f aca="false">IF(EA38="","",EA48-EA49)</f>
        <v>21183.5929270104</v>
      </c>
      <c r="EB50" s="7" t="n">
        <f aca="false">IF(EB38="","",EB48-EB49)</f>
        <v>21183.5929270104</v>
      </c>
      <c r="EC50" s="7" t="n">
        <f aca="false">IF(EC38="","",EC48-EC49)</f>
        <v>21183.5929270104</v>
      </c>
      <c r="ED50" s="7" t="n">
        <f aca="false">IF(ED38="","",ED48-ED49)</f>
        <v>21183.5929270104</v>
      </c>
      <c r="EE50" s="7" t="n">
        <f aca="false">IF(EE38="","",EE48-EE49)</f>
        <v>21183.5929270104</v>
      </c>
      <c r="EF50" s="7" t="n">
        <f aca="false">IF(EF38="","",EF48-EF49)</f>
        <v>21171.172724818</v>
      </c>
      <c r="EG50" s="7" t="n">
        <f aca="false">IF(EG38="","",EG48-EG49)</f>
        <v>21171.172724818</v>
      </c>
      <c r="EH50" s="7" t="n">
        <f aca="false">IF(EH38="","",EH48-EH49)</f>
        <v>21171.172724818</v>
      </c>
      <c r="EI50" s="7" t="n">
        <f aca="false">IF(EI38="","",EI48-EI49)</f>
        <v>21171.172724818</v>
      </c>
      <c r="EJ50" s="7" t="n">
        <f aca="false">IF(EJ38="","",EJ48-EJ49)</f>
        <v>21171.172724818</v>
      </c>
      <c r="EK50" s="7" t="n">
        <f aca="false">IF(EK38="","",EK48-EK49)</f>
        <v>21171.172724818</v>
      </c>
      <c r="EL50" s="7" t="n">
        <f aca="false">IF(EL38="","",EL48-EL49)</f>
        <v>21171.172724818</v>
      </c>
      <c r="EM50" s="7" t="n">
        <f aca="false">IF(EM38="","",EM48-EM49)</f>
        <v>21171.172724818</v>
      </c>
      <c r="EN50" s="7" t="n">
        <f aca="false">IF(EN38="","",EN48-EN49)</f>
        <v>21171.172724818</v>
      </c>
      <c r="EO50" s="7" t="n">
        <f aca="false">IF(EO38="","",EO48-EO49)</f>
        <v>21171.172724818</v>
      </c>
      <c r="EP50" s="7" t="n">
        <f aca="false">IF(EP38="","",EP48-EP49)</f>
        <v>21171.172724818</v>
      </c>
      <c r="EQ50" s="7" t="n">
        <f aca="false">IF(EQ38="","",EQ48-EQ49)</f>
        <v>21171.172724818</v>
      </c>
      <c r="ER50" s="7" t="n">
        <f aca="false">IF(ER38="","",ER48-ER49)</f>
        <v>21158.4267801405</v>
      </c>
      <c r="ES50" s="7" t="n">
        <f aca="false">IF(ES38="","",ES48-ES49)</f>
        <v>21158.4267801405</v>
      </c>
      <c r="ET50" s="7" t="n">
        <f aca="false">IF(ET38="","",ET48-ET49)</f>
        <v>21158.4267801405</v>
      </c>
      <c r="EU50" s="7" t="n">
        <f aca="false">IF(EU38="","",EU48-EU49)</f>
        <v>21158.4267801405</v>
      </c>
      <c r="EV50" s="7" t="n">
        <f aca="false">IF(EV38="","",EV48-EV49)</f>
        <v>21158.4267801405</v>
      </c>
      <c r="EW50" s="7" t="n">
        <f aca="false">IF(EW38="","",EW48-EW49)</f>
        <v>21158.4267801405</v>
      </c>
      <c r="EX50" s="7" t="n">
        <f aca="false">IF(EX38="","",EX48-EX49)</f>
        <v>21158.4267801405</v>
      </c>
      <c r="EY50" s="7" t="n">
        <f aca="false">IF(EY38="","",EY48-EY49)</f>
        <v>21158.4267801405</v>
      </c>
      <c r="EZ50" s="7" t="n">
        <f aca="false">IF(EZ38="","",EZ48-EZ49)</f>
        <v>21158.4267801405</v>
      </c>
      <c r="FA50" s="7" t="n">
        <f aca="false">IF(FA38="","",FA48-FA49)</f>
        <v>21158.4267801405</v>
      </c>
      <c r="FB50" s="7" t="n">
        <f aca="false">IF(FB38="","",FB48-FB49)</f>
        <v>21158.4267801405</v>
      </c>
      <c r="FC50" s="7" t="n">
        <f aca="false">IF(FC38="","",FC48-FC49)</f>
        <v>21158.4267801405</v>
      </c>
      <c r="FD50" s="0" t="str">
        <f aca="false">IF(FD38="","",FD48-FD49)</f>
        <v/>
      </c>
      <c r="FE50" s="4" t="e">
        <f aca="false">IF(FE38="","",FE48-FE49)</f>
        <v>#VALUE!</v>
      </c>
      <c r="FF50" s="4" t="e">
        <f aca="false">IF(FF38="","",FF48-FF49)</f>
        <v>#VALUE!</v>
      </c>
      <c r="FG50" s="4" t="e">
        <f aca="false">IF(FG38="","",FG48-FG49)</f>
        <v>#VALUE!</v>
      </c>
      <c r="FH50" s="4" t="e">
        <f aca="false">IF(FH38="","",FH48-FH49)</f>
        <v>#VALUE!</v>
      </c>
      <c r="FI50" s="4" t="e">
        <f aca="false">IF(FI38="","",FI48-FI49)</f>
        <v>#VALUE!</v>
      </c>
      <c r="FJ50" s="4" t="e">
        <f aca="false">IF(FJ38="","",FJ48-FJ49)</f>
        <v>#VALUE!</v>
      </c>
      <c r="FK50" s="4" t="e">
        <f aca="false">IF(FK38="","",FK48-FK49)</f>
        <v>#VALUE!</v>
      </c>
      <c r="FL50" s="4" t="e">
        <f aca="false">IF(FL38="","",FL48-FL49)</f>
        <v>#VALUE!</v>
      </c>
      <c r="FM50" s="4" t="e">
        <f aca="false">IF(FM38="","",FM48-FM49)</f>
        <v>#VALUE!</v>
      </c>
      <c r="FN50" s="4" t="e">
        <f aca="false">IF(FN38="","",FN48-FN49)</f>
        <v>#VALUE!</v>
      </c>
      <c r="FO50" s="4" t="e">
        <f aca="false">IF(FO38="","",FO48-FO49)</f>
        <v>#VALUE!</v>
      </c>
      <c r="FP50" s="4" t="e">
        <f aca="false">IF(FP38="","",FP48-FP49)</f>
        <v>#VALUE!</v>
      </c>
      <c r="FQ50" s="4" t="e">
        <f aca="false">IF(FQ38="","",FQ48-FQ49)</f>
        <v>#VALUE!</v>
      </c>
      <c r="FR50" s="4" t="e">
        <f aca="false">IF(FR38="","",FR48-FR49)</f>
        <v>#VALUE!</v>
      </c>
      <c r="FS50" s="4" t="e">
        <f aca="false">IF(FS38="","",FS48-FS49)</f>
        <v>#VALUE!</v>
      </c>
      <c r="FT50" s="4" t="e">
        <f aca="false">IF(FT38="","",FT48-FT49)</f>
        <v>#VALUE!</v>
      </c>
      <c r="FU50" s="4" t="e">
        <f aca="false">IF(FU38="","",FU48-FU49)</f>
        <v>#VALUE!</v>
      </c>
      <c r="FV50" s="4" t="e">
        <f aca="false">IF(FV38="","",FV48-FV49)</f>
        <v>#VALUE!</v>
      </c>
      <c r="FW50" s="4" t="e">
        <f aca="false">IF(FW38="","",FW48-FW49)</f>
        <v>#VALUE!</v>
      </c>
      <c r="FX50" s="4" t="e">
        <f aca="false">IF(FX38="","",FX48-FX49)</f>
        <v>#VALUE!</v>
      </c>
      <c r="FY50" s="4" t="e">
        <f aca="false">IF(FY38="","",FY48-FY49)</f>
        <v>#VALUE!</v>
      </c>
      <c r="FZ50" s="4" t="e">
        <f aca="false">IF(FZ38="","",FZ48-FZ49)</f>
        <v>#VALUE!</v>
      </c>
      <c r="GA50" s="4" t="e">
        <f aca="false">IF(GA38="","",GA48-GA49)</f>
        <v>#VALUE!</v>
      </c>
      <c r="GB50" s="4" t="e">
        <f aca="false">IF(GB38="","",GB48-GB49)</f>
        <v>#VALUE!</v>
      </c>
      <c r="GC50" s="4" t="e">
        <f aca="false">IF(GC38="","",GC48-GC49)</f>
        <v>#VALUE!</v>
      </c>
      <c r="GD50" s="4" t="e">
        <f aca="false">IF(GD38="","",GD48-GD49)</f>
        <v>#VALUE!</v>
      </c>
      <c r="GE50" s="4" t="e">
        <f aca="false">IF(GE38="","",GE48-GE49)</f>
        <v>#VALUE!</v>
      </c>
      <c r="GF50" s="4" t="e">
        <f aca="false">IF(GF38="","",GF48-GF49)</f>
        <v>#VALUE!</v>
      </c>
      <c r="GG50" s="4" t="e">
        <f aca="false">IF(GG38="","",GG48-GG49)</f>
        <v>#VALUE!</v>
      </c>
      <c r="GH50" s="4" t="e">
        <f aca="false">IF(GH38="","",GH48-GH49)</f>
        <v>#VALUE!</v>
      </c>
      <c r="GI50" s="4" t="e">
        <f aca="false">IF(GI38="","",GI48-GI49)</f>
        <v>#VALUE!</v>
      </c>
      <c r="GJ50" s="4" t="e">
        <f aca="false">IF(GJ38="","",GJ48-GJ49)</f>
        <v>#VALUE!</v>
      </c>
      <c r="GK50" s="4" t="e">
        <f aca="false">IF(GK38="","",GK48-GK49)</f>
        <v>#VALUE!</v>
      </c>
      <c r="GL50" s="4" t="e">
        <f aca="false">IF(GL38="","",GL48-GL49)</f>
        <v>#VALUE!</v>
      </c>
      <c r="GM50" s="4" t="e">
        <f aca="false">IF(GM38="","",GM48-GM49)</f>
        <v>#VALUE!</v>
      </c>
      <c r="GN50" s="4" t="e">
        <f aca="false">IF(GN38="","",GN48-GN49)</f>
        <v>#VALUE!</v>
      </c>
      <c r="GO50" s="4" t="e">
        <f aca="false">IF(GO38="","",GO48-GO49)</f>
        <v>#VALUE!</v>
      </c>
      <c r="GP50" s="4" t="e">
        <f aca="false">IF(GP38="","",GP48-GP49)</f>
        <v>#VALUE!</v>
      </c>
      <c r="GQ50" s="4" t="e">
        <f aca="false">IF(GQ38="","",GQ48-GQ49)</f>
        <v>#VALUE!</v>
      </c>
      <c r="GR50" s="4" t="e">
        <f aca="false">IF(GR38="","",GR48-GR49)</f>
        <v>#VALUE!</v>
      </c>
      <c r="GS50" s="4" t="e">
        <f aca="false">IF(GS38="","",GS48-GS49)</f>
        <v>#VALUE!</v>
      </c>
      <c r="GT50" s="4" t="e">
        <f aca="false">IF(GT38="","",GT48-GT49)</f>
        <v>#VALUE!</v>
      </c>
      <c r="GU50" s="4" t="e">
        <f aca="false">IF(GU38="","",GU48-GU49)</f>
        <v>#VALUE!</v>
      </c>
      <c r="GV50" s="4" t="e">
        <f aca="false">IF(GV38="","",GV48-GV49)</f>
        <v>#VALUE!</v>
      </c>
      <c r="GW50" s="4" t="e">
        <f aca="false">IF(GW38="","",GW48-GW49)</f>
        <v>#VALUE!</v>
      </c>
      <c r="GX50" s="4" t="e">
        <f aca="false">IF(GX38="","",GX48-GX49)</f>
        <v>#VALUE!</v>
      </c>
      <c r="GY50" s="4" t="e">
        <f aca="false">IF(GY38="","",GY48-GY49)</f>
        <v>#VALUE!</v>
      </c>
      <c r="GZ50" s="4" t="e">
        <f aca="false">IF(GZ38="","",GZ48-GZ49)</f>
        <v>#VALUE!</v>
      </c>
      <c r="HA50" s="4" t="e">
        <f aca="false">IF(HA38="","",HA48-HA49)</f>
        <v>#VALUE!</v>
      </c>
      <c r="HB50" s="4" t="e">
        <f aca="false">IF(HB38="","",HB48-HB49)</f>
        <v>#VALUE!</v>
      </c>
      <c r="HC50" s="4" t="e">
        <f aca="false">IF(HC38="","",HC48-HC49)</f>
        <v>#VALUE!</v>
      </c>
      <c r="HD50" s="4" t="e">
        <f aca="false">IF(HD38="","",HD48-HD49)</f>
        <v>#VALUE!</v>
      </c>
      <c r="HE50" s="4" t="e">
        <f aca="false">IF(HE38="","",HE48-HE49)</f>
        <v>#VALUE!</v>
      </c>
      <c r="HF50" s="4" t="e">
        <f aca="false">IF(HF38="","",HF48-HF49)</f>
        <v>#VALUE!</v>
      </c>
      <c r="HG50" s="4" t="e">
        <f aca="false">IF(HG38="","",HG48-HG49)</f>
        <v>#VALUE!</v>
      </c>
      <c r="HH50" s="4" t="e">
        <f aca="false">IF(HH38="","",HH48-HH49)</f>
        <v>#VALUE!</v>
      </c>
      <c r="HI50" s="4" t="e">
        <f aca="false">IF(HI38="","",HI48-HI49)</f>
        <v>#VALUE!</v>
      </c>
      <c r="HJ50" s="4" t="e">
        <f aca="false">IF(HJ38="","",HJ48-HJ49)</f>
        <v>#VALUE!</v>
      </c>
      <c r="HK50" s="4" t="e">
        <f aca="false">IF(HK38="","",HK48-HK49)</f>
        <v>#VALUE!</v>
      </c>
      <c r="HL50" s="4" t="e">
        <f aca="false">IF(HL38="","",HL48-HL49)</f>
        <v>#VALUE!</v>
      </c>
      <c r="HM50" s="4" t="e">
        <f aca="false">IF(HM38="","",HM48-HM49)</f>
        <v>#VALUE!</v>
      </c>
      <c r="HN50" s="4" t="e">
        <f aca="false">IF(HN38="","",HN48-HN49)</f>
        <v>#VALUE!</v>
      </c>
      <c r="HO50" s="4" t="e">
        <f aca="false">IF(HO38="","",HO48-HO49)</f>
        <v>#VALUE!</v>
      </c>
      <c r="HP50" s="4" t="e">
        <f aca="false">IF(HP38="","",HP48-HP49)</f>
        <v>#VALUE!</v>
      </c>
      <c r="HQ50" s="4" t="e">
        <f aca="false">IF(HQ38="","",HQ48-HQ49)</f>
        <v>#VALUE!</v>
      </c>
      <c r="HR50" s="4" t="e">
        <f aca="false">IF(HR38="","",HR48-HR49)</f>
        <v>#VALUE!</v>
      </c>
      <c r="HS50" s="4" t="e">
        <f aca="false">IF(HS38="","",HS48-HS49)</f>
        <v>#VALUE!</v>
      </c>
      <c r="HT50" s="4" t="e">
        <f aca="false">IF(HT38="","",HT48-HT49)</f>
        <v>#VALUE!</v>
      </c>
      <c r="HU50" s="4" t="e">
        <f aca="false">IF(HU38="","",HU48-HU49)</f>
        <v>#VALUE!</v>
      </c>
      <c r="HV50" s="4" t="e">
        <f aca="false">IF(HV38="","",HV48-HV49)</f>
        <v>#VALUE!</v>
      </c>
      <c r="HW50" s="4" t="e">
        <f aca="false">IF(HW38="","",HW48-HW49)</f>
        <v>#VALUE!</v>
      </c>
      <c r="HX50" s="4" t="e">
        <f aca="false">IF(HX38="","",HX48-HX49)</f>
        <v>#VALUE!</v>
      </c>
      <c r="HY50" s="4" t="e">
        <f aca="false">IF(HY38="","",HY48-HY49)</f>
        <v>#VALUE!</v>
      </c>
      <c r="HZ50" s="4" t="e">
        <f aca="false">IF(HZ38="","",HZ48-HZ49)</f>
        <v>#VALUE!</v>
      </c>
      <c r="IA50" s="4" t="e">
        <f aca="false">IF(IA38="","",IA48-IA49)</f>
        <v>#VALUE!</v>
      </c>
      <c r="IB50" s="4" t="e">
        <f aca="false">IF(IB38="","",IB48-IB49)</f>
        <v>#VALUE!</v>
      </c>
      <c r="IC50" s="4" t="e">
        <f aca="false">IF(IC38="","",IC48-IC49)</f>
        <v>#VALUE!</v>
      </c>
      <c r="ID50" s="4" t="e">
        <f aca="false">IF(ID38="","",ID48-ID49)</f>
        <v>#VALUE!</v>
      </c>
      <c r="IE50" s="4" t="e">
        <f aca="false">IF(IE38="","",IE48-IE49)</f>
        <v>#VALUE!</v>
      </c>
      <c r="IF50" s="4" t="e">
        <f aca="false">IF(IF38="","",IF48-IF49)</f>
        <v>#VALUE!</v>
      </c>
      <c r="IG50" s="4" t="e">
        <f aca="false">IF(IG38="","",IG48-IG49)</f>
        <v>#VALUE!</v>
      </c>
      <c r="IH50" s="4" t="e">
        <f aca="false">IF(IH38="","",IH48-IH49)</f>
        <v>#VALUE!</v>
      </c>
      <c r="II50" s="4" t="e">
        <f aca="false">IF(II38="","",II48-II49)</f>
        <v>#VALUE!</v>
      </c>
    </row>
    <row r="51" customFormat="false" ht="15" hidden="false" customHeight="false" outlineLevel="0" collapsed="false">
      <c r="B51" s="0" t="s">
        <v>114</v>
      </c>
      <c r="C51" s="0" t="n">
        <f aca="false">IF(C38="","",IF(C38&gt;0,0,Project_TotalCost))</f>
        <v>7575283.33333333</v>
      </c>
      <c r="D51" s="0" t="n">
        <f aca="false">IF(D38="","",IF(D38&gt;0,0,Project_TotalCost))</f>
        <v>0</v>
      </c>
      <c r="E51" s="0" t="n">
        <f aca="false">IF(E38="","",IF(E38&gt;0,0,Project_TotalCost))</f>
        <v>0</v>
      </c>
      <c r="F51" s="0" t="n">
        <f aca="false">IF(F38="","",IF(F38&gt;0,0,Project_TotalCost))</f>
        <v>0</v>
      </c>
      <c r="G51" s="0" t="n">
        <f aca="false">IF(G38="","",IF(G38&gt;0,0,Project_TotalCost))</f>
        <v>0</v>
      </c>
      <c r="H51" s="0" t="n">
        <f aca="false">IF(H38="","",IF(H38&gt;0,0,Project_TotalCost))</f>
        <v>0</v>
      </c>
      <c r="I51" s="0" t="n">
        <f aca="false">IF(I38="","",IF(I38&gt;0,0,Project_TotalCost))</f>
        <v>0</v>
      </c>
      <c r="J51" s="0" t="n">
        <f aca="false">IF(J38="","",IF(J38&gt;0,0,Project_TotalCost))</f>
        <v>0</v>
      </c>
      <c r="K51" s="0" t="n">
        <f aca="false">IF(K38="","",IF(K38&gt;0,0,Project_TotalCost))</f>
        <v>0</v>
      </c>
      <c r="L51" s="0" t="n">
        <f aca="false">IF(L38="","",IF(L38&gt;0,0,Project_TotalCost))</f>
        <v>0</v>
      </c>
      <c r="M51" s="0" t="n">
        <f aca="false">IF(M38="","",IF(M38&gt;0,0,Project_TotalCost))</f>
        <v>0</v>
      </c>
      <c r="N51" s="0" t="n">
        <f aca="false">IF(N38="","",IF(N38&gt;0,0,Project_TotalCost))</f>
        <v>0</v>
      </c>
      <c r="O51" s="0" t="n">
        <f aca="false">IF(O38="","",IF(O38&gt;0,0,Project_TotalCost))</f>
        <v>0</v>
      </c>
      <c r="P51" s="0" t="n">
        <f aca="false">IF(P38="","",IF(P38&gt;0,0,Project_TotalCost))</f>
        <v>0</v>
      </c>
      <c r="Q51" s="0" t="n">
        <f aca="false">IF(Q38="","",IF(Q38&gt;0,0,Project_TotalCost))</f>
        <v>0</v>
      </c>
      <c r="R51" s="0" t="n">
        <f aca="false">IF(R38="","",IF(R38&gt;0,0,Project_TotalCost))</f>
        <v>0</v>
      </c>
      <c r="S51" s="0" t="n">
        <f aca="false">IF(S38="","",IF(S38&gt;0,0,Project_TotalCost))</f>
        <v>0</v>
      </c>
      <c r="T51" s="0" t="n">
        <f aca="false">IF(T38="","",IF(T38&gt;0,0,Project_TotalCost))</f>
        <v>0</v>
      </c>
      <c r="U51" s="0" t="n">
        <f aca="false">IF(U38="","",IF(U38&gt;0,0,Project_TotalCost))</f>
        <v>0</v>
      </c>
      <c r="V51" s="0" t="n">
        <f aca="false">IF(V38="","",IF(V38&gt;0,0,Project_TotalCost))</f>
        <v>0</v>
      </c>
      <c r="W51" s="0" t="n">
        <f aca="false">IF(W38="","",IF(W38&gt;0,0,Project_TotalCost))</f>
        <v>0</v>
      </c>
      <c r="X51" s="0" t="n">
        <f aca="false">IF(X38="","",IF(X38&gt;0,0,Project_TotalCost))</f>
        <v>0</v>
      </c>
      <c r="Y51" s="0" t="n">
        <f aca="false">IF(Y38="","",IF(Y38&gt;0,0,Project_TotalCost))</f>
        <v>0</v>
      </c>
      <c r="Z51" s="0" t="n">
        <f aca="false">IF(Z38="","",IF(Z38&gt;0,0,Project_TotalCost))</f>
        <v>0</v>
      </c>
      <c r="AA51" s="0" t="n">
        <f aca="false">IF(AA38="","",IF(AA38&gt;0,0,Project_TotalCost))</f>
        <v>0</v>
      </c>
      <c r="AB51" s="0" t="n">
        <f aca="false">IF(AB38="","",IF(AB38&gt;0,0,Project_TotalCost))</f>
        <v>0</v>
      </c>
      <c r="AC51" s="0" t="n">
        <f aca="false">IF(AC38="","",IF(AC38&gt;0,0,Project_TotalCost))</f>
        <v>0</v>
      </c>
      <c r="AD51" s="0" t="n">
        <f aca="false">IF(AD38="","",IF(AD38&gt;0,0,Project_TotalCost))</f>
        <v>0</v>
      </c>
      <c r="AE51" s="0" t="n">
        <f aca="false">IF(AE38="","",IF(AE38&gt;0,0,Project_TotalCost))</f>
        <v>0</v>
      </c>
      <c r="AF51" s="0" t="n">
        <f aca="false">IF(AF38="","",IF(AF38&gt;0,0,Project_TotalCost))</f>
        <v>0</v>
      </c>
      <c r="AG51" s="0" t="n">
        <f aca="false">IF(AG38="","",IF(AG38&gt;0,0,Project_TotalCost))</f>
        <v>0</v>
      </c>
      <c r="AH51" s="0" t="n">
        <f aca="false">IF(AH38="","",IF(AH38&gt;0,0,Project_TotalCost))</f>
        <v>0</v>
      </c>
      <c r="AI51" s="0" t="n">
        <f aca="false">IF(AI38="","",IF(AI38&gt;0,0,Project_TotalCost))</f>
        <v>0</v>
      </c>
      <c r="AJ51" s="0" t="n">
        <f aca="false">IF(AJ38="","",IF(AJ38&gt;0,0,Project_TotalCost))</f>
        <v>0</v>
      </c>
      <c r="AK51" s="0" t="n">
        <f aca="false">IF(AK38="","",IF(AK38&gt;0,0,Project_TotalCost))</f>
        <v>0</v>
      </c>
      <c r="AL51" s="0" t="n">
        <f aca="false">IF(AL38="","",IF(AL38&gt;0,0,Project_TotalCost))</f>
        <v>0</v>
      </c>
      <c r="AM51" s="0" t="n">
        <f aca="false">IF(AM38="","",IF(AM38&gt;0,0,Project_TotalCost))</f>
        <v>0</v>
      </c>
      <c r="AN51" s="0" t="n">
        <f aca="false">IF(AN38="","",IF(AN38&gt;0,0,Project_TotalCost))</f>
        <v>0</v>
      </c>
      <c r="AO51" s="0" t="n">
        <f aca="false">IF(AO38="","",IF(AO38&gt;0,0,Project_TotalCost))</f>
        <v>0</v>
      </c>
      <c r="AP51" s="0" t="n">
        <f aca="false">IF(AP38="","",IF(AP38&gt;0,0,Project_TotalCost))</f>
        <v>0</v>
      </c>
      <c r="AQ51" s="0" t="n">
        <f aca="false">IF(AQ38="","",IF(AQ38&gt;0,0,Project_TotalCost))</f>
        <v>0</v>
      </c>
      <c r="AR51" s="0" t="n">
        <f aca="false">IF(AR38="","",IF(AR38&gt;0,0,Project_TotalCost))</f>
        <v>0</v>
      </c>
      <c r="AS51" s="0" t="n">
        <f aca="false">IF(AS38="","",IF(AS38&gt;0,0,Project_TotalCost))</f>
        <v>0</v>
      </c>
      <c r="AT51" s="0" t="n">
        <f aca="false">IF(AT38="","",IF(AT38&gt;0,0,Project_TotalCost))</f>
        <v>0</v>
      </c>
      <c r="AU51" s="0" t="n">
        <f aca="false">IF(AU38="","",IF(AU38&gt;0,0,Project_TotalCost))</f>
        <v>0</v>
      </c>
      <c r="AV51" s="0" t="n">
        <f aca="false">IF(AV38="","",IF(AV38&gt;0,0,Project_TotalCost))</f>
        <v>0</v>
      </c>
      <c r="AW51" s="0" t="n">
        <f aca="false">IF(AW38="","",IF(AW38&gt;0,0,Project_TotalCost))</f>
        <v>0</v>
      </c>
      <c r="AX51" s="0" t="n">
        <f aca="false">IF(AX38="","",IF(AX38&gt;0,0,Project_TotalCost))</f>
        <v>0</v>
      </c>
      <c r="AY51" s="0" t="n">
        <f aca="false">IF(AY38="","",IF(AY38&gt;0,0,Project_TotalCost))</f>
        <v>0</v>
      </c>
      <c r="AZ51" s="0" t="n">
        <f aca="false">IF(AZ38="","",IF(AZ38&gt;0,0,Project_TotalCost))</f>
        <v>0</v>
      </c>
      <c r="BA51" s="0" t="n">
        <f aca="false">IF(BA38="","",IF(BA38&gt;0,0,Project_TotalCost))</f>
        <v>0</v>
      </c>
      <c r="BB51" s="0" t="n">
        <f aca="false">IF(BB38="","",IF(BB38&gt;0,0,Project_TotalCost))</f>
        <v>0</v>
      </c>
      <c r="BC51" s="0" t="n">
        <f aca="false">IF(BC38="","",IF(BC38&gt;0,0,Project_TotalCost))</f>
        <v>0</v>
      </c>
      <c r="BD51" s="0" t="n">
        <f aca="false">IF(BD38="","",IF(BD38&gt;0,0,Project_TotalCost))</f>
        <v>0</v>
      </c>
      <c r="BE51" s="0" t="n">
        <f aca="false">IF(BE38="","",IF(BE38&gt;0,0,Project_TotalCost))</f>
        <v>0</v>
      </c>
      <c r="BF51" s="0" t="n">
        <f aca="false">IF(BF38="","",IF(BF38&gt;0,0,Project_TotalCost))</f>
        <v>0</v>
      </c>
      <c r="BG51" s="0" t="n">
        <f aca="false">IF(BG38="","",IF(BG38&gt;0,0,Project_TotalCost))</f>
        <v>0</v>
      </c>
      <c r="BH51" s="0" t="n">
        <f aca="false">IF(BH38="","",IF(BH38&gt;0,0,Project_TotalCost))</f>
        <v>0</v>
      </c>
      <c r="BI51" s="0" t="n">
        <f aca="false">IF(BI38="","",IF(BI38&gt;0,0,Project_TotalCost))</f>
        <v>0</v>
      </c>
      <c r="BJ51" s="0" t="n">
        <f aca="false">IF(BJ38="","",IF(BJ38&gt;0,0,Project_TotalCost))</f>
        <v>0</v>
      </c>
      <c r="BK51" s="0" t="n">
        <f aca="false">IF(BK38="","",IF(BK38&gt;0,0,Project_TotalCost))</f>
        <v>0</v>
      </c>
      <c r="BL51" s="0" t="n">
        <f aca="false">IF(BL38="","",IF(BL38&gt;0,0,Project_TotalCost))</f>
        <v>0</v>
      </c>
      <c r="BM51" s="0" t="n">
        <f aca="false">IF(BM38="","",IF(BM38&gt;0,0,Project_TotalCost))</f>
        <v>0</v>
      </c>
      <c r="BN51" s="0" t="n">
        <f aca="false">IF(BN38="","",IF(BN38&gt;0,0,Project_TotalCost))</f>
        <v>0</v>
      </c>
      <c r="BO51" s="0" t="n">
        <f aca="false">IF(BO38="","",IF(BO38&gt;0,0,Project_TotalCost))</f>
        <v>0</v>
      </c>
      <c r="BP51" s="0" t="n">
        <f aca="false">IF(BP38="","",IF(BP38&gt;0,0,Project_TotalCost))</f>
        <v>0</v>
      </c>
      <c r="BQ51" s="0" t="n">
        <f aca="false">IF(BQ38="","",IF(BQ38&gt;0,0,Project_TotalCost))</f>
        <v>0</v>
      </c>
      <c r="BR51" s="0" t="n">
        <f aca="false">IF(BR38="","",IF(BR38&gt;0,0,Project_TotalCost))</f>
        <v>0</v>
      </c>
      <c r="BS51" s="0" t="n">
        <f aca="false">IF(BS38="","",IF(BS38&gt;0,0,Project_TotalCost))</f>
        <v>0</v>
      </c>
      <c r="BT51" s="0" t="n">
        <f aca="false">IF(BT38="","",IF(BT38&gt;0,0,Project_TotalCost))</f>
        <v>0</v>
      </c>
      <c r="BU51" s="0" t="n">
        <f aca="false">IF(BU38="","",IF(BU38&gt;0,0,Project_TotalCost))</f>
        <v>0</v>
      </c>
      <c r="BV51" s="0" t="n">
        <f aca="false">IF(BV38="","",IF(BV38&gt;0,0,Project_TotalCost))</f>
        <v>0</v>
      </c>
      <c r="BW51" s="0" t="n">
        <f aca="false">IF(BW38="","",IF(BW38&gt;0,0,Project_TotalCost))</f>
        <v>0</v>
      </c>
      <c r="BX51" s="0" t="n">
        <f aca="false">IF(BX38="","",IF(BX38&gt;0,0,Project_TotalCost))</f>
        <v>0</v>
      </c>
      <c r="BY51" s="0" t="n">
        <f aca="false">IF(BY38="","",IF(BY38&gt;0,0,Project_TotalCost))</f>
        <v>0</v>
      </c>
      <c r="BZ51" s="0" t="n">
        <f aca="false">IF(BZ38="","",IF(BZ38&gt;0,0,Project_TotalCost))</f>
        <v>0</v>
      </c>
      <c r="CA51" s="0" t="n">
        <f aca="false">IF(CA38="","",IF(CA38&gt;0,0,Project_TotalCost))</f>
        <v>0</v>
      </c>
      <c r="CB51" s="0" t="n">
        <f aca="false">IF(CB38="","",IF(CB38&gt;0,0,Project_TotalCost))</f>
        <v>0</v>
      </c>
      <c r="CC51" s="0" t="n">
        <f aca="false">IF(CC38="","",IF(CC38&gt;0,0,Project_TotalCost))</f>
        <v>0</v>
      </c>
      <c r="CD51" s="0" t="n">
        <f aca="false">IF(CD38="","",IF(CD38&gt;0,0,Project_TotalCost))</f>
        <v>0</v>
      </c>
      <c r="CE51" s="0" t="n">
        <f aca="false">IF(CE38="","",IF(CE38&gt;0,0,Project_TotalCost))</f>
        <v>0</v>
      </c>
      <c r="CF51" s="0" t="n">
        <f aca="false">IF(CF38="","",IF(CF38&gt;0,0,Project_TotalCost))</f>
        <v>0</v>
      </c>
      <c r="CG51" s="0" t="n">
        <f aca="false">IF(CG38="","",IF(CG38&gt;0,0,Project_TotalCost))</f>
        <v>0</v>
      </c>
      <c r="CH51" s="0" t="n">
        <f aca="false">IF(CH38="","",IF(CH38&gt;0,0,Project_TotalCost))</f>
        <v>0</v>
      </c>
      <c r="CI51" s="0" t="n">
        <f aca="false">IF(CI38="","",IF(CI38&gt;0,0,Project_TotalCost))</f>
        <v>0</v>
      </c>
      <c r="CJ51" s="0" t="n">
        <f aca="false">IF(CJ38="","",IF(CJ38&gt;0,0,Project_TotalCost))</f>
        <v>0</v>
      </c>
      <c r="CK51" s="0" t="n">
        <f aca="false">IF(CK38="","",IF(CK38&gt;0,0,Project_TotalCost))</f>
        <v>0</v>
      </c>
      <c r="CL51" s="0" t="n">
        <f aca="false">IF(CL38="","",IF(CL38&gt;0,0,Project_TotalCost))</f>
        <v>0</v>
      </c>
      <c r="CM51" s="0" t="n">
        <f aca="false">IF(CM38="","",IF(CM38&gt;0,0,Project_TotalCost))</f>
        <v>0</v>
      </c>
      <c r="CN51" s="0" t="n">
        <f aca="false">IF(CN38="","",IF(CN38&gt;0,0,Project_TotalCost))</f>
        <v>0</v>
      </c>
      <c r="CO51" s="0" t="n">
        <f aca="false">IF(CO38="","",IF(CO38&gt;0,0,Project_TotalCost))</f>
        <v>0</v>
      </c>
      <c r="CP51" s="0" t="n">
        <f aca="false">IF(CP38="","",IF(CP38&gt;0,0,Project_TotalCost))</f>
        <v>0</v>
      </c>
      <c r="CQ51" s="0" t="n">
        <f aca="false">IF(CQ38="","",IF(CQ38&gt;0,0,Project_TotalCost))</f>
        <v>0</v>
      </c>
      <c r="CR51" s="0" t="n">
        <f aca="false">IF(CR38="","",IF(CR38&gt;0,0,Project_TotalCost))</f>
        <v>0</v>
      </c>
      <c r="CS51" s="0" t="n">
        <f aca="false">IF(CS38="","",IF(CS38&gt;0,0,Project_TotalCost))</f>
        <v>0</v>
      </c>
      <c r="CT51" s="0" t="n">
        <f aca="false">IF(CT38="","",IF(CT38&gt;0,0,Project_TotalCost))</f>
        <v>0</v>
      </c>
      <c r="CU51" s="0" t="n">
        <f aca="false">IF(CU38="","",IF(CU38&gt;0,0,Project_TotalCost))</f>
        <v>0</v>
      </c>
      <c r="CV51" s="0" t="n">
        <f aca="false">IF(CV38="","",IF(CV38&gt;0,0,Project_TotalCost))</f>
        <v>0</v>
      </c>
      <c r="CW51" s="0" t="n">
        <f aca="false">IF(CW38="","",IF(CW38&gt;0,0,Project_TotalCost))</f>
        <v>0</v>
      </c>
      <c r="CX51" s="0" t="n">
        <f aca="false">IF(CX38="","",IF(CX38&gt;0,0,Project_TotalCost))</f>
        <v>0</v>
      </c>
      <c r="CY51" s="0" t="n">
        <f aca="false">IF(CY38="","",IF(CY38&gt;0,0,Project_TotalCost))</f>
        <v>0</v>
      </c>
      <c r="CZ51" s="0" t="n">
        <f aca="false">IF(CZ38="","",IF(CZ38&gt;0,0,Project_TotalCost))</f>
        <v>0</v>
      </c>
      <c r="DA51" s="0" t="n">
        <f aca="false">IF(DA38="","",IF(DA38&gt;0,0,Project_TotalCost))</f>
        <v>0</v>
      </c>
      <c r="DB51" s="0" t="n">
        <f aca="false">IF(DB38="","",IF(DB38&gt;0,0,Project_TotalCost))</f>
        <v>0</v>
      </c>
      <c r="DC51" s="0" t="n">
        <f aca="false">IF(DC38="","",IF(DC38&gt;0,0,Project_TotalCost))</f>
        <v>0</v>
      </c>
      <c r="DD51" s="0" t="n">
        <f aca="false">IF(DD38="","",IF(DD38&gt;0,0,Project_TotalCost))</f>
        <v>0</v>
      </c>
      <c r="DE51" s="0" t="n">
        <f aca="false">IF(DE38="","",IF(DE38&gt;0,0,Project_TotalCost))</f>
        <v>0</v>
      </c>
      <c r="DF51" s="0" t="n">
        <f aca="false">IF(DF38="","",IF(DF38&gt;0,0,Project_TotalCost))</f>
        <v>0</v>
      </c>
      <c r="DG51" s="0" t="n">
        <f aca="false">IF(DG38="","",IF(DG38&gt;0,0,Project_TotalCost))</f>
        <v>0</v>
      </c>
      <c r="DH51" s="0" t="n">
        <f aca="false">IF(DH38="","",IF(DH38&gt;0,0,Project_TotalCost))</f>
        <v>0</v>
      </c>
      <c r="DI51" s="0" t="n">
        <f aca="false">IF(DI38="","",IF(DI38&gt;0,0,Project_TotalCost))</f>
        <v>0</v>
      </c>
      <c r="DJ51" s="0" t="n">
        <f aca="false">IF(DJ38="","",IF(DJ38&gt;0,0,Project_TotalCost))</f>
        <v>0</v>
      </c>
      <c r="DK51" s="0" t="n">
        <f aca="false">IF(DK38="","",IF(DK38&gt;0,0,Project_TotalCost))</f>
        <v>0</v>
      </c>
      <c r="DL51" s="0" t="n">
        <f aca="false">IF(DL38="","",IF(DL38&gt;0,0,Project_TotalCost))</f>
        <v>0</v>
      </c>
      <c r="DM51" s="0" t="n">
        <f aca="false">IF(DM38="","",IF(DM38&gt;0,0,Project_TotalCost))</f>
        <v>0</v>
      </c>
      <c r="DN51" s="0" t="n">
        <f aca="false">IF(DN38="","",IF(DN38&gt;0,0,Project_TotalCost))</f>
        <v>0</v>
      </c>
      <c r="DO51" s="0" t="n">
        <f aca="false">IF(DO38="","",IF(DO38&gt;0,0,Project_TotalCost))</f>
        <v>0</v>
      </c>
      <c r="DP51" s="0" t="n">
        <f aca="false">IF(DP38="","",IF(DP38&gt;0,0,Project_TotalCost))</f>
        <v>0</v>
      </c>
      <c r="DQ51" s="0" t="n">
        <f aca="false">IF(DQ38="","",IF(DQ38&gt;0,0,Project_TotalCost))</f>
        <v>0</v>
      </c>
      <c r="DR51" s="0" t="n">
        <f aca="false">IF(DR38="","",IF(DR38&gt;0,0,Project_TotalCost))</f>
        <v>0</v>
      </c>
      <c r="DS51" s="0" t="n">
        <f aca="false">IF(DS38="","",IF(DS38&gt;0,0,Project_TotalCost))</f>
        <v>0</v>
      </c>
      <c r="DT51" s="0" t="n">
        <f aca="false">IF(DT38="","",IF(DT38&gt;0,0,Project_TotalCost))</f>
        <v>0</v>
      </c>
      <c r="DU51" s="0" t="n">
        <f aca="false">IF(DU38="","",IF(DU38&gt;0,0,Project_TotalCost))</f>
        <v>0</v>
      </c>
      <c r="DV51" s="0" t="n">
        <f aca="false">IF(DV38="","",IF(DV38&gt;0,0,Project_TotalCost))</f>
        <v>0</v>
      </c>
      <c r="DW51" s="0" t="n">
        <f aca="false">IF(DW38="","",IF(DW38&gt;0,0,Project_TotalCost))</f>
        <v>0</v>
      </c>
      <c r="DX51" s="0" t="n">
        <f aca="false">IF(DX38="","",IF(DX38&gt;0,0,Project_TotalCost))</f>
        <v>0</v>
      </c>
      <c r="DY51" s="0" t="n">
        <f aca="false">IF(DY38="","",IF(DY38&gt;0,0,Project_TotalCost))</f>
        <v>0</v>
      </c>
      <c r="DZ51" s="0" t="n">
        <f aca="false">IF(DZ38="","",IF(DZ38&gt;0,0,Project_TotalCost))</f>
        <v>0</v>
      </c>
      <c r="EA51" s="0" t="n">
        <f aca="false">IF(EA38="","",IF(EA38&gt;0,0,Project_TotalCost))</f>
        <v>0</v>
      </c>
      <c r="EB51" s="0" t="n">
        <f aca="false">IF(EB38="","",IF(EB38&gt;0,0,Project_TotalCost))</f>
        <v>0</v>
      </c>
      <c r="EC51" s="0" t="n">
        <f aca="false">IF(EC38="","",IF(EC38&gt;0,0,Project_TotalCost))</f>
        <v>0</v>
      </c>
      <c r="ED51" s="0" t="n">
        <f aca="false">IF(ED38="","",IF(ED38&gt;0,0,Project_TotalCost))</f>
        <v>0</v>
      </c>
      <c r="EE51" s="0" t="n">
        <f aca="false">IF(EE38="","",IF(EE38&gt;0,0,Project_TotalCost))</f>
        <v>0</v>
      </c>
      <c r="EF51" s="0" t="n">
        <f aca="false">IF(EF38="","",IF(EF38&gt;0,0,Project_TotalCost))</f>
        <v>0</v>
      </c>
      <c r="EG51" s="0" t="n">
        <f aca="false">IF(EG38="","",IF(EG38&gt;0,0,Project_TotalCost))</f>
        <v>0</v>
      </c>
      <c r="EH51" s="0" t="n">
        <f aca="false">IF(EH38="","",IF(EH38&gt;0,0,Project_TotalCost))</f>
        <v>0</v>
      </c>
      <c r="EI51" s="0" t="n">
        <f aca="false">IF(EI38="","",IF(EI38&gt;0,0,Project_TotalCost))</f>
        <v>0</v>
      </c>
      <c r="EJ51" s="0" t="n">
        <f aca="false">IF(EJ38="","",IF(EJ38&gt;0,0,Project_TotalCost))</f>
        <v>0</v>
      </c>
      <c r="EK51" s="0" t="n">
        <f aca="false">IF(EK38="","",IF(EK38&gt;0,0,Project_TotalCost))</f>
        <v>0</v>
      </c>
      <c r="EL51" s="0" t="n">
        <f aca="false">IF(EL38="","",IF(EL38&gt;0,0,Project_TotalCost))</f>
        <v>0</v>
      </c>
      <c r="EM51" s="0" t="n">
        <f aca="false">IF(EM38="","",IF(EM38&gt;0,0,Project_TotalCost))</f>
        <v>0</v>
      </c>
      <c r="EN51" s="0" t="n">
        <f aca="false">IF(EN38="","",IF(EN38&gt;0,0,Project_TotalCost))</f>
        <v>0</v>
      </c>
      <c r="EO51" s="0" t="n">
        <f aca="false">IF(EO38="","",IF(EO38&gt;0,0,Project_TotalCost))</f>
        <v>0</v>
      </c>
      <c r="EP51" s="0" t="n">
        <f aca="false">IF(EP38="","",IF(EP38&gt;0,0,Project_TotalCost))</f>
        <v>0</v>
      </c>
      <c r="EQ51" s="0" t="n">
        <f aca="false">IF(EQ38="","",IF(EQ38&gt;0,0,Project_TotalCost))</f>
        <v>0</v>
      </c>
      <c r="ER51" s="0" t="n">
        <f aca="false">IF(ER38="","",IF(ER38&gt;0,0,Project_TotalCost))</f>
        <v>0</v>
      </c>
      <c r="ES51" s="0" t="n">
        <f aca="false">IF(ES38="","",IF(ES38&gt;0,0,Project_TotalCost))</f>
        <v>0</v>
      </c>
      <c r="ET51" s="0" t="n">
        <f aca="false">IF(ET38="","",IF(ET38&gt;0,0,Project_TotalCost))</f>
        <v>0</v>
      </c>
      <c r="EU51" s="0" t="n">
        <f aca="false">IF(EU38="","",IF(EU38&gt;0,0,Project_TotalCost))</f>
        <v>0</v>
      </c>
      <c r="EV51" s="0" t="n">
        <f aca="false">IF(EV38="","",IF(EV38&gt;0,0,Project_TotalCost))</f>
        <v>0</v>
      </c>
      <c r="EW51" s="0" t="n">
        <f aca="false">IF(EW38="","",IF(EW38&gt;0,0,Project_TotalCost))</f>
        <v>0</v>
      </c>
      <c r="EX51" s="0" t="n">
        <f aca="false">IF(EX38="","",IF(EX38&gt;0,0,Project_TotalCost))</f>
        <v>0</v>
      </c>
      <c r="EY51" s="0" t="n">
        <f aca="false">IF(EY38="","",IF(EY38&gt;0,0,Project_TotalCost))</f>
        <v>0</v>
      </c>
      <c r="EZ51" s="0" t="n">
        <f aca="false">IF(EZ38="","",IF(EZ38&gt;0,0,Project_TotalCost))</f>
        <v>0</v>
      </c>
      <c r="FA51" s="0" t="n">
        <f aca="false">IF(FA38="","",IF(FA38&gt;0,0,Project_TotalCost))</f>
        <v>0</v>
      </c>
      <c r="FB51" s="0" t="n">
        <f aca="false">IF(FB38="","",IF(FB38&gt;0,0,Project_TotalCost))</f>
        <v>0</v>
      </c>
      <c r="FC51" s="0" t="n">
        <f aca="false">IF(FC38="","",IF(FC38&gt;0,0,Project_TotalCost))</f>
        <v>0</v>
      </c>
      <c r="FD51" s="0" t="str">
        <f aca="false">IF(FD38="","",IF(FD38&gt;0,0,Project_TotalCost))</f>
        <v/>
      </c>
      <c r="FE51" s="0" t="e">
        <f aca="false">IF(FE38="","",IF(FE38&gt;0,0,Project_TotalCost))</f>
        <v>#VALUE!</v>
      </c>
      <c r="FF51" s="0" t="e">
        <f aca="false">IF(FF38="","",IF(FF38&gt;0,0,Project_TotalCost))</f>
        <v>#VALUE!</v>
      </c>
      <c r="FG51" s="0" t="e">
        <f aca="false">IF(FG38="","",IF(FG38&gt;0,0,Project_TotalCost))</f>
        <v>#VALUE!</v>
      </c>
      <c r="FH51" s="0" t="e">
        <f aca="false">IF(FH38="","",IF(FH38&gt;0,0,Project_TotalCost))</f>
        <v>#VALUE!</v>
      </c>
      <c r="FI51" s="0" t="e">
        <f aca="false">IF(FI38="","",IF(FI38&gt;0,0,Project_TotalCost))</f>
        <v>#VALUE!</v>
      </c>
      <c r="FJ51" s="0" t="e">
        <f aca="false">IF(FJ38="","",IF(FJ38&gt;0,0,Project_TotalCost))</f>
        <v>#VALUE!</v>
      </c>
      <c r="FK51" s="0" t="e">
        <f aca="false">IF(FK38="","",IF(FK38&gt;0,0,Project_TotalCost))</f>
        <v>#VALUE!</v>
      </c>
      <c r="FL51" s="0" t="e">
        <f aca="false">IF(FL38="","",IF(FL38&gt;0,0,Project_TotalCost))</f>
        <v>#VALUE!</v>
      </c>
      <c r="FM51" s="0" t="e">
        <f aca="false">IF(FM38="","",IF(FM38&gt;0,0,Project_TotalCost))</f>
        <v>#VALUE!</v>
      </c>
      <c r="FN51" s="0" t="e">
        <f aca="false">IF(FN38="","",IF(FN38&gt;0,0,Project_TotalCost))</f>
        <v>#VALUE!</v>
      </c>
      <c r="FO51" s="0" t="e">
        <f aca="false">IF(FO38="","",IF(FO38&gt;0,0,Project_TotalCost))</f>
        <v>#VALUE!</v>
      </c>
      <c r="FP51" s="0" t="e">
        <f aca="false">IF(FP38="","",IF(FP38&gt;0,0,Project_TotalCost))</f>
        <v>#VALUE!</v>
      </c>
      <c r="FQ51" s="0" t="e">
        <f aca="false">IF(FQ38="","",IF(FQ38&gt;0,0,Project_TotalCost))</f>
        <v>#VALUE!</v>
      </c>
      <c r="FR51" s="0" t="e">
        <f aca="false">IF(FR38="","",IF(FR38&gt;0,0,Project_TotalCost))</f>
        <v>#VALUE!</v>
      </c>
      <c r="FS51" s="0" t="e">
        <f aca="false">IF(FS38="","",IF(FS38&gt;0,0,Project_TotalCost))</f>
        <v>#VALUE!</v>
      </c>
      <c r="FT51" s="0" t="e">
        <f aca="false">IF(FT38="","",IF(FT38&gt;0,0,Project_TotalCost))</f>
        <v>#VALUE!</v>
      </c>
      <c r="FU51" s="0" t="e">
        <f aca="false">IF(FU38="","",IF(FU38&gt;0,0,Project_TotalCost))</f>
        <v>#VALUE!</v>
      </c>
      <c r="FV51" s="0" t="e">
        <f aca="false">IF(FV38="","",IF(FV38&gt;0,0,Project_TotalCost))</f>
        <v>#VALUE!</v>
      </c>
      <c r="FW51" s="0" t="e">
        <f aca="false">IF(FW38="","",IF(FW38&gt;0,0,Project_TotalCost))</f>
        <v>#VALUE!</v>
      </c>
      <c r="FX51" s="0" t="e">
        <f aca="false">IF(FX38="","",IF(FX38&gt;0,0,Project_TotalCost))</f>
        <v>#VALUE!</v>
      </c>
      <c r="FY51" s="0" t="e">
        <f aca="false">IF(FY38="","",IF(FY38&gt;0,0,Project_TotalCost))</f>
        <v>#VALUE!</v>
      </c>
      <c r="FZ51" s="0" t="e">
        <f aca="false">IF(FZ38="","",IF(FZ38&gt;0,0,Project_TotalCost))</f>
        <v>#VALUE!</v>
      </c>
      <c r="GA51" s="0" t="e">
        <f aca="false">IF(GA38="","",IF(GA38&gt;0,0,Project_TotalCost))</f>
        <v>#VALUE!</v>
      </c>
      <c r="GB51" s="0" t="e">
        <f aca="false">IF(GB38="","",IF(GB38&gt;0,0,Project_TotalCost))</f>
        <v>#VALUE!</v>
      </c>
      <c r="GC51" s="0" t="e">
        <f aca="false">IF(GC38="","",IF(GC38&gt;0,0,Project_TotalCost))</f>
        <v>#VALUE!</v>
      </c>
      <c r="GD51" s="0" t="e">
        <f aca="false">IF(GD38="","",IF(GD38&gt;0,0,Project_TotalCost))</f>
        <v>#VALUE!</v>
      </c>
      <c r="GE51" s="0" t="e">
        <f aca="false">IF(GE38="","",IF(GE38&gt;0,0,Project_TotalCost))</f>
        <v>#VALUE!</v>
      </c>
      <c r="GF51" s="0" t="e">
        <f aca="false">IF(GF38="","",IF(GF38&gt;0,0,Project_TotalCost))</f>
        <v>#VALUE!</v>
      </c>
      <c r="GG51" s="0" t="e">
        <f aca="false">IF(GG38="","",IF(GG38&gt;0,0,Project_TotalCost))</f>
        <v>#VALUE!</v>
      </c>
      <c r="GH51" s="0" t="e">
        <f aca="false">IF(GH38="","",IF(GH38&gt;0,0,Project_TotalCost))</f>
        <v>#VALUE!</v>
      </c>
      <c r="GI51" s="0" t="e">
        <f aca="false">IF(GI38="","",IF(GI38&gt;0,0,Project_TotalCost))</f>
        <v>#VALUE!</v>
      </c>
      <c r="GJ51" s="0" t="e">
        <f aca="false">IF(GJ38="","",IF(GJ38&gt;0,0,Project_TotalCost))</f>
        <v>#VALUE!</v>
      </c>
      <c r="GK51" s="0" t="e">
        <f aca="false">IF(GK38="","",IF(GK38&gt;0,0,Project_TotalCost))</f>
        <v>#VALUE!</v>
      </c>
      <c r="GL51" s="0" t="e">
        <f aca="false">IF(GL38="","",IF(GL38&gt;0,0,Project_TotalCost))</f>
        <v>#VALUE!</v>
      </c>
      <c r="GM51" s="0" t="e">
        <f aca="false">IF(GM38="","",IF(GM38&gt;0,0,Project_TotalCost))</f>
        <v>#VALUE!</v>
      </c>
      <c r="GN51" s="0" t="e">
        <f aca="false">IF(GN38="","",IF(GN38&gt;0,0,Project_TotalCost))</f>
        <v>#VALUE!</v>
      </c>
      <c r="GO51" s="0" t="e">
        <f aca="false">IF(GO38="","",IF(GO38&gt;0,0,Project_TotalCost))</f>
        <v>#VALUE!</v>
      </c>
      <c r="GP51" s="0" t="e">
        <f aca="false">IF(GP38="","",IF(GP38&gt;0,0,Project_TotalCost))</f>
        <v>#VALUE!</v>
      </c>
      <c r="GQ51" s="0" t="e">
        <f aca="false">IF(GQ38="","",IF(GQ38&gt;0,0,Project_TotalCost))</f>
        <v>#VALUE!</v>
      </c>
      <c r="GR51" s="0" t="e">
        <f aca="false">IF(GR38="","",IF(GR38&gt;0,0,Project_TotalCost))</f>
        <v>#VALUE!</v>
      </c>
      <c r="GS51" s="0" t="e">
        <f aca="false">IF(GS38="","",IF(GS38&gt;0,0,Project_TotalCost))</f>
        <v>#VALUE!</v>
      </c>
      <c r="GT51" s="0" t="e">
        <f aca="false">IF(GT38="","",IF(GT38&gt;0,0,Project_TotalCost))</f>
        <v>#VALUE!</v>
      </c>
      <c r="GU51" s="0" t="e">
        <f aca="false">IF(GU38="","",IF(GU38&gt;0,0,Project_TotalCost))</f>
        <v>#VALUE!</v>
      </c>
      <c r="GV51" s="0" t="e">
        <f aca="false">IF(GV38="","",IF(GV38&gt;0,0,Project_TotalCost))</f>
        <v>#VALUE!</v>
      </c>
      <c r="GW51" s="0" t="e">
        <f aca="false">IF(GW38="","",IF(GW38&gt;0,0,Project_TotalCost))</f>
        <v>#VALUE!</v>
      </c>
      <c r="GX51" s="0" t="e">
        <f aca="false">IF(GX38="","",IF(GX38&gt;0,0,Project_TotalCost))</f>
        <v>#VALUE!</v>
      </c>
      <c r="GY51" s="0" t="e">
        <f aca="false">IF(GY38="","",IF(GY38&gt;0,0,Project_TotalCost))</f>
        <v>#VALUE!</v>
      </c>
      <c r="GZ51" s="0" t="e">
        <f aca="false">IF(GZ38="","",IF(GZ38&gt;0,0,Project_TotalCost))</f>
        <v>#VALUE!</v>
      </c>
      <c r="HA51" s="0" t="e">
        <f aca="false">IF(HA38="","",IF(HA38&gt;0,0,Project_TotalCost))</f>
        <v>#VALUE!</v>
      </c>
      <c r="HB51" s="0" t="e">
        <f aca="false">IF(HB38="","",IF(HB38&gt;0,0,Project_TotalCost))</f>
        <v>#VALUE!</v>
      </c>
      <c r="HC51" s="0" t="e">
        <f aca="false">IF(HC38="","",IF(HC38&gt;0,0,Project_TotalCost))</f>
        <v>#VALUE!</v>
      </c>
      <c r="HD51" s="0" t="e">
        <f aca="false">IF(HD38="","",IF(HD38&gt;0,0,Project_TotalCost))</f>
        <v>#VALUE!</v>
      </c>
      <c r="HE51" s="0" t="e">
        <f aca="false">IF(HE38="","",IF(HE38&gt;0,0,Project_TotalCost))</f>
        <v>#VALUE!</v>
      </c>
      <c r="HF51" s="0" t="e">
        <f aca="false">IF(HF38="","",IF(HF38&gt;0,0,Project_TotalCost))</f>
        <v>#VALUE!</v>
      </c>
      <c r="HG51" s="0" t="e">
        <f aca="false">IF(HG38="","",IF(HG38&gt;0,0,Project_TotalCost))</f>
        <v>#VALUE!</v>
      </c>
      <c r="HH51" s="0" t="e">
        <f aca="false">IF(HH38="","",IF(HH38&gt;0,0,Project_TotalCost))</f>
        <v>#VALUE!</v>
      </c>
      <c r="HI51" s="0" t="e">
        <f aca="false">IF(HI38="","",IF(HI38&gt;0,0,Project_TotalCost))</f>
        <v>#VALUE!</v>
      </c>
      <c r="HJ51" s="0" t="e">
        <f aca="false">IF(HJ38="","",IF(HJ38&gt;0,0,Project_TotalCost))</f>
        <v>#VALUE!</v>
      </c>
      <c r="HK51" s="0" t="e">
        <f aca="false">IF(HK38="","",IF(HK38&gt;0,0,Project_TotalCost))</f>
        <v>#VALUE!</v>
      </c>
      <c r="HL51" s="0" t="e">
        <f aca="false">IF(HL38="","",IF(HL38&gt;0,0,Project_TotalCost))</f>
        <v>#VALUE!</v>
      </c>
      <c r="HM51" s="0" t="e">
        <f aca="false">IF(HM38="","",IF(HM38&gt;0,0,Project_TotalCost))</f>
        <v>#VALUE!</v>
      </c>
      <c r="HN51" s="0" t="e">
        <f aca="false">IF(HN38="","",IF(HN38&gt;0,0,Project_TotalCost))</f>
        <v>#VALUE!</v>
      </c>
      <c r="HO51" s="0" t="e">
        <f aca="false">IF(HO38="","",IF(HO38&gt;0,0,Project_TotalCost))</f>
        <v>#VALUE!</v>
      </c>
      <c r="HP51" s="0" t="e">
        <f aca="false">IF(HP38="","",IF(HP38&gt;0,0,Project_TotalCost))</f>
        <v>#VALUE!</v>
      </c>
      <c r="HQ51" s="0" t="e">
        <f aca="false">IF(HQ38="","",IF(HQ38&gt;0,0,Project_TotalCost))</f>
        <v>#VALUE!</v>
      </c>
      <c r="HR51" s="0" t="e">
        <f aca="false">IF(HR38="","",IF(HR38&gt;0,0,Project_TotalCost))</f>
        <v>#VALUE!</v>
      </c>
      <c r="HS51" s="0" t="e">
        <f aca="false">IF(HS38="","",IF(HS38&gt;0,0,Project_TotalCost))</f>
        <v>#VALUE!</v>
      </c>
      <c r="HT51" s="0" t="e">
        <f aca="false">IF(HT38="","",IF(HT38&gt;0,0,Project_TotalCost))</f>
        <v>#VALUE!</v>
      </c>
      <c r="HU51" s="0" t="e">
        <f aca="false">IF(HU38="","",IF(HU38&gt;0,0,Project_TotalCost))</f>
        <v>#VALUE!</v>
      </c>
      <c r="HV51" s="0" t="e">
        <f aca="false">IF(HV38="","",IF(HV38&gt;0,0,Project_TotalCost))</f>
        <v>#VALUE!</v>
      </c>
      <c r="HW51" s="0" t="e">
        <f aca="false">IF(HW38="","",IF(HW38&gt;0,0,Project_TotalCost))</f>
        <v>#VALUE!</v>
      </c>
      <c r="HX51" s="0" t="e">
        <f aca="false">IF(HX38="","",IF(HX38&gt;0,0,Project_TotalCost))</f>
        <v>#VALUE!</v>
      </c>
      <c r="HY51" s="0" t="e">
        <f aca="false">IF(HY38="","",IF(HY38&gt;0,0,Project_TotalCost))</f>
        <v>#VALUE!</v>
      </c>
      <c r="HZ51" s="0" t="e">
        <f aca="false">IF(HZ38="","",IF(HZ38&gt;0,0,Project_TotalCost))</f>
        <v>#VALUE!</v>
      </c>
      <c r="IA51" s="0" t="e">
        <f aca="false">IF(IA38="","",IF(IA38&gt;0,0,Project_TotalCost))</f>
        <v>#VALUE!</v>
      </c>
      <c r="IB51" s="0" t="e">
        <f aca="false">IF(IB38="","",IF(IB38&gt;0,0,Project_TotalCost))</f>
        <v>#VALUE!</v>
      </c>
      <c r="IC51" s="0" t="e">
        <f aca="false">IF(IC38="","",IF(IC38&gt;0,0,Project_TotalCost))</f>
        <v>#VALUE!</v>
      </c>
      <c r="ID51" s="0" t="e">
        <f aca="false">IF(ID38="","",IF(ID38&gt;0,0,Project_TotalCost))</f>
        <v>#VALUE!</v>
      </c>
      <c r="IE51" s="0" t="e">
        <f aca="false">IF(IE38="","",IF(IE38&gt;0,0,Project_TotalCost))</f>
        <v>#VALUE!</v>
      </c>
      <c r="IF51" s="0" t="e">
        <f aca="false">IF(IF38="","",IF(IF38&gt;0,0,Project_TotalCost))</f>
        <v>#VALUE!</v>
      </c>
      <c r="IG51" s="0" t="e">
        <f aca="false">IF(IG38="","",IF(IG38&gt;0,0,Project_TotalCost))</f>
        <v>#VALUE!</v>
      </c>
      <c r="IH51" s="0" t="e">
        <f aca="false">IF(IH38="","",IF(IH38&gt;0,0,Project_TotalCost))</f>
        <v>#VALUE!</v>
      </c>
      <c r="II51" s="0" t="e">
        <f aca="false">IF(II38="","",IF(II38&gt;0,0,Project_TotalCost))</f>
        <v>#VALUE!</v>
      </c>
    </row>
    <row r="52" customFormat="false" ht="15" hidden="false" customHeight="false" outlineLevel="0" collapsed="false">
      <c r="B52" s="0" t="s">
        <v>115</v>
      </c>
      <c r="C52" s="0" t="n">
        <f aca="false">IF(C38="","",IF(C38=0,Debt_Amount,0))</f>
        <v>4851166.66666667</v>
      </c>
      <c r="D52" s="0" t="n">
        <f aca="false">IF(D38="","",IF(D38=0,Debt_Amount,0))</f>
        <v>0</v>
      </c>
      <c r="E52" s="0" t="n">
        <f aca="false">IF(E38="","",IF(E38=0,Debt_Amount,0))</f>
        <v>0</v>
      </c>
      <c r="F52" s="0" t="n">
        <f aca="false">IF(F38="","",IF(F38=0,Debt_Amount,0))</f>
        <v>0</v>
      </c>
      <c r="G52" s="0" t="n">
        <f aca="false">IF(G38="","",IF(G38=0,Debt_Amount,0))</f>
        <v>0</v>
      </c>
      <c r="H52" s="0" t="n">
        <f aca="false">IF(H38="","",IF(H38=0,Debt_Amount,0))</f>
        <v>0</v>
      </c>
      <c r="I52" s="0" t="n">
        <f aca="false">IF(I38="","",IF(I38=0,Debt_Amount,0))</f>
        <v>0</v>
      </c>
      <c r="J52" s="0" t="n">
        <f aca="false">IF(J38="","",IF(J38=0,Debt_Amount,0))</f>
        <v>0</v>
      </c>
      <c r="K52" s="0" t="n">
        <f aca="false">IF(K38="","",IF(K38=0,Debt_Amount,0))</f>
        <v>0</v>
      </c>
      <c r="L52" s="0" t="n">
        <f aca="false">IF(L38="","",IF(L38=0,Debt_Amount,0))</f>
        <v>0</v>
      </c>
      <c r="M52" s="0" t="n">
        <f aca="false">IF(M38="","",IF(M38=0,Debt_Amount,0))</f>
        <v>0</v>
      </c>
      <c r="N52" s="0" t="n">
        <f aca="false">IF(N38="","",IF(N38=0,Debt_Amount,0))</f>
        <v>0</v>
      </c>
      <c r="O52" s="0" t="n">
        <f aca="false">IF(O38="","",IF(O38=0,Debt_Amount,0))</f>
        <v>0</v>
      </c>
      <c r="P52" s="0" t="n">
        <f aca="false">IF(P38="","",IF(P38=0,Debt_Amount,0))</f>
        <v>0</v>
      </c>
      <c r="Q52" s="0" t="n">
        <f aca="false">IF(Q38="","",IF(Q38=0,Debt_Amount,0))</f>
        <v>0</v>
      </c>
      <c r="R52" s="0" t="n">
        <f aca="false">IF(R38="","",IF(R38=0,Debt_Amount,0))</f>
        <v>0</v>
      </c>
      <c r="S52" s="0" t="n">
        <f aca="false">IF(S38="","",IF(S38=0,Debt_Amount,0))</f>
        <v>0</v>
      </c>
      <c r="T52" s="0" t="n">
        <f aca="false">IF(T38="","",IF(T38=0,Debt_Amount,0))</f>
        <v>0</v>
      </c>
      <c r="U52" s="0" t="n">
        <f aca="false">IF(U38="","",IF(U38=0,Debt_Amount,0))</f>
        <v>0</v>
      </c>
      <c r="V52" s="0" t="n">
        <f aca="false">IF(V38="","",IF(V38=0,Debt_Amount,0))</f>
        <v>0</v>
      </c>
      <c r="W52" s="0" t="n">
        <f aca="false">IF(W38="","",IF(W38=0,Debt_Amount,0))</f>
        <v>0</v>
      </c>
      <c r="X52" s="0" t="n">
        <f aca="false">IF(X38="","",IF(X38=0,Debt_Amount,0))</f>
        <v>0</v>
      </c>
      <c r="Y52" s="0" t="n">
        <f aca="false">IF(Y38="","",IF(Y38=0,Debt_Amount,0))</f>
        <v>0</v>
      </c>
      <c r="Z52" s="0" t="n">
        <f aca="false">IF(Z38="","",IF(Z38=0,Debt_Amount,0))</f>
        <v>0</v>
      </c>
      <c r="AA52" s="0" t="n">
        <f aca="false">IF(AA38="","",IF(AA38=0,Debt_Amount,0))</f>
        <v>0</v>
      </c>
      <c r="AB52" s="0" t="n">
        <f aca="false">IF(AB38="","",IF(AB38=0,Debt_Amount,0))</f>
        <v>0</v>
      </c>
      <c r="AC52" s="0" t="n">
        <f aca="false">IF(AC38="","",IF(AC38=0,Debt_Amount,0))</f>
        <v>0</v>
      </c>
      <c r="AD52" s="0" t="n">
        <f aca="false">IF(AD38="","",IF(AD38=0,Debt_Amount,0))</f>
        <v>0</v>
      </c>
      <c r="AE52" s="0" t="n">
        <f aca="false">IF(AE38="","",IF(AE38=0,Debt_Amount,0))</f>
        <v>0</v>
      </c>
      <c r="AF52" s="0" t="n">
        <f aca="false">IF(AF38="","",IF(AF38=0,Debt_Amount,0))</f>
        <v>0</v>
      </c>
      <c r="AG52" s="0" t="n">
        <f aca="false">IF(AG38="","",IF(AG38=0,Debt_Amount,0))</f>
        <v>0</v>
      </c>
      <c r="AH52" s="0" t="n">
        <f aca="false">IF(AH38="","",IF(AH38=0,Debt_Amount,0))</f>
        <v>0</v>
      </c>
      <c r="AI52" s="0" t="n">
        <f aca="false">IF(AI38="","",IF(AI38=0,Debt_Amount,0))</f>
        <v>0</v>
      </c>
      <c r="AJ52" s="0" t="n">
        <f aca="false">IF(AJ38="","",IF(AJ38=0,Debt_Amount,0))</f>
        <v>0</v>
      </c>
      <c r="AK52" s="0" t="n">
        <f aca="false">IF(AK38="","",IF(AK38=0,Debt_Amount,0))</f>
        <v>0</v>
      </c>
      <c r="AL52" s="0" t="n">
        <f aca="false">IF(AL38="","",IF(AL38=0,Debt_Amount,0))</f>
        <v>0</v>
      </c>
      <c r="AM52" s="0" t="n">
        <f aca="false">IF(AM38="","",IF(AM38=0,Debt_Amount,0))</f>
        <v>0</v>
      </c>
      <c r="AN52" s="0" t="n">
        <f aca="false">IF(AN38="","",IF(AN38=0,Debt_Amount,0))</f>
        <v>0</v>
      </c>
      <c r="AO52" s="0" t="n">
        <f aca="false">IF(AO38="","",IF(AO38=0,Debt_Amount,0))</f>
        <v>0</v>
      </c>
      <c r="AP52" s="0" t="n">
        <f aca="false">IF(AP38="","",IF(AP38=0,Debt_Amount,0))</f>
        <v>0</v>
      </c>
      <c r="AQ52" s="0" t="n">
        <f aca="false">IF(AQ38="","",IF(AQ38=0,Debt_Amount,0))</f>
        <v>0</v>
      </c>
      <c r="AR52" s="0" t="n">
        <f aca="false">IF(AR38="","",IF(AR38=0,Debt_Amount,0))</f>
        <v>0</v>
      </c>
      <c r="AS52" s="0" t="n">
        <f aca="false">IF(AS38="","",IF(AS38=0,Debt_Amount,0))</f>
        <v>0</v>
      </c>
      <c r="AT52" s="0" t="n">
        <f aca="false">IF(AT38="","",IF(AT38=0,Debt_Amount,0))</f>
        <v>0</v>
      </c>
      <c r="AU52" s="0" t="n">
        <f aca="false">IF(AU38="","",IF(AU38=0,Debt_Amount,0))</f>
        <v>0</v>
      </c>
      <c r="AV52" s="0" t="n">
        <f aca="false">IF(AV38="","",IF(AV38=0,Debt_Amount,0))</f>
        <v>0</v>
      </c>
      <c r="AW52" s="0" t="n">
        <f aca="false">IF(AW38="","",IF(AW38=0,Debt_Amount,0))</f>
        <v>0</v>
      </c>
      <c r="AX52" s="0" t="n">
        <f aca="false">IF(AX38="","",IF(AX38=0,Debt_Amount,0))</f>
        <v>0</v>
      </c>
      <c r="AY52" s="0" t="n">
        <f aca="false">IF(AY38="","",IF(AY38=0,Debt_Amount,0))</f>
        <v>0</v>
      </c>
      <c r="AZ52" s="0" t="n">
        <f aca="false">IF(AZ38="","",IF(AZ38=0,Debt_Amount,0))</f>
        <v>0</v>
      </c>
      <c r="BA52" s="0" t="n">
        <f aca="false">IF(BA38="","",IF(BA38=0,Debt_Amount,0))</f>
        <v>0</v>
      </c>
      <c r="BB52" s="0" t="n">
        <f aca="false">IF(BB38="","",IF(BB38=0,Debt_Amount,0))</f>
        <v>0</v>
      </c>
      <c r="BC52" s="0" t="n">
        <f aca="false">IF(BC38="","",IF(BC38=0,Debt_Amount,0))</f>
        <v>0</v>
      </c>
      <c r="BD52" s="0" t="n">
        <f aca="false">IF(BD38="","",IF(BD38=0,Debt_Amount,0))</f>
        <v>0</v>
      </c>
      <c r="BE52" s="0" t="n">
        <f aca="false">IF(BE38="","",IF(BE38=0,Debt_Amount,0))</f>
        <v>0</v>
      </c>
      <c r="BF52" s="0" t="n">
        <f aca="false">IF(BF38="","",IF(BF38=0,Debt_Amount,0))</f>
        <v>0</v>
      </c>
      <c r="BG52" s="0" t="n">
        <f aca="false">IF(BG38="","",IF(BG38=0,Debt_Amount,0))</f>
        <v>0</v>
      </c>
      <c r="BH52" s="0" t="n">
        <f aca="false">IF(BH38="","",IF(BH38=0,Debt_Amount,0))</f>
        <v>0</v>
      </c>
      <c r="BI52" s="0" t="n">
        <f aca="false">IF(BI38="","",IF(BI38=0,Debt_Amount,0))</f>
        <v>0</v>
      </c>
      <c r="BJ52" s="0" t="n">
        <f aca="false">IF(BJ38="","",IF(BJ38=0,Debt_Amount,0))</f>
        <v>0</v>
      </c>
      <c r="BK52" s="0" t="n">
        <f aca="false">IF(BK38="","",IF(BK38=0,Debt_Amount,0))</f>
        <v>0</v>
      </c>
      <c r="BL52" s="0" t="n">
        <f aca="false">IF(BL38="","",IF(BL38=0,Debt_Amount,0))</f>
        <v>0</v>
      </c>
      <c r="BM52" s="0" t="n">
        <f aca="false">IF(BM38="","",IF(BM38=0,Debt_Amount,0))</f>
        <v>0</v>
      </c>
      <c r="BN52" s="0" t="n">
        <f aca="false">IF(BN38="","",IF(BN38=0,Debt_Amount,0))</f>
        <v>0</v>
      </c>
      <c r="BO52" s="0" t="n">
        <f aca="false">IF(BO38="","",IF(BO38=0,Debt_Amount,0))</f>
        <v>0</v>
      </c>
      <c r="BP52" s="0" t="n">
        <f aca="false">IF(BP38="","",IF(BP38=0,Debt_Amount,0))</f>
        <v>0</v>
      </c>
      <c r="BQ52" s="0" t="n">
        <f aca="false">IF(BQ38="","",IF(BQ38=0,Debt_Amount,0))</f>
        <v>0</v>
      </c>
      <c r="BR52" s="0" t="n">
        <f aca="false">IF(BR38="","",IF(BR38=0,Debt_Amount,0))</f>
        <v>0</v>
      </c>
      <c r="BS52" s="0" t="n">
        <f aca="false">IF(BS38="","",IF(BS38=0,Debt_Amount,0))</f>
        <v>0</v>
      </c>
      <c r="BT52" s="0" t="n">
        <f aca="false">IF(BT38="","",IF(BT38=0,Debt_Amount,0))</f>
        <v>0</v>
      </c>
      <c r="BU52" s="0" t="n">
        <f aca="false">IF(BU38="","",IF(BU38=0,Debt_Amount,0))</f>
        <v>0</v>
      </c>
      <c r="BV52" s="0" t="n">
        <f aca="false">IF(BV38="","",IF(BV38=0,Debt_Amount,0))</f>
        <v>0</v>
      </c>
      <c r="BW52" s="0" t="n">
        <f aca="false">IF(BW38="","",IF(BW38=0,Debt_Amount,0))</f>
        <v>0</v>
      </c>
      <c r="BX52" s="0" t="n">
        <f aca="false">IF(BX38="","",IF(BX38=0,Debt_Amount,0))</f>
        <v>0</v>
      </c>
      <c r="BY52" s="0" t="n">
        <f aca="false">IF(BY38="","",IF(BY38=0,Debt_Amount,0))</f>
        <v>0</v>
      </c>
      <c r="BZ52" s="0" t="n">
        <f aca="false">IF(BZ38="","",IF(BZ38=0,Debt_Amount,0))</f>
        <v>0</v>
      </c>
      <c r="CA52" s="0" t="n">
        <f aca="false">IF(CA38="","",IF(CA38=0,Debt_Amount,0))</f>
        <v>0</v>
      </c>
      <c r="CB52" s="0" t="n">
        <f aca="false">IF(CB38="","",IF(CB38=0,Debt_Amount,0))</f>
        <v>0</v>
      </c>
      <c r="CC52" s="0" t="n">
        <f aca="false">IF(CC38="","",IF(CC38=0,Debt_Amount,0))</f>
        <v>0</v>
      </c>
      <c r="CD52" s="0" t="n">
        <f aca="false">IF(CD38="","",IF(CD38=0,Debt_Amount,0))</f>
        <v>0</v>
      </c>
      <c r="CE52" s="0" t="n">
        <f aca="false">IF(CE38="","",IF(CE38=0,Debt_Amount,0))</f>
        <v>0</v>
      </c>
      <c r="CF52" s="0" t="n">
        <f aca="false">IF(CF38="","",IF(CF38=0,Debt_Amount,0))</f>
        <v>0</v>
      </c>
      <c r="CG52" s="0" t="n">
        <f aca="false">IF(CG38="","",IF(CG38=0,Debt_Amount,0))</f>
        <v>0</v>
      </c>
      <c r="CH52" s="0" t="n">
        <f aca="false">IF(CH38="","",IF(CH38=0,Debt_Amount,0))</f>
        <v>0</v>
      </c>
      <c r="CI52" s="0" t="n">
        <f aca="false">IF(CI38="","",IF(CI38=0,Debt_Amount,0))</f>
        <v>0</v>
      </c>
      <c r="CJ52" s="0" t="n">
        <f aca="false">IF(CJ38="","",IF(CJ38=0,Debt_Amount,0))</f>
        <v>0</v>
      </c>
      <c r="CK52" s="0" t="n">
        <f aca="false">IF(CK38="","",IF(CK38=0,Debt_Amount,0))</f>
        <v>0</v>
      </c>
      <c r="CL52" s="0" t="n">
        <f aca="false">IF(CL38="","",IF(CL38=0,Debt_Amount,0))</f>
        <v>0</v>
      </c>
      <c r="CM52" s="0" t="n">
        <f aca="false">IF(CM38="","",IF(CM38=0,Debt_Amount,0))</f>
        <v>0</v>
      </c>
      <c r="CN52" s="0" t="n">
        <f aca="false">IF(CN38="","",IF(CN38=0,Debt_Amount,0))</f>
        <v>0</v>
      </c>
      <c r="CO52" s="0" t="n">
        <f aca="false">IF(CO38="","",IF(CO38=0,Debt_Amount,0))</f>
        <v>0</v>
      </c>
      <c r="CP52" s="0" t="n">
        <f aca="false">IF(CP38="","",IF(CP38=0,Debt_Amount,0))</f>
        <v>0</v>
      </c>
      <c r="CQ52" s="0" t="n">
        <f aca="false">IF(CQ38="","",IF(CQ38=0,Debt_Amount,0))</f>
        <v>0</v>
      </c>
      <c r="CR52" s="0" t="n">
        <f aca="false">IF(CR38="","",IF(CR38=0,Debt_Amount,0))</f>
        <v>0</v>
      </c>
      <c r="CS52" s="0" t="n">
        <f aca="false">IF(CS38="","",IF(CS38=0,Debt_Amount,0))</f>
        <v>0</v>
      </c>
      <c r="CT52" s="0" t="n">
        <f aca="false">IF(CT38="","",IF(CT38=0,Debt_Amount,0))</f>
        <v>0</v>
      </c>
      <c r="CU52" s="0" t="n">
        <f aca="false">IF(CU38="","",IF(CU38=0,Debt_Amount,0))</f>
        <v>0</v>
      </c>
      <c r="CV52" s="0" t="n">
        <f aca="false">IF(CV38="","",IF(CV38=0,Debt_Amount,0))</f>
        <v>0</v>
      </c>
      <c r="CW52" s="0" t="n">
        <f aca="false">IF(CW38="","",IF(CW38=0,Debt_Amount,0))</f>
        <v>0</v>
      </c>
      <c r="CX52" s="0" t="n">
        <f aca="false">IF(CX38="","",IF(CX38=0,Debt_Amount,0))</f>
        <v>0</v>
      </c>
      <c r="CY52" s="0" t="n">
        <f aca="false">IF(CY38="","",IF(CY38=0,Debt_Amount,0))</f>
        <v>0</v>
      </c>
      <c r="CZ52" s="0" t="n">
        <f aca="false">IF(CZ38="","",IF(CZ38=0,Debt_Amount,0))</f>
        <v>0</v>
      </c>
      <c r="DA52" s="0" t="n">
        <f aca="false">IF(DA38="","",IF(DA38=0,Debt_Amount,0))</f>
        <v>0</v>
      </c>
      <c r="DB52" s="0" t="n">
        <f aca="false">IF(DB38="","",IF(DB38=0,Debt_Amount,0))</f>
        <v>0</v>
      </c>
      <c r="DC52" s="0" t="n">
        <f aca="false">IF(DC38="","",IF(DC38=0,Debt_Amount,0))</f>
        <v>0</v>
      </c>
      <c r="DD52" s="0" t="n">
        <f aca="false">IF(DD38="","",IF(DD38=0,Debt_Amount,0))</f>
        <v>0</v>
      </c>
      <c r="DE52" s="0" t="n">
        <f aca="false">IF(DE38="","",IF(DE38=0,Debt_Amount,0))</f>
        <v>0</v>
      </c>
      <c r="DF52" s="0" t="n">
        <f aca="false">IF(DF38="","",IF(DF38=0,Debt_Amount,0))</f>
        <v>0</v>
      </c>
      <c r="DG52" s="0" t="n">
        <f aca="false">IF(DG38="","",IF(DG38=0,Debt_Amount,0))</f>
        <v>0</v>
      </c>
      <c r="DH52" s="0" t="n">
        <f aca="false">IF(DH38="","",IF(DH38=0,Debt_Amount,0))</f>
        <v>0</v>
      </c>
      <c r="DI52" s="0" t="n">
        <f aca="false">IF(DI38="","",IF(DI38=0,Debt_Amount,0))</f>
        <v>0</v>
      </c>
      <c r="DJ52" s="0" t="n">
        <f aca="false">IF(DJ38="","",IF(DJ38=0,Debt_Amount,0))</f>
        <v>0</v>
      </c>
      <c r="DK52" s="0" t="n">
        <f aca="false">IF(DK38="","",IF(DK38=0,Debt_Amount,0))</f>
        <v>0</v>
      </c>
      <c r="DL52" s="0" t="n">
        <f aca="false">IF(DL38="","",IF(DL38=0,Debt_Amount,0))</f>
        <v>0</v>
      </c>
      <c r="DM52" s="0" t="n">
        <f aca="false">IF(DM38="","",IF(DM38=0,Debt_Amount,0))</f>
        <v>0</v>
      </c>
      <c r="DN52" s="0" t="n">
        <f aca="false">IF(DN38="","",IF(DN38=0,Debt_Amount,0))</f>
        <v>0</v>
      </c>
      <c r="DO52" s="0" t="n">
        <f aca="false">IF(DO38="","",IF(DO38=0,Debt_Amount,0))</f>
        <v>0</v>
      </c>
      <c r="DP52" s="0" t="n">
        <f aca="false">IF(DP38="","",IF(DP38=0,Debt_Amount,0))</f>
        <v>0</v>
      </c>
      <c r="DQ52" s="0" t="n">
        <f aca="false">IF(DQ38="","",IF(DQ38=0,Debt_Amount,0))</f>
        <v>0</v>
      </c>
      <c r="DR52" s="0" t="n">
        <f aca="false">IF(DR38="","",IF(DR38=0,Debt_Amount,0))</f>
        <v>0</v>
      </c>
      <c r="DS52" s="0" t="n">
        <f aca="false">IF(DS38="","",IF(DS38=0,Debt_Amount,0))</f>
        <v>0</v>
      </c>
      <c r="DT52" s="0" t="n">
        <f aca="false">IF(DT38="","",IF(DT38=0,Debt_Amount,0))</f>
        <v>0</v>
      </c>
      <c r="DU52" s="0" t="n">
        <f aca="false">IF(DU38="","",IF(DU38=0,Debt_Amount,0))</f>
        <v>0</v>
      </c>
      <c r="DV52" s="0" t="n">
        <f aca="false">IF(DV38="","",IF(DV38=0,Debt_Amount,0))</f>
        <v>0</v>
      </c>
      <c r="DW52" s="0" t="n">
        <f aca="false">IF(DW38="","",IF(DW38=0,Debt_Amount,0))</f>
        <v>0</v>
      </c>
      <c r="DX52" s="0" t="n">
        <f aca="false">IF(DX38="","",IF(DX38=0,Debt_Amount,0))</f>
        <v>0</v>
      </c>
      <c r="DY52" s="0" t="n">
        <f aca="false">IF(DY38="","",IF(DY38=0,Debt_Amount,0))</f>
        <v>0</v>
      </c>
      <c r="DZ52" s="0" t="n">
        <f aca="false">IF(DZ38="","",IF(DZ38=0,Debt_Amount,0))</f>
        <v>0</v>
      </c>
      <c r="EA52" s="0" t="n">
        <f aca="false">IF(EA38="","",IF(EA38=0,Debt_Amount,0))</f>
        <v>0</v>
      </c>
      <c r="EB52" s="0" t="n">
        <f aca="false">IF(EB38="","",IF(EB38=0,Debt_Amount,0))</f>
        <v>0</v>
      </c>
      <c r="EC52" s="0" t="n">
        <f aca="false">IF(EC38="","",IF(EC38=0,Debt_Amount,0))</f>
        <v>0</v>
      </c>
      <c r="ED52" s="0" t="n">
        <f aca="false">IF(ED38="","",IF(ED38=0,Debt_Amount,0))</f>
        <v>0</v>
      </c>
      <c r="EE52" s="0" t="n">
        <f aca="false">IF(EE38="","",IF(EE38=0,Debt_Amount,0))</f>
        <v>0</v>
      </c>
      <c r="EF52" s="0" t="n">
        <f aca="false">IF(EF38="","",IF(EF38=0,Debt_Amount,0))</f>
        <v>0</v>
      </c>
      <c r="EG52" s="0" t="n">
        <f aca="false">IF(EG38="","",IF(EG38=0,Debt_Amount,0))</f>
        <v>0</v>
      </c>
      <c r="EH52" s="0" t="n">
        <f aca="false">IF(EH38="","",IF(EH38=0,Debt_Amount,0))</f>
        <v>0</v>
      </c>
      <c r="EI52" s="0" t="n">
        <f aca="false">IF(EI38="","",IF(EI38=0,Debt_Amount,0))</f>
        <v>0</v>
      </c>
      <c r="EJ52" s="0" t="n">
        <f aca="false">IF(EJ38="","",IF(EJ38=0,Debt_Amount,0))</f>
        <v>0</v>
      </c>
      <c r="EK52" s="0" t="n">
        <f aca="false">IF(EK38="","",IF(EK38=0,Debt_Amount,0))</f>
        <v>0</v>
      </c>
      <c r="EL52" s="0" t="n">
        <f aca="false">IF(EL38="","",IF(EL38=0,Debt_Amount,0))</f>
        <v>0</v>
      </c>
      <c r="EM52" s="0" t="n">
        <f aca="false">IF(EM38="","",IF(EM38=0,Debt_Amount,0))</f>
        <v>0</v>
      </c>
      <c r="EN52" s="0" t="n">
        <f aca="false">IF(EN38="","",IF(EN38=0,Debt_Amount,0))</f>
        <v>0</v>
      </c>
      <c r="EO52" s="0" t="n">
        <f aca="false">IF(EO38="","",IF(EO38=0,Debt_Amount,0))</f>
        <v>0</v>
      </c>
      <c r="EP52" s="0" t="n">
        <f aca="false">IF(EP38="","",IF(EP38=0,Debt_Amount,0))</f>
        <v>0</v>
      </c>
      <c r="EQ52" s="0" t="n">
        <f aca="false">IF(EQ38="","",IF(EQ38=0,Debt_Amount,0))</f>
        <v>0</v>
      </c>
      <c r="ER52" s="0" t="n">
        <f aca="false">IF(ER38="","",IF(ER38=0,Debt_Amount,0))</f>
        <v>0</v>
      </c>
      <c r="ES52" s="0" t="n">
        <f aca="false">IF(ES38="","",IF(ES38=0,Debt_Amount,0))</f>
        <v>0</v>
      </c>
      <c r="ET52" s="0" t="n">
        <f aca="false">IF(ET38="","",IF(ET38=0,Debt_Amount,0))</f>
        <v>0</v>
      </c>
      <c r="EU52" s="0" t="n">
        <f aca="false">IF(EU38="","",IF(EU38=0,Debt_Amount,0))</f>
        <v>0</v>
      </c>
      <c r="EV52" s="0" t="n">
        <f aca="false">IF(EV38="","",IF(EV38=0,Debt_Amount,0))</f>
        <v>0</v>
      </c>
      <c r="EW52" s="0" t="n">
        <f aca="false">IF(EW38="","",IF(EW38=0,Debt_Amount,0))</f>
        <v>0</v>
      </c>
      <c r="EX52" s="0" t="n">
        <f aca="false">IF(EX38="","",IF(EX38=0,Debt_Amount,0))</f>
        <v>0</v>
      </c>
      <c r="EY52" s="0" t="n">
        <f aca="false">IF(EY38="","",IF(EY38=0,Debt_Amount,0))</f>
        <v>0</v>
      </c>
      <c r="EZ52" s="0" t="n">
        <f aca="false">IF(EZ38="","",IF(EZ38=0,Debt_Amount,0))</f>
        <v>0</v>
      </c>
      <c r="FA52" s="0" t="n">
        <f aca="false">IF(FA38="","",IF(FA38=0,Debt_Amount,0))</f>
        <v>0</v>
      </c>
      <c r="FB52" s="0" t="n">
        <f aca="false">IF(FB38="","",IF(FB38=0,Debt_Amount,0))</f>
        <v>0</v>
      </c>
      <c r="FC52" s="0" t="n">
        <f aca="false">IF(FC38="","",IF(FC38=0,Debt_Amount,0))</f>
        <v>0</v>
      </c>
      <c r="FD52" s="0" t="str">
        <f aca="false">IF(FD38="","",IF(FD38=0,Debt_Amount,0))</f>
        <v/>
      </c>
      <c r="FE52" s="0" t="e">
        <f aca="false">IF(FE38="","",IF(FE38=0,Debt_Amount,0))</f>
        <v>#VALUE!</v>
      </c>
      <c r="FF52" s="0" t="e">
        <f aca="false">IF(FF38="","",IF(FF38=0,Debt_Amount,0))</f>
        <v>#VALUE!</v>
      </c>
      <c r="FG52" s="0" t="e">
        <f aca="false">IF(FG38="","",IF(FG38=0,Debt_Amount,0))</f>
        <v>#VALUE!</v>
      </c>
      <c r="FH52" s="0" t="e">
        <f aca="false">IF(FH38="","",IF(FH38=0,Debt_Amount,0))</f>
        <v>#VALUE!</v>
      </c>
      <c r="FI52" s="0" t="e">
        <f aca="false">IF(FI38="","",IF(FI38=0,Debt_Amount,0))</f>
        <v>#VALUE!</v>
      </c>
      <c r="FJ52" s="0" t="e">
        <f aca="false">IF(FJ38="","",IF(FJ38=0,Debt_Amount,0))</f>
        <v>#VALUE!</v>
      </c>
      <c r="FK52" s="0" t="e">
        <f aca="false">IF(FK38="","",IF(FK38=0,Debt_Amount,0))</f>
        <v>#VALUE!</v>
      </c>
      <c r="FL52" s="0" t="e">
        <f aca="false">IF(FL38="","",IF(FL38=0,Debt_Amount,0))</f>
        <v>#VALUE!</v>
      </c>
      <c r="FM52" s="0" t="e">
        <f aca="false">IF(FM38="","",IF(FM38=0,Debt_Amount,0))</f>
        <v>#VALUE!</v>
      </c>
      <c r="FN52" s="0" t="e">
        <f aca="false">IF(FN38="","",IF(FN38=0,Debt_Amount,0))</f>
        <v>#VALUE!</v>
      </c>
      <c r="FO52" s="0" t="e">
        <f aca="false">IF(FO38="","",IF(FO38=0,Debt_Amount,0))</f>
        <v>#VALUE!</v>
      </c>
      <c r="FP52" s="0" t="e">
        <f aca="false">IF(FP38="","",IF(FP38=0,Debt_Amount,0))</f>
        <v>#VALUE!</v>
      </c>
      <c r="FQ52" s="0" t="e">
        <f aca="false">IF(FQ38="","",IF(FQ38=0,Debt_Amount,0))</f>
        <v>#VALUE!</v>
      </c>
      <c r="FR52" s="0" t="e">
        <f aca="false">IF(FR38="","",IF(FR38=0,Debt_Amount,0))</f>
        <v>#VALUE!</v>
      </c>
      <c r="FS52" s="0" t="e">
        <f aca="false">IF(FS38="","",IF(FS38=0,Debt_Amount,0))</f>
        <v>#VALUE!</v>
      </c>
      <c r="FT52" s="0" t="e">
        <f aca="false">IF(FT38="","",IF(FT38=0,Debt_Amount,0))</f>
        <v>#VALUE!</v>
      </c>
      <c r="FU52" s="0" t="e">
        <f aca="false">IF(FU38="","",IF(FU38=0,Debt_Amount,0))</f>
        <v>#VALUE!</v>
      </c>
      <c r="FV52" s="0" t="e">
        <f aca="false">IF(FV38="","",IF(FV38=0,Debt_Amount,0))</f>
        <v>#VALUE!</v>
      </c>
      <c r="FW52" s="0" t="e">
        <f aca="false">IF(FW38="","",IF(FW38=0,Debt_Amount,0))</f>
        <v>#VALUE!</v>
      </c>
      <c r="FX52" s="0" t="e">
        <f aca="false">IF(FX38="","",IF(FX38=0,Debt_Amount,0))</f>
        <v>#VALUE!</v>
      </c>
      <c r="FY52" s="0" t="e">
        <f aca="false">IF(FY38="","",IF(FY38=0,Debt_Amount,0))</f>
        <v>#VALUE!</v>
      </c>
      <c r="FZ52" s="0" t="e">
        <f aca="false">IF(FZ38="","",IF(FZ38=0,Debt_Amount,0))</f>
        <v>#VALUE!</v>
      </c>
      <c r="GA52" s="0" t="e">
        <f aca="false">IF(GA38="","",IF(GA38=0,Debt_Amount,0))</f>
        <v>#VALUE!</v>
      </c>
      <c r="GB52" s="0" t="e">
        <f aca="false">IF(GB38="","",IF(GB38=0,Debt_Amount,0))</f>
        <v>#VALUE!</v>
      </c>
      <c r="GC52" s="0" t="e">
        <f aca="false">IF(GC38="","",IF(GC38=0,Debt_Amount,0))</f>
        <v>#VALUE!</v>
      </c>
      <c r="GD52" s="0" t="e">
        <f aca="false">IF(GD38="","",IF(GD38=0,Debt_Amount,0))</f>
        <v>#VALUE!</v>
      </c>
      <c r="GE52" s="0" t="e">
        <f aca="false">IF(GE38="","",IF(GE38=0,Debt_Amount,0))</f>
        <v>#VALUE!</v>
      </c>
      <c r="GF52" s="0" t="e">
        <f aca="false">IF(GF38="","",IF(GF38=0,Debt_Amount,0))</f>
        <v>#VALUE!</v>
      </c>
      <c r="GG52" s="0" t="e">
        <f aca="false">IF(GG38="","",IF(GG38=0,Debt_Amount,0))</f>
        <v>#VALUE!</v>
      </c>
      <c r="GH52" s="0" t="e">
        <f aca="false">IF(GH38="","",IF(GH38=0,Debt_Amount,0))</f>
        <v>#VALUE!</v>
      </c>
      <c r="GI52" s="0" t="e">
        <f aca="false">IF(GI38="","",IF(GI38=0,Debt_Amount,0))</f>
        <v>#VALUE!</v>
      </c>
      <c r="GJ52" s="0" t="e">
        <f aca="false">IF(GJ38="","",IF(GJ38=0,Debt_Amount,0))</f>
        <v>#VALUE!</v>
      </c>
      <c r="GK52" s="0" t="e">
        <f aca="false">IF(GK38="","",IF(GK38=0,Debt_Amount,0))</f>
        <v>#VALUE!</v>
      </c>
      <c r="GL52" s="0" t="e">
        <f aca="false">IF(GL38="","",IF(GL38=0,Debt_Amount,0))</f>
        <v>#VALUE!</v>
      </c>
      <c r="GM52" s="0" t="e">
        <f aca="false">IF(GM38="","",IF(GM38=0,Debt_Amount,0))</f>
        <v>#VALUE!</v>
      </c>
      <c r="GN52" s="0" t="e">
        <f aca="false">IF(GN38="","",IF(GN38=0,Debt_Amount,0))</f>
        <v>#VALUE!</v>
      </c>
      <c r="GO52" s="0" t="e">
        <f aca="false">IF(GO38="","",IF(GO38=0,Debt_Amount,0))</f>
        <v>#VALUE!</v>
      </c>
      <c r="GP52" s="0" t="e">
        <f aca="false">IF(GP38="","",IF(GP38=0,Debt_Amount,0))</f>
        <v>#VALUE!</v>
      </c>
      <c r="GQ52" s="0" t="e">
        <f aca="false">IF(GQ38="","",IF(GQ38=0,Debt_Amount,0))</f>
        <v>#VALUE!</v>
      </c>
      <c r="GR52" s="0" t="e">
        <f aca="false">IF(GR38="","",IF(GR38=0,Debt_Amount,0))</f>
        <v>#VALUE!</v>
      </c>
      <c r="GS52" s="0" t="e">
        <f aca="false">IF(GS38="","",IF(GS38=0,Debt_Amount,0))</f>
        <v>#VALUE!</v>
      </c>
      <c r="GT52" s="0" t="e">
        <f aca="false">IF(GT38="","",IF(GT38=0,Debt_Amount,0))</f>
        <v>#VALUE!</v>
      </c>
      <c r="GU52" s="0" t="e">
        <f aca="false">IF(GU38="","",IF(GU38=0,Debt_Amount,0))</f>
        <v>#VALUE!</v>
      </c>
      <c r="GV52" s="0" t="e">
        <f aca="false">IF(GV38="","",IF(GV38=0,Debt_Amount,0))</f>
        <v>#VALUE!</v>
      </c>
      <c r="GW52" s="0" t="e">
        <f aca="false">IF(GW38="","",IF(GW38=0,Debt_Amount,0))</f>
        <v>#VALUE!</v>
      </c>
      <c r="GX52" s="0" t="e">
        <f aca="false">IF(GX38="","",IF(GX38=0,Debt_Amount,0))</f>
        <v>#VALUE!</v>
      </c>
      <c r="GY52" s="0" t="e">
        <f aca="false">IF(GY38="","",IF(GY38=0,Debt_Amount,0))</f>
        <v>#VALUE!</v>
      </c>
      <c r="GZ52" s="0" t="e">
        <f aca="false">IF(GZ38="","",IF(GZ38=0,Debt_Amount,0))</f>
        <v>#VALUE!</v>
      </c>
      <c r="HA52" s="0" t="e">
        <f aca="false">IF(HA38="","",IF(HA38=0,Debt_Amount,0))</f>
        <v>#VALUE!</v>
      </c>
      <c r="HB52" s="0" t="e">
        <f aca="false">IF(HB38="","",IF(HB38=0,Debt_Amount,0))</f>
        <v>#VALUE!</v>
      </c>
      <c r="HC52" s="0" t="e">
        <f aca="false">IF(HC38="","",IF(HC38=0,Debt_Amount,0))</f>
        <v>#VALUE!</v>
      </c>
      <c r="HD52" s="0" t="e">
        <f aca="false">IF(HD38="","",IF(HD38=0,Debt_Amount,0))</f>
        <v>#VALUE!</v>
      </c>
      <c r="HE52" s="0" t="e">
        <f aca="false">IF(HE38="","",IF(HE38=0,Debt_Amount,0))</f>
        <v>#VALUE!</v>
      </c>
      <c r="HF52" s="0" t="e">
        <f aca="false">IF(HF38="","",IF(HF38=0,Debt_Amount,0))</f>
        <v>#VALUE!</v>
      </c>
      <c r="HG52" s="0" t="e">
        <f aca="false">IF(HG38="","",IF(HG38=0,Debt_Amount,0))</f>
        <v>#VALUE!</v>
      </c>
      <c r="HH52" s="0" t="e">
        <f aca="false">IF(HH38="","",IF(HH38=0,Debt_Amount,0))</f>
        <v>#VALUE!</v>
      </c>
      <c r="HI52" s="0" t="e">
        <f aca="false">IF(HI38="","",IF(HI38=0,Debt_Amount,0))</f>
        <v>#VALUE!</v>
      </c>
      <c r="HJ52" s="0" t="e">
        <f aca="false">IF(HJ38="","",IF(HJ38=0,Debt_Amount,0))</f>
        <v>#VALUE!</v>
      </c>
      <c r="HK52" s="0" t="e">
        <f aca="false">IF(HK38="","",IF(HK38=0,Debt_Amount,0))</f>
        <v>#VALUE!</v>
      </c>
      <c r="HL52" s="0" t="e">
        <f aca="false">IF(HL38="","",IF(HL38=0,Debt_Amount,0))</f>
        <v>#VALUE!</v>
      </c>
      <c r="HM52" s="0" t="e">
        <f aca="false">IF(HM38="","",IF(HM38=0,Debt_Amount,0))</f>
        <v>#VALUE!</v>
      </c>
      <c r="HN52" s="0" t="e">
        <f aca="false">IF(HN38="","",IF(HN38=0,Debt_Amount,0))</f>
        <v>#VALUE!</v>
      </c>
      <c r="HO52" s="0" t="e">
        <f aca="false">IF(HO38="","",IF(HO38=0,Debt_Amount,0))</f>
        <v>#VALUE!</v>
      </c>
      <c r="HP52" s="0" t="e">
        <f aca="false">IF(HP38="","",IF(HP38=0,Debt_Amount,0))</f>
        <v>#VALUE!</v>
      </c>
      <c r="HQ52" s="0" t="e">
        <f aca="false">IF(HQ38="","",IF(HQ38=0,Debt_Amount,0))</f>
        <v>#VALUE!</v>
      </c>
      <c r="HR52" s="0" t="e">
        <f aca="false">IF(HR38="","",IF(HR38=0,Debt_Amount,0))</f>
        <v>#VALUE!</v>
      </c>
      <c r="HS52" s="0" t="e">
        <f aca="false">IF(HS38="","",IF(HS38=0,Debt_Amount,0))</f>
        <v>#VALUE!</v>
      </c>
      <c r="HT52" s="0" t="e">
        <f aca="false">IF(HT38="","",IF(HT38=0,Debt_Amount,0))</f>
        <v>#VALUE!</v>
      </c>
      <c r="HU52" s="0" t="e">
        <f aca="false">IF(HU38="","",IF(HU38=0,Debt_Amount,0))</f>
        <v>#VALUE!</v>
      </c>
      <c r="HV52" s="0" t="e">
        <f aca="false">IF(HV38="","",IF(HV38=0,Debt_Amount,0))</f>
        <v>#VALUE!</v>
      </c>
      <c r="HW52" s="0" t="e">
        <f aca="false">IF(HW38="","",IF(HW38=0,Debt_Amount,0))</f>
        <v>#VALUE!</v>
      </c>
      <c r="HX52" s="0" t="e">
        <f aca="false">IF(HX38="","",IF(HX38=0,Debt_Amount,0))</f>
        <v>#VALUE!</v>
      </c>
      <c r="HY52" s="0" t="e">
        <f aca="false">IF(HY38="","",IF(HY38=0,Debt_Amount,0))</f>
        <v>#VALUE!</v>
      </c>
      <c r="HZ52" s="0" t="e">
        <f aca="false">IF(HZ38="","",IF(HZ38=0,Debt_Amount,0))</f>
        <v>#VALUE!</v>
      </c>
      <c r="IA52" s="0" t="e">
        <f aca="false">IF(IA38="","",IF(IA38=0,Debt_Amount,0))</f>
        <v>#VALUE!</v>
      </c>
      <c r="IB52" s="0" t="e">
        <f aca="false">IF(IB38="","",IF(IB38=0,Debt_Amount,0))</f>
        <v>#VALUE!</v>
      </c>
      <c r="IC52" s="0" t="e">
        <f aca="false">IF(IC38="","",IF(IC38=0,Debt_Amount,0))</f>
        <v>#VALUE!</v>
      </c>
      <c r="ID52" s="0" t="e">
        <f aca="false">IF(ID38="","",IF(ID38=0,Debt_Amount,0))</f>
        <v>#VALUE!</v>
      </c>
      <c r="IE52" s="0" t="e">
        <f aca="false">IF(IE38="","",IF(IE38=0,Debt_Amount,0))</f>
        <v>#VALUE!</v>
      </c>
      <c r="IF52" s="0" t="e">
        <f aca="false">IF(IF38="","",IF(IF38=0,Debt_Amount,0))</f>
        <v>#VALUE!</v>
      </c>
      <c r="IG52" s="0" t="e">
        <f aca="false">IF(IG38="","",IF(IG38=0,Debt_Amount,0))</f>
        <v>#VALUE!</v>
      </c>
      <c r="IH52" s="0" t="e">
        <f aca="false">IF(IH38="","",IF(IH38=0,Debt_Amount,0))</f>
        <v>#VALUE!</v>
      </c>
      <c r="II52" s="0" t="e">
        <f aca="false">IF(II38="","",IF(II38=0,Debt_Amount,0))</f>
        <v>#VALUE!</v>
      </c>
    </row>
    <row r="53" customFormat="false" ht="15" hidden="false" customHeight="false" outlineLevel="0" collapsed="false">
      <c r="B53" s="0" t="s">
        <v>80</v>
      </c>
      <c r="C53" s="0" t="n">
        <f aca="false">IF(C38="","",IF(C38&lt;Residual_Month,0,Residual_NetValue))</f>
        <v>0</v>
      </c>
      <c r="D53" s="0" t="n">
        <f aca="false">IF(D38="","",IF(D38&lt;Residual_Month,0,Residual_NetValue))</f>
        <v>0</v>
      </c>
      <c r="E53" s="0" t="n">
        <f aca="false">IF(E38="","",IF(E38&lt;Residual_Month,0,Residual_NetValue))</f>
        <v>0</v>
      </c>
      <c r="F53" s="0" t="n">
        <f aca="false">IF(F38="","",IF(F38&lt;Residual_Month,0,Residual_NetValue))</f>
        <v>0</v>
      </c>
      <c r="G53" s="0" t="n">
        <f aca="false">IF(G38="","",IF(G38&lt;Residual_Month,0,Residual_NetValue))</f>
        <v>0</v>
      </c>
      <c r="H53" s="0" t="n">
        <f aca="false">IF(H38="","",IF(H38&lt;Residual_Month,0,Residual_NetValue))</f>
        <v>0</v>
      </c>
      <c r="I53" s="0" t="n">
        <f aca="false">IF(I38="","",IF(I38&lt;Residual_Month,0,Residual_NetValue))</f>
        <v>0</v>
      </c>
      <c r="J53" s="0" t="n">
        <f aca="false">IF(J38="","",IF(J38&lt;Residual_Month,0,Residual_NetValue))</f>
        <v>0</v>
      </c>
      <c r="K53" s="0" t="n">
        <f aca="false">IF(K38="","",IF(K38&lt;Residual_Month,0,Residual_NetValue))</f>
        <v>0</v>
      </c>
      <c r="L53" s="0" t="n">
        <f aca="false">IF(L38="","",IF(L38&lt;Residual_Month,0,Residual_NetValue))</f>
        <v>0</v>
      </c>
      <c r="M53" s="0" t="n">
        <f aca="false">IF(M38="","",IF(M38&lt;Residual_Month,0,Residual_NetValue))</f>
        <v>0</v>
      </c>
      <c r="N53" s="0" t="n">
        <f aca="false">IF(N38="","",IF(N38&lt;Residual_Month,0,Residual_NetValue))</f>
        <v>0</v>
      </c>
      <c r="O53" s="0" t="n">
        <f aca="false">IF(O38="","",IF(O38&lt;Residual_Month,0,Residual_NetValue))</f>
        <v>0</v>
      </c>
      <c r="P53" s="0" t="n">
        <f aca="false">IF(P38="","",IF(P38&lt;Residual_Month,0,Residual_NetValue))</f>
        <v>0</v>
      </c>
      <c r="Q53" s="0" t="n">
        <f aca="false">IF(Q38="","",IF(Q38&lt;Residual_Month,0,Residual_NetValue))</f>
        <v>0</v>
      </c>
      <c r="R53" s="0" t="n">
        <f aca="false">IF(R38="","",IF(R38&lt;Residual_Month,0,Residual_NetValue))</f>
        <v>0</v>
      </c>
      <c r="S53" s="0" t="n">
        <f aca="false">IF(S38="","",IF(S38&lt;Residual_Month,0,Residual_NetValue))</f>
        <v>0</v>
      </c>
      <c r="T53" s="0" t="n">
        <f aca="false">IF(T38="","",IF(T38&lt;Residual_Month,0,Residual_NetValue))</f>
        <v>0</v>
      </c>
      <c r="U53" s="0" t="n">
        <f aca="false">IF(U38="","",IF(U38&lt;Residual_Month,0,Residual_NetValue))</f>
        <v>0</v>
      </c>
      <c r="V53" s="0" t="n">
        <f aca="false">IF(V38="","",IF(V38&lt;Residual_Month,0,Residual_NetValue))</f>
        <v>0</v>
      </c>
      <c r="W53" s="0" t="n">
        <f aca="false">IF(W38="","",IF(W38&lt;Residual_Month,0,Residual_NetValue))</f>
        <v>0</v>
      </c>
      <c r="X53" s="0" t="n">
        <f aca="false">IF(X38="","",IF(X38&lt;Residual_Month,0,Residual_NetValue))</f>
        <v>0</v>
      </c>
      <c r="Y53" s="0" t="n">
        <f aca="false">IF(Y38="","",IF(Y38&lt;Residual_Month,0,Residual_NetValue))</f>
        <v>0</v>
      </c>
      <c r="Z53" s="0" t="n">
        <f aca="false">IF(Z38="","",IF(Z38&lt;Residual_Month,0,Residual_NetValue))</f>
        <v>0</v>
      </c>
      <c r="AA53" s="0" t="n">
        <f aca="false">IF(AA38="","",IF(AA38&lt;Residual_Month,0,Residual_NetValue))</f>
        <v>0</v>
      </c>
      <c r="AB53" s="0" t="n">
        <f aca="false">IF(AB38="","",IF(AB38&lt;Residual_Month,0,Residual_NetValue))</f>
        <v>0</v>
      </c>
      <c r="AC53" s="0" t="n">
        <f aca="false">IF(AC38="","",IF(AC38&lt;Residual_Month,0,Residual_NetValue))</f>
        <v>0</v>
      </c>
      <c r="AD53" s="0" t="n">
        <f aca="false">IF(AD38="","",IF(AD38&lt;Residual_Month,0,Residual_NetValue))</f>
        <v>0</v>
      </c>
      <c r="AE53" s="0" t="n">
        <f aca="false">IF(AE38="","",IF(AE38&lt;Residual_Month,0,Residual_NetValue))</f>
        <v>0</v>
      </c>
      <c r="AF53" s="0" t="n">
        <f aca="false">IF(AF38="","",IF(AF38&lt;Residual_Month,0,Residual_NetValue))</f>
        <v>0</v>
      </c>
      <c r="AG53" s="0" t="n">
        <f aca="false">IF(AG38="","",IF(AG38&lt;Residual_Month,0,Residual_NetValue))</f>
        <v>0</v>
      </c>
      <c r="AH53" s="0" t="n">
        <f aca="false">IF(AH38="","",IF(AH38&lt;Residual_Month,0,Residual_NetValue))</f>
        <v>0</v>
      </c>
      <c r="AI53" s="0" t="n">
        <f aca="false">IF(AI38="","",IF(AI38&lt;Residual_Month,0,Residual_NetValue))</f>
        <v>0</v>
      </c>
      <c r="AJ53" s="0" t="n">
        <f aca="false">IF(AJ38="","",IF(AJ38&lt;Residual_Month,0,Residual_NetValue))</f>
        <v>0</v>
      </c>
      <c r="AK53" s="0" t="n">
        <f aca="false">IF(AK38="","",IF(AK38&lt;Residual_Month,0,Residual_NetValue))</f>
        <v>0</v>
      </c>
      <c r="AL53" s="0" t="n">
        <f aca="false">IF(AL38="","",IF(AL38&lt;Residual_Month,0,Residual_NetValue))</f>
        <v>0</v>
      </c>
      <c r="AM53" s="0" t="n">
        <f aca="false">IF(AM38="","",IF(AM38&lt;Residual_Month,0,Residual_NetValue))</f>
        <v>0</v>
      </c>
      <c r="AN53" s="0" t="n">
        <f aca="false">IF(AN38="","",IF(AN38&lt;Residual_Month,0,Residual_NetValue))</f>
        <v>0</v>
      </c>
      <c r="AO53" s="0" t="n">
        <f aca="false">IF(AO38="","",IF(AO38&lt;Residual_Month,0,Residual_NetValue))</f>
        <v>0</v>
      </c>
      <c r="AP53" s="0" t="n">
        <f aca="false">IF(AP38="","",IF(AP38&lt;Residual_Month,0,Residual_NetValue))</f>
        <v>0</v>
      </c>
      <c r="AQ53" s="0" t="n">
        <f aca="false">IF(AQ38="","",IF(AQ38&lt;Residual_Month,0,Residual_NetValue))</f>
        <v>0</v>
      </c>
      <c r="AR53" s="0" t="n">
        <f aca="false">IF(AR38="","",IF(AR38&lt;Residual_Month,0,Residual_NetValue))</f>
        <v>0</v>
      </c>
      <c r="AS53" s="0" t="n">
        <f aca="false">IF(AS38="","",IF(AS38&lt;Residual_Month,0,Residual_NetValue))</f>
        <v>0</v>
      </c>
      <c r="AT53" s="0" t="n">
        <f aca="false">IF(AT38="","",IF(AT38&lt;Residual_Month,0,Residual_NetValue))</f>
        <v>0</v>
      </c>
      <c r="AU53" s="0" t="n">
        <f aca="false">IF(AU38="","",IF(AU38&lt;Residual_Month,0,Residual_NetValue))</f>
        <v>0</v>
      </c>
      <c r="AV53" s="0" t="n">
        <f aca="false">IF(AV38="","",IF(AV38&lt;Residual_Month,0,Residual_NetValue))</f>
        <v>0</v>
      </c>
      <c r="AW53" s="0" t="n">
        <f aca="false">IF(AW38="","",IF(AW38&lt;Residual_Month,0,Residual_NetValue))</f>
        <v>0</v>
      </c>
      <c r="AX53" s="0" t="n">
        <f aca="false">IF(AX38="","",IF(AX38&lt;Residual_Month,0,Residual_NetValue))</f>
        <v>0</v>
      </c>
      <c r="AY53" s="0" t="n">
        <f aca="false">IF(AY38="","",IF(AY38&lt;Residual_Month,0,Residual_NetValue))</f>
        <v>0</v>
      </c>
      <c r="AZ53" s="0" t="n">
        <f aca="false">IF(AZ38="","",IF(AZ38&lt;Residual_Month,0,Residual_NetValue))</f>
        <v>0</v>
      </c>
      <c r="BA53" s="0" t="n">
        <f aca="false">IF(BA38="","",IF(BA38&lt;Residual_Month,0,Residual_NetValue))</f>
        <v>0</v>
      </c>
      <c r="BB53" s="0" t="n">
        <f aca="false">IF(BB38="","",IF(BB38&lt;Residual_Month,0,Residual_NetValue))</f>
        <v>0</v>
      </c>
      <c r="BC53" s="0" t="n">
        <f aca="false">IF(BC38="","",IF(BC38&lt;Residual_Month,0,Residual_NetValue))</f>
        <v>0</v>
      </c>
      <c r="BD53" s="0" t="n">
        <f aca="false">IF(BD38="","",IF(BD38&lt;Residual_Month,0,Residual_NetValue))</f>
        <v>0</v>
      </c>
      <c r="BE53" s="0" t="n">
        <f aca="false">IF(BE38="","",IF(BE38&lt;Residual_Month,0,Residual_NetValue))</f>
        <v>0</v>
      </c>
      <c r="BF53" s="0" t="n">
        <f aca="false">IF(BF38="","",IF(BF38&lt;Residual_Month,0,Residual_NetValue))</f>
        <v>0</v>
      </c>
      <c r="BG53" s="0" t="n">
        <f aca="false">IF(BG38="","",IF(BG38&lt;Residual_Month,0,Residual_NetValue))</f>
        <v>0</v>
      </c>
      <c r="BH53" s="0" t="n">
        <f aca="false">IF(BH38="","",IF(BH38&lt;Residual_Month,0,Residual_NetValue))</f>
        <v>0</v>
      </c>
      <c r="BI53" s="0" t="n">
        <f aca="false">IF(BI38="","",IF(BI38&lt;Residual_Month,0,Residual_NetValue))</f>
        <v>0</v>
      </c>
      <c r="BJ53" s="0" t="n">
        <f aca="false">IF(BJ38="","",IF(BJ38&lt;Residual_Month,0,Residual_NetValue))</f>
        <v>0</v>
      </c>
      <c r="BK53" s="0" t="n">
        <f aca="false">IF(BK38="","",IF(BK38&lt;Residual_Month,0,Residual_NetValue))</f>
        <v>0</v>
      </c>
      <c r="BL53" s="0" t="n">
        <f aca="false">IF(BL38="","",IF(BL38&lt;Residual_Month,0,Residual_NetValue))</f>
        <v>0</v>
      </c>
      <c r="BM53" s="0" t="n">
        <f aca="false">IF(BM38="","",IF(BM38&lt;Residual_Month,0,Residual_NetValue))</f>
        <v>0</v>
      </c>
      <c r="BN53" s="0" t="n">
        <f aca="false">IF(BN38="","",IF(BN38&lt;Residual_Month,0,Residual_NetValue))</f>
        <v>0</v>
      </c>
      <c r="BO53" s="0" t="n">
        <f aca="false">IF(BO38="","",IF(BO38&lt;Residual_Month,0,Residual_NetValue))</f>
        <v>0</v>
      </c>
      <c r="BP53" s="0" t="n">
        <f aca="false">IF(BP38="","",IF(BP38&lt;Residual_Month,0,Residual_NetValue))</f>
        <v>0</v>
      </c>
      <c r="BQ53" s="0" t="n">
        <f aca="false">IF(BQ38="","",IF(BQ38&lt;Residual_Month,0,Residual_NetValue))</f>
        <v>0</v>
      </c>
      <c r="BR53" s="0" t="n">
        <f aca="false">IF(BR38="","",IF(BR38&lt;Residual_Month,0,Residual_NetValue))</f>
        <v>0</v>
      </c>
      <c r="BS53" s="0" t="n">
        <f aca="false">IF(BS38="","",IF(BS38&lt;Residual_Month,0,Residual_NetValue))</f>
        <v>0</v>
      </c>
      <c r="BT53" s="0" t="n">
        <f aca="false">IF(BT38="","",IF(BT38&lt;Residual_Month,0,Residual_NetValue))</f>
        <v>0</v>
      </c>
      <c r="BU53" s="0" t="n">
        <f aca="false">IF(BU38="","",IF(BU38&lt;Residual_Month,0,Residual_NetValue))</f>
        <v>0</v>
      </c>
      <c r="BV53" s="0" t="n">
        <f aca="false">IF(BV38="","",IF(BV38&lt;Residual_Month,0,Residual_NetValue))</f>
        <v>0</v>
      </c>
      <c r="BW53" s="0" t="n">
        <f aca="false">IF(BW38="","",IF(BW38&lt;Residual_Month,0,Residual_NetValue))</f>
        <v>0</v>
      </c>
      <c r="BX53" s="0" t="n">
        <f aca="false">IF(BX38="","",IF(BX38&lt;Residual_Month,0,Residual_NetValue))</f>
        <v>0</v>
      </c>
      <c r="BY53" s="0" t="n">
        <f aca="false">IF(BY38="","",IF(BY38&lt;Residual_Month,0,Residual_NetValue))</f>
        <v>0</v>
      </c>
      <c r="BZ53" s="0" t="n">
        <f aca="false">IF(BZ38="","",IF(BZ38&lt;Residual_Month,0,Residual_NetValue))</f>
        <v>0</v>
      </c>
      <c r="CA53" s="0" t="n">
        <f aca="false">IF(CA38="","",IF(CA38&lt;Residual_Month,0,Residual_NetValue))</f>
        <v>0</v>
      </c>
      <c r="CB53" s="0" t="n">
        <f aca="false">IF(CB38="","",IF(CB38&lt;Residual_Month,0,Residual_NetValue))</f>
        <v>0</v>
      </c>
      <c r="CC53" s="0" t="n">
        <f aca="false">IF(CC38="","",IF(CC38&lt;Residual_Month,0,Residual_NetValue))</f>
        <v>0</v>
      </c>
      <c r="CD53" s="0" t="n">
        <f aca="false">IF(CD38="","",IF(CD38&lt;Residual_Month,0,Residual_NetValue))</f>
        <v>0</v>
      </c>
      <c r="CE53" s="0" t="n">
        <f aca="false">IF(CE38="","",IF(CE38&lt;Residual_Month,0,Residual_NetValue))</f>
        <v>0</v>
      </c>
      <c r="CF53" s="0" t="n">
        <f aca="false">IF(CF38="","",IF(CF38&lt;Residual_Month,0,Residual_NetValue))</f>
        <v>0</v>
      </c>
      <c r="CG53" s="0" t="n">
        <f aca="false">IF(CG38="","",IF(CG38&lt;Residual_Month,0,Residual_NetValue))</f>
        <v>0</v>
      </c>
      <c r="CH53" s="0" t="n">
        <f aca="false">IF(CH38="","",IF(CH38&lt;Residual_Month,0,Residual_NetValue))</f>
        <v>0</v>
      </c>
      <c r="CI53" s="0" t="n">
        <f aca="false">IF(CI38="","",IF(CI38&lt;Residual_Month,0,Residual_NetValue))</f>
        <v>0</v>
      </c>
      <c r="CJ53" s="0" t="n">
        <f aca="false">IF(CJ38="","",IF(CJ38&lt;Residual_Month,0,Residual_NetValue))</f>
        <v>0</v>
      </c>
      <c r="CK53" s="0" t="n">
        <f aca="false">IF(CK38="","",IF(CK38&lt;Residual_Month,0,Residual_NetValue))</f>
        <v>0</v>
      </c>
      <c r="CL53" s="0" t="n">
        <f aca="false">IF(CL38="","",IF(CL38&lt;Residual_Month,0,Residual_NetValue))</f>
        <v>0</v>
      </c>
      <c r="CM53" s="0" t="n">
        <f aca="false">IF(CM38="","",IF(CM38&lt;Residual_Month,0,Residual_NetValue))</f>
        <v>0</v>
      </c>
      <c r="CN53" s="0" t="n">
        <f aca="false">IF(CN38="","",IF(CN38&lt;Residual_Month,0,Residual_NetValue))</f>
        <v>0</v>
      </c>
      <c r="CO53" s="0" t="n">
        <f aca="false">IF(CO38="","",IF(CO38&lt;Residual_Month,0,Residual_NetValue))</f>
        <v>0</v>
      </c>
      <c r="CP53" s="0" t="n">
        <f aca="false">IF(CP38="","",IF(CP38&lt;Residual_Month,0,Residual_NetValue))</f>
        <v>0</v>
      </c>
      <c r="CQ53" s="0" t="n">
        <f aca="false">IF(CQ38="","",IF(CQ38&lt;Residual_Month,0,Residual_NetValue))</f>
        <v>0</v>
      </c>
      <c r="CR53" s="0" t="n">
        <f aca="false">IF(CR38="","",IF(CR38&lt;Residual_Month,0,Residual_NetValue))</f>
        <v>0</v>
      </c>
      <c r="CS53" s="0" t="n">
        <f aca="false">IF(CS38="","",IF(CS38&lt;Residual_Month,0,Residual_NetValue))</f>
        <v>0</v>
      </c>
      <c r="CT53" s="0" t="n">
        <f aca="false">IF(CT38="","",IF(CT38&lt;Residual_Month,0,Residual_NetValue))</f>
        <v>0</v>
      </c>
      <c r="CU53" s="0" t="n">
        <f aca="false">IF(CU38="","",IF(CU38&lt;Residual_Month,0,Residual_NetValue))</f>
        <v>0</v>
      </c>
      <c r="CV53" s="0" t="n">
        <f aca="false">IF(CV38="","",IF(CV38&lt;Residual_Month,0,Residual_NetValue))</f>
        <v>0</v>
      </c>
      <c r="CW53" s="0" t="n">
        <f aca="false">IF(CW38="","",IF(CW38&lt;Residual_Month,0,Residual_NetValue))</f>
        <v>0</v>
      </c>
      <c r="CX53" s="0" t="n">
        <f aca="false">IF(CX38="","",IF(CX38&lt;Residual_Month,0,Residual_NetValue))</f>
        <v>0</v>
      </c>
      <c r="CY53" s="0" t="n">
        <f aca="false">IF(CY38="","",IF(CY38&lt;Residual_Month,0,Residual_NetValue))</f>
        <v>0</v>
      </c>
      <c r="CZ53" s="0" t="n">
        <f aca="false">IF(CZ38="","",IF(CZ38&lt;Residual_Month,0,Residual_NetValue))</f>
        <v>0</v>
      </c>
      <c r="DA53" s="0" t="n">
        <f aca="false">IF(DA38="","",IF(DA38&lt;Residual_Month,0,Residual_NetValue))</f>
        <v>0</v>
      </c>
      <c r="DB53" s="0" t="n">
        <f aca="false">IF(DB38="","",IF(DB38&lt;Residual_Month,0,Residual_NetValue))</f>
        <v>0</v>
      </c>
      <c r="DC53" s="0" t="n">
        <f aca="false">IF(DC38="","",IF(DC38&lt;Residual_Month,0,Residual_NetValue))</f>
        <v>0</v>
      </c>
      <c r="DD53" s="0" t="n">
        <f aca="false">IF(DD38="","",IF(DD38&lt;Residual_Month,0,Residual_NetValue))</f>
        <v>0</v>
      </c>
      <c r="DE53" s="0" t="n">
        <f aca="false">IF(DE38="","",IF(DE38&lt;Residual_Month,0,Residual_NetValue))</f>
        <v>0</v>
      </c>
      <c r="DF53" s="0" t="n">
        <f aca="false">IF(DF38="","",IF(DF38&lt;Residual_Month,0,Residual_NetValue))</f>
        <v>0</v>
      </c>
      <c r="DG53" s="0" t="n">
        <f aca="false">IF(DG38="","",IF(DG38&lt;Residual_Month,0,Residual_NetValue))</f>
        <v>0</v>
      </c>
      <c r="DH53" s="0" t="n">
        <f aca="false">IF(DH38="","",IF(DH38&lt;Residual_Month,0,Residual_NetValue))</f>
        <v>0</v>
      </c>
      <c r="DI53" s="0" t="n">
        <f aca="false">IF(DI38="","",IF(DI38&lt;Residual_Month,0,Residual_NetValue))</f>
        <v>0</v>
      </c>
      <c r="DJ53" s="0" t="n">
        <f aca="false">IF(DJ38="","",IF(DJ38&lt;Residual_Month,0,Residual_NetValue))</f>
        <v>0</v>
      </c>
      <c r="DK53" s="0" t="n">
        <f aca="false">IF(DK38="","",IF(DK38&lt;Residual_Month,0,Residual_NetValue))</f>
        <v>0</v>
      </c>
      <c r="DL53" s="0" t="n">
        <f aca="false">IF(DL38="","",IF(DL38&lt;Residual_Month,0,Residual_NetValue))</f>
        <v>0</v>
      </c>
      <c r="DM53" s="0" t="n">
        <f aca="false">IF(DM38="","",IF(DM38&lt;Residual_Month,0,Residual_NetValue))</f>
        <v>0</v>
      </c>
      <c r="DN53" s="0" t="n">
        <f aca="false">IF(DN38="","",IF(DN38&lt;Residual_Month,0,Residual_NetValue))</f>
        <v>0</v>
      </c>
      <c r="DO53" s="0" t="n">
        <f aca="false">IF(DO38="","",IF(DO38&lt;Residual_Month,0,Residual_NetValue))</f>
        <v>0</v>
      </c>
      <c r="DP53" s="0" t="n">
        <f aca="false">IF(DP38="","",IF(DP38&lt;Residual_Month,0,Residual_NetValue))</f>
        <v>0</v>
      </c>
      <c r="DQ53" s="0" t="n">
        <f aca="false">IF(DQ38="","",IF(DQ38&lt;Residual_Month,0,Residual_NetValue))</f>
        <v>0</v>
      </c>
      <c r="DR53" s="0" t="n">
        <f aca="false">IF(DR38="","",IF(DR38&lt;Residual_Month,0,Residual_NetValue))</f>
        <v>0</v>
      </c>
      <c r="DS53" s="0" t="n">
        <f aca="false">IF(DS38="","",IF(DS38&lt;Residual_Month,0,Residual_NetValue))</f>
        <v>0</v>
      </c>
      <c r="DT53" s="0" t="n">
        <f aca="false">IF(DT38="","",IF(DT38&lt;Residual_Month,0,Residual_NetValue))</f>
        <v>0</v>
      </c>
      <c r="DU53" s="0" t="n">
        <f aca="false">IF(DU38="","",IF(DU38&lt;Residual_Month,0,Residual_NetValue))</f>
        <v>0</v>
      </c>
      <c r="DV53" s="0" t="n">
        <f aca="false">IF(DV38="","",IF(DV38&lt;Residual_Month,0,Residual_NetValue))</f>
        <v>0</v>
      </c>
      <c r="DW53" s="0" t="n">
        <f aca="false">IF(DW38="","",IF(DW38&lt;Residual_Month,0,Residual_NetValue))</f>
        <v>0</v>
      </c>
      <c r="DX53" s="0" t="n">
        <f aca="false">IF(DX38="","",IF(DX38&lt;Residual_Month,0,Residual_NetValue))</f>
        <v>0</v>
      </c>
      <c r="DY53" s="0" t="n">
        <f aca="false">IF(DY38="","",IF(DY38&lt;Residual_Month,0,Residual_NetValue))</f>
        <v>0</v>
      </c>
      <c r="DZ53" s="0" t="n">
        <f aca="false">IF(DZ38="","",IF(DZ38&lt;Residual_Month,0,Residual_NetValue))</f>
        <v>0</v>
      </c>
      <c r="EA53" s="0" t="n">
        <f aca="false">IF(EA38="","",IF(EA38&lt;Residual_Month,0,Residual_NetValue))</f>
        <v>0</v>
      </c>
      <c r="EB53" s="0" t="n">
        <f aca="false">IF(EB38="","",IF(EB38&lt;Residual_Month,0,Residual_NetValue))</f>
        <v>0</v>
      </c>
      <c r="EC53" s="0" t="n">
        <f aca="false">IF(EC38="","",IF(EC38&lt;Residual_Month,0,Residual_NetValue))</f>
        <v>0</v>
      </c>
      <c r="ED53" s="0" t="n">
        <f aca="false">IF(ED38="","",IF(ED38&lt;Residual_Month,0,Residual_NetValue))</f>
        <v>0</v>
      </c>
      <c r="EE53" s="0" t="n">
        <f aca="false">IF(EE38="","",IF(EE38&lt;Residual_Month,0,Residual_NetValue))</f>
        <v>0</v>
      </c>
      <c r="EF53" s="0" t="n">
        <f aca="false">IF(EF38="","",IF(EF38&lt;Residual_Month,0,Residual_NetValue))</f>
        <v>0</v>
      </c>
      <c r="EG53" s="0" t="n">
        <f aca="false">IF(EG38="","",IF(EG38&lt;Residual_Month,0,Residual_NetValue))</f>
        <v>0</v>
      </c>
      <c r="EH53" s="0" t="n">
        <f aca="false">IF(EH38="","",IF(EH38&lt;Residual_Month,0,Residual_NetValue))</f>
        <v>0</v>
      </c>
      <c r="EI53" s="0" t="n">
        <f aca="false">IF(EI38="","",IF(EI38&lt;Residual_Month,0,Residual_NetValue))</f>
        <v>0</v>
      </c>
      <c r="EJ53" s="0" t="n">
        <f aca="false">IF(EJ38="","",IF(EJ38&lt;Residual_Month,0,Residual_NetValue))</f>
        <v>0</v>
      </c>
      <c r="EK53" s="0" t="n">
        <f aca="false">IF(EK38="","",IF(EK38&lt;Residual_Month,0,Residual_NetValue))</f>
        <v>0</v>
      </c>
      <c r="EL53" s="0" t="n">
        <f aca="false">IF(EL38="","",IF(EL38&lt;Residual_Month,0,Residual_NetValue))</f>
        <v>0</v>
      </c>
      <c r="EM53" s="0" t="n">
        <f aca="false">IF(EM38="","",IF(EM38&lt;Residual_Month,0,Residual_NetValue))</f>
        <v>0</v>
      </c>
      <c r="EN53" s="0" t="n">
        <f aca="false">IF(EN38="","",IF(EN38&lt;Residual_Month,0,Residual_NetValue))</f>
        <v>0</v>
      </c>
      <c r="EO53" s="0" t="n">
        <f aca="false">IF(EO38="","",IF(EO38&lt;Residual_Month,0,Residual_NetValue))</f>
        <v>0</v>
      </c>
      <c r="EP53" s="0" t="n">
        <f aca="false">IF(EP38="","",IF(EP38&lt;Residual_Month,0,Residual_NetValue))</f>
        <v>0</v>
      </c>
      <c r="EQ53" s="0" t="n">
        <f aca="false">IF(EQ38="","",IF(EQ38&lt;Residual_Month,0,Residual_NetValue))</f>
        <v>0</v>
      </c>
      <c r="ER53" s="0" t="n">
        <f aca="false">IF(ER38="","",IF(ER38&lt;Residual_Month,0,Residual_NetValue))</f>
        <v>0</v>
      </c>
      <c r="ES53" s="0" t="n">
        <f aca="false">IF(ES38="","",IF(ES38&lt;Residual_Month,0,Residual_NetValue))</f>
        <v>0</v>
      </c>
      <c r="ET53" s="0" t="n">
        <f aca="false">IF(ET38="","",IF(ET38&lt;Residual_Month,0,Residual_NetValue))</f>
        <v>0</v>
      </c>
      <c r="EU53" s="0" t="n">
        <f aca="false">IF(EU38="","",IF(EU38&lt;Residual_Month,0,Residual_NetValue))</f>
        <v>0</v>
      </c>
      <c r="EV53" s="0" t="n">
        <f aca="false">IF(EV38="","",IF(EV38&lt;Residual_Month,0,Residual_NetValue))</f>
        <v>0</v>
      </c>
      <c r="EW53" s="0" t="n">
        <f aca="false">IF(EW38="","",IF(EW38&lt;Residual_Month,0,Residual_NetValue))</f>
        <v>0</v>
      </c>
      <c r="EX53" s="0" t="n">
        <f aca="false">IF(EX38="","",IF(EX38&lt;Residual_Month,0,Residual_NetValue))</f>
        <v>0</v>
      </c>
      <c r="EY53" s="0" t="n">
        <f aca="false">IF(EY38="","",IF(EY38&lt;Residual_Month,0,Residual_NetValue))</f>
        <v>0</v>
      </c>
      <c r="EZ53" s="0" t="n">
        <f aca="false">IF(EZ38="","",IF(EZ38&lt;Residual_Month,0,Residual_NetValue))</f>
        <v>0</v>
      </c>
      <c r="FA53" s="0" t="n">
        <f aca="false">IF(FA38="","",IF(FA38&lt;Residual_Month,0,Residual_NetValue))</f>
        <v>0</v>
      </c>
      <c r="FB53" s="0" t="n">
        <f aca="false">IF(FB38="","",IF(FB38&lt;Residual_Month,0,Residual_NetValue))</f>
        <v>0</v>
      </c>
      <c r="FC53" s="0" t="n">
        <f aca="false">IF(FC38="","",IF(FC38&lt;Residual_Month,0,Residual_NetValue))</f>
        <v>9153917.37409257</v>
      </c>
      <c r="FD53" s="0" t="str">
        <f aca="false">IF(FD38="","",IF(FD38&lt;Residual_Month,0,Residual_NetValue))</f>
        <v/>
      </c>
      <c r="FE53" s="0" t="e">
        <f aca="false">IF(FE38="","",IF(FE38&lt;Residual_Month,0,Residual_NetValue))</f>
        <v>#VALUE!</v>
      </c>
      <c r="FF53" s="0" t="e">
        <f aca="false">IF(FF38="","",IF(FF38&lt;Residual_Month,0,Residual_NetValue))</f>
        <v>#VALUE!</v>
      </c>
      <c r="FG53" s="0" t="e">
        <f aca="false">IF(FG38="","",IF(FG38&lt;Residual_Month,0,Residual_NetValue))</f>
        <v>#VALUE!</v>
      </c>
      <c r="FH53" s="0" t="e">
        <f aca="false">IF(FH38="","",IF(FH38&lt;Residual_Month,0,Residual_NetValue))</f>
        <v>#VALUE!</v>
      </c>
      <c r="FI53" s="0" t="e">
        <f aca="false">IF(FI38="","",IF(FI38&lt;Residual_Month,0,Residual_NetValue))</f>
        <v>#VALUE!</v>
      </c>
      <c r="FJ53" s="0" t="e">
        <f aca="false">IF(FJ38="","",IF(FJ38&lt;Residual_Month,0,Residual_NetValue))</f>
        <v>#VALUE!</v>
      </c>
      <c r="FK53" s="0" t="e">
        <f aca="false">IF(FK38="","",IF(FK38&lt;Residual_Month,0,Residual_NetValue))</f>
        <v>#VALUE!</v>
      </c>
      <c r="FL53" s="0" t="e">
        <f aca="false">IF(FL38="","",IF(FL38&lt;Residual_Month,0,Residual_NetValue))</f>
        <v>#VALUE!</v>
      </c>
      <c r="FM53" s="0" t="e">
        <f aca="false">IF(FM38="","",IF(FM38&lt;Residual_Month,0,Residual_NetValue))</f>
        <v>#VALUE!</v>
      </c>
      <c r="FN53" s="0" t="e">
        <f aca="false">IF(FN38="","",IF(FN38&lt;Residual_Month,0,Residual_NetValue))</f>
        <v>#VALUE!</v>
      </c>
      <c r="FO53" s="0" t="e">
        <f aca="false">IF(FO38="","",IF(FO38&lt;Residual_Month,0,Residual_NetValue))</f>
        <v>#VALUE!</v>
      </c>
      <c r="FP53" s="0" t="e">
        <f aca="false">IF(FP38="","",IF(FP38&lt;Residual_Month,0,Residual_NetValue))</f>
        <v>#VALUE!</v>
      </c>
      <c r="FQ53" s="0" t="e">
        <f aca="false">IF(FQ38="","",IF(FQ38&lt;Residual_Month,0,Residual_NetValue))</f>
        <v>#VALUE!</v>
      </c>
      <c r="FR53" s="0" t="e">
        <f aca="false">IF(FR38="","",IF(FR38&lt;Residual_Month,0,Residual_NetValue))</f>
        <v>#VALUE!</v>
      </c>
      <c r="FS53" s="0" t="e">
        <f aca="false">IF(FS38="","",IF(FS38&lt;Residual_Month,0,Residual_NetValue))</f>
        <v>#VALUE!</v>
      </c>
      <c r="FT53" s="0" t="e">
        <f aca="false">IF(FT38="","",IF(FT38&lt;Residual_Month,0,Residual_NetValue))</f>
        <v>#VALUE!</v>
      </c>
      <c r="FU53" s="0" t="e">
        <f aca="false">IF(FU38="","",IF(FU38&lt;Residual_Month,0,Residual_NetValue))</f>
        <v>#VALUE!</v>
      </c>
      <c r="FV53" s="0" t="e">
        <f aca="false">IF(FV38="","",IF(FV38&lt;Residual_Month,0,Residual_NetValue))</f>
        <v>#VALUE!</v>
      </c>
      <c r="FW53" s="0" t="e">
        <f aca="false">IF(FW38="","",IF(FW38&lt;Residual_Month,0,Residual_NetValue))</f>
        <v>#VALUE!</v>
      </c>
      <c r="FX53" s="0" t="e">
        <f aca="false">IF(FX38="","",IF(FX38&lt;Residual_Month,0,Residual_NetValue))</f>
        <v>#VALUE!</v>
      </c>
      <c r="FY53" s="0" t="e">
        <f aca="false">IF(FY38="","",IF(FY38&lt;Residual_Month,0,Residual_NetValue))</f>
        <v>#VALUE!</v>
      </c>
      <c r="FZ53" s="0" t="e">
        <f aca="false">IF(FZ38="","",IF(FZ38&lt;Residual_Month,0,Residual_NetValue))</f>
        <v>#VALUE!</v>
      </c>
      <c r="GA53" s="0" t="e">
        <f aca="false">IF(GA38="","",IF(GA38&lt;Residual_Month,0,Residual_NetValue))</f>
        <v>#VALUE!</v>
      </c>
      <c r="GB53" s="0" t="e">
        <f aca="false">IF(GB38="","",IF(GB38&lt;Residual_Month,0,Residual_NetValue))</f>
        <v>#VALUE!</v>
      </c>
      <c r="GC53" s="0" t="e">
        <f aca="false">IF(GC38="","",IF(GC38&lt;Residual_Month,0,Residual_NetValue))</f>
        <v>#VALUE!</v>
      </c>
      <c r="GD53" s="0" t="e">
        <f aca="false">IF(GD38="","",IF(GD38&lt;Residual_Month,0,Residual_NetValue))</f>
        <v>#VALUE!</v>
      </c>
      <c r="GE53" s="0" t="e">
        <f aca="false">IF(GE38="","",IF(GE38&lt;Residual_Month,0,Residual_NetValue))</f>
        <v>#VALUE!</v>
      </c>
      <c r="GF53" s="0" t="e">
        <f aca="false">IF(GF38="","",IF(GF38&lt;Residual_Month,0,Residual_NetValue))</f>
        <v>#VALUE!</v>
      </c>
      <c r="GG53" s="0" t="e">
        <f aca="false">IF(GG38="","",IF(GG38&lt;Residual_Month,0,Residual_NetValue))</f>
        <v>#VALUE!</v>
      </c>
      <c r="GH53" s="0" t="e">
        <f aca="false">IF(GH38="","",IF(GH38&lt;Residual_Month,0,Residual_NetValue))</f>
        <v>#VALUE!</v>
      </c>
      <c r="GI53" s="0" t="e">
        <f aca="false">IF(GI38="","",IF(GI38&lt;Residual_Month,0,Residual_NetValue))</f>
        <v>#VALUE!</v>
      </c>
      <c r="GJ53" s="0" t="e">
        <f aca="false">IF(GJ38="","",IF(GJ38&lt;Residual_Month,0,Residual_NetValue))</f>
        <v>#VALUE!</v>
      </c>
      <c r="GK53" s="0" t="e">
        <f aca="false">IF(GK38="","",IF(GK38&lt;Residual_Month,0,Residual_NetValue))</f>
        <v>#VALUE!</v>
      </c>
      <c r="GL53" s="0" t="e">
        <f aca="false">IF(GL38="","",IF(GL38&lt;Residual_Month,0,Residual_NetValue))</f>
        <v>#VALUE!</v>
      </c>
      <c r="GM53" s="0" t="e">
        <f aca="false">IF(GM38="","",IF(GM38&lt;Residual_Month,0,Residual_NetValue))</f>
        <v>#VALUE!</v>
      </c>
      <c r="GN53" s="0" t="e">
        <f aca="false">IF(GN38="","",IF(GN38&lt;Residual_Month,0,Residual_NetValue))</f>
        <v>#VALUE!</v>
      </c>
      <c r="GO53" s="0" t="e">
        <f aca="false">IF(GO38="","",IF(GO38&lt;Residual_Month,0,Residual_NetValue))</f>
        <v>#VALUE!</v>
      </c>
      <c r="GP53" s="0" t="e">
        <f aca="false">IF(GP38="","",IF(GP38&lt;Residual_Month,0,Residual_NetValue))</f>
        <v>#VALUE!</v>
      </c>
      <c r="GQ53" s="0" t="e">
        <f aca="false">IF(GQ38="","",IF(GQ38&lt;Residual_Month,0,Residual_NetValue))</f>
        <v>#VALUE!</v>
      </c>
      <c r="GR53" s="0" t="e">
        <f aca="false">IF(GR38="","",IF(GR38&lt;Residual_Month,0,Residual_NetValue))</f>
        <v>#VALUE!</v>
      </c>
      <c r="GS53" s="0" t="e">
        <f aca="false">IF(GS38="","",IF(GS38&lt;Residual_Month,0,Residual_NetValue))</f>
        <v>#VALUE!</v>
      </c>
      <c r="GT53" s="0" t="e">
        <f aca="false">IF(GT38="","",IF(GT38&lt;Residual_Month,0,Residual_NetValue))</f>
        <v>#VALUE!</v>
      </c>
      <c r="GU53" s="0" t="e">
        <f aca="false">IF(GU38="","",IF(GU38&lt;Residual_Month,0,Residual_NetValue))</f>
        <v>#VALUE!</v>
      </c>
      <c r="GV53" s="0" t="e">
        <f aca="false">IF(GV38="","",IF(GV38&lt;Residual_Month,0,Residual_NetValue))</f>
        <v>#VALUE!</v>
      </c>
      <c r="GW53" s="0" t="e">
        <f aca="false">IF(GW38="","",IF(GW38&lt;Residual_Month,0,Residual_NetValue))</f>
        <v>#VALUE!</v>
      </c>
      <c r="GX53" s="0" t="e">
        <f aca="false">IF(GX38="","",IF(GX38&lt;Residual_Month,0,Residual_NetValue))</f>
        <v>#VALUE!</v>
      </c>
      <c r="GY53" s="0" t="e">
        <f aca="false">IF(GY38="","",IF(GY38&lt;Residual_Month,0,Residual_NetValue))</f>
        <v>#VALUE!</v>
      </c>
      <c r="GZ53" s="0" t="e">
        <f aca="false">IF(GZ38="","",IF(GZ38&lt;Residual_Month,0,Residual_NetValue))</f>
        <v>#VALUE!</v>
      </c>
      <c r="HA53" s="0" t="e">
        <f aca="false">IF(HA38="","",IF(HA38&lt;Residual_Month,0,Residual_NetValue))</f>
        <v>#VALUE!</v>
      </c>
      <c r="HB53" s="0" t="e">
        <f aca="false">IF(HB38="","",IF(HB38&lt;Residual_Month,0,Residual_NetValue))</f>
        <v>#VALUE!</v>
      </c>
      <c r="HC53" s="0" t="e">
        <f aca="false">IF(HC38="","",IF(HC38&lt;Residual_Month,0,Residual_NetValue))</f>
        <v>#VALUE!</v>
      </c>
      <c r="HD53" s="0" t="e">
        <f aca="false">IF(HD38="","",IF(HD38&lt;Residual_Month,0,Residual_NetValue))</f>
        <v>#VALUE!</v>
      </c>
      <c r="HE53" s="0" t="e">
        <f aca="false">IF(HE38="","",IF(HE38&lt;Residual_Month,0,Residual_NetValue))</f>
        <v>#VALUE!</v>
      </c>
      <c r="HF53" s="0" t="e">
        <f aca="false">IF(HF38="","",IF(HF38&lt;Residual_Month,0,Residual_NetValue))</f>
        <v>#VALUE!</v>
      </c>
      <c r="HG53" s="0" t="e">
        <f aca="false">IF(HG38="","",IF(HG38&lt;Residual_Month,0,Residual_NetValue))</f>
        <v>#VALUE!</v>
      </c>
      <c r="HH53" s="0" t="e">
        <f aca="false">IF(HH38="","",IF(HH38&lt;Residual_Month,0,Residual_NetValue))</f>
        <v>#VALUE!</v>
      </c>
      <c r="HI53" s="0" t="e">
        <f aca="false">IF(HI38="","",IF(HI38&lt;Residual_Month,0,Residual_NetValue))</f>
        <v>#VALUE!</v>
      </c>
      <c r="HJ53" s="0" t="e">
        <f aca="false">IF(HJ38="","",IF(HJ38&lt;Residual_Month,0,Residual_NetValue))</f>
        <v>#VALUE!</v>
      </c>
      <c r="HK53" s="0" t="e">
        <f aca="false">IF(HK38="","",IF(HK38&lt;Residual_Month,0,Residual_NetValue))</f>
        <v>#VALUE!</v>
      </c>
      <c r="HL53" s="0" t="e">
        <f aca="false">IF(HL38="","",IF(HL38&lt;Residual_Month,0,Residual_NetValue))</f>
        <v>#VALUE!</v>
      </c>
      <c r="HM53" s="0" t="e">
        <f aca="false">IF(HM38="","",IF(HM38&lt;Residual_Month,0,Residual_NetValue))</f>
        <v>#VALUE!</v>
      </c>
      <c r="HN53" s="0" t="e">
        <f aca="false">IF(HN38="","",IF(HN38&lt;Residual_Month,0,Residual_NetValue))</f>
        <v>#VALUE!</v>
      </c>
      <c r="HO53" s="0" t="e">
        <f aca="false">IF(HO38="","",IF(HO38&lt;Residual_Month,0,Residual_NetValue))</f>
        <v>#VALUE!</v>
      </c>
      <c r="HP53" s="0" t="e">
        <f aca="false">IF(HP38="","",IF(HP38&lt;Residual_Month,0,Residual_NetValue))</f>
        <v>#VALUE!</v>
      </c>
      <c r="HQ53" s="0" t="e">
        <f aca="false">IF(HQ38="","",IF(HQ38&lt;Residual_Month,0,Residual_NetValue))</f>
        <v>#VALUE!</v>
      </c>
      <c r="HR53" s="0" t="e">
        <f aca="false">IF(HR38="","",IF(HR38&lt;Residual_Month,0,Residual_NetValue))</f>
        <v>#VALUE!</v>
      </c>
      <c r="HS53" s="0" t="e">
        <f aca="false">IF(HS38="","",IF(HS38&lt;Residual_Month,0,Residual_NetValue))</f>
        <v>#VALUE!</v>
      </c>
      <c r="HT53" s="0" t="e">
        <f aca="false">IF(HT38="","",IF(HT38&lt;Residual_Month,0,Residual_NetValue))</f>
        <v>#VALUE!</v>
      </c>
      <c r="HU53" s="0" t="e">
        <f aca="false">IF(HU38="","",IF(HU38&lt;Residual_Month,0,Residual_NetValue))</f>
        <v>#VALUE!</v>
      </c>
      <c r="HV53" s="0" t="e">
        <f aca="false">IF(HV38="","",IF(HV38&lt;Residual_Month,0,Residual_NetValue))</f>
        <v>#VALUE!</v>
      </c>
      <c r="HW53" s="0" t="e">
        <f aca="false">IF(HW38="","",IF(HW38&lt;Residual_Month,0,Residual_NetValue))</f>
        <v>#VALUE!</v>
      </c>
      <c r="HX53" s="0" t="e">
        <f aca="false">IF(HX38="","",IF(HX38&lt;Residual_Month,0,Residual_NetValue))</f>
        <v>#VALUE!</v>
      </c>
      <c r="HY53" s="0" t="e">
        <f aca="false">IF(HY38="","",IF(HY38&lt;Residual_Month,0,Residual_NetValue))</f>
        <v>#VALUE!</v>
      </c>
      <c r="HZ53" s="0" t="e">
        <f aca="false">IF(HZ38="","",IF(HZ38&lt;Residual_Month,0,Residual_NetValue))</f>
        <v>#VALUE!</v>
      </c>
      <c r="IA53" s="0" t="e">
        <f aca="false">IF(IA38="","",IF(IA38&lt;Residual_Month,0,Residual_NetValue))</f>
        <v>#VALUE!</v>
      </c>
      <c r="IB53" s="0" t="e">
        <f aca="false">IF(IB38="","",IF(IB38&lt;Residual_Month,0,Residual_NetValue))</f>
        <v>#VALUE!</v>
      </c>
      <c r="IC53" s="0" t="e">
        <f aca="false">IF(IC38="","",IF(IC38&lt;Residual_Month,0,Residual_NetValue))</f>
        <v>#VALUE!</v>
      </c>
      <c r="ID53" s="0" t="e">
        <f aca="false">IF(ID38="","",IF(ID38&lt;Residual_Month,0,Residual_NetValue))</f>
        <v>#VALUE!</v>
      </c>
      <c r="IE53" s="0" t="e">
        <f aca="false">IF(IE38="","",IF(IE38&lt;Residual_Month,0,Residual_NetValue))</f>
        <v>#VALUE!</v>
      </c>
      <c r="IF53" s="0" t="e">
        <f aca="false">IF(IF38="","",IF(IF38&lt;Residual_Month,0,Residual_NetValue))</f>
        <v>#VALUE!</v>
      </c>
      <c r="IG53" s="0" t="e">
        <f aca="false">IF(IG38="","",IF(IG38&lt;Residual_Month,0,Residual_NetValue))</f>
        <v>#VALUE!</v>
      </c>
      <c r="IH53" s="0" t="e">
        <f aca="false">IF(IH38="","",IF(IH38&lt;Residual_Month,0,Residual_NetValue))</f>
        <v>#VALUE!</v>
      </c>
      <c r="II53" s="0" t="e">
        <f aca="false">IF(II38="","",IF(II38&lt;Residual_Month,0,Residual_NetValue))</f>
        <v>#VALUE!</v>
      </c>
    </row>
    <row r="54" customFormat="false" ht="15" hidden="false" customHeight="false" outlineLevel="0" collapsed="false">
      <c r="B54" s="0" t="s">
        <v>116</v>
      </c>
      <c r="C54" s="0" t="n">
        <f aca="false">IF(C38="","",IF(C38=Residual_Month,Debt_Balloon,0))</f>
        <v>0</v>
      </c>
      <c r="D54" s="0" t="n">
        <f aca="false">IF(D38="","",IF(D38=Residual_Month,Debt_Balloon,0))</f>
        <v>0</v>
      </c>
      <c r="E54" s="0" t="n">
        <f aca="false">IF(E38="","",IF(E38=Residual_Month,Debt_Balloon,0))</f>
        <v>0</v>
      </c>
      <c r="F54" s="0" t="n">
        <f aca="false">IF(F38="","",IF(F38=Residual_Month,Debt_Balloon,0))</f>
        <v>0</v>
      </c>
      <c r="G54" s="0" t="n">
        <f aca="false">IF(G38="","",IF(G38=Residual_Month,Debt_Balloon,0))</f>
        <v>0</v>
      </c>
      <c r="H54" s="0" t="n">
        <f aca="false">IF(H38="","",IF(H38=Residual_Month,Debt_Balloon,0))</f>
        <v>0</v>
      </c>
      <c r="I54" s="0" t="n">
        <f aca="false">IF(I38="","",IF(I38=Residual_Month,Debt_Balloon,0))</f>
        <v>0</v>
      </c>
      <c r="J54" s="0" t="n">
        <f aca="false">IF(J38="","",IF(J38=Residual_Month,Debt_Balloon,0))</f>
        <v>0</v>
      </c>
      <c r="K54" s="0" t="n">
        <f aca="false">IF(K38="","",IF(K38=Residual_Month,Debt_Balloon,0))</f>
        <v>0</v>
      </c>
      <c r="L54" s="0" t="n">
        <f aca="false">IF(L38="","",IF(L38=Residual_Month,Debt_Balloon,0))</f>
        <v>0</v>
      </c>
      <c r="M54" s="0" t="n">
        <f aca="false">IF(M38="","",IF(M38=Residual_Month,Debt_Balloon,0))</f>
        <v>0</v>
      </c>
      <c r="N54" s="0" t="n">
        <f aca="false">IF(N38="","",IF(N38=Residual_Month,Debt_Balloon,0))</f>
        <v>0</v>
      </c>
      <c r="O54" s="0" t="n">
        <f aca="false">IF(O38="","",IF(O38=Residual_Month,Debt_Balloon,0))</f>
        <v>0</v>
      </c>
      <c r="P54" s="0" t="n">
        <f aca="false">IF(P38="","",IF(P38=Residual_Month,Debt_Balloon,0))</f>
        <v>0</v>
      </c>
      <c r="Q54" s="0" t="n">
        <f aca="false">IF(Q38="","",IF(Q38=Residual_Month,Debt_Balloon,0))</f>
        <v>0</v>
      </c>
      <c r="R54" s="0" t="n">
        <f aca="false">IF(R38="","",IF(R38=Residual_Month,Debt_Balloon,0))</f>
        <v>0</v>
      </c>
      <c r="S54" s="0" t="n">
        <f aca="false">IF(S38="","",IF(S38=Residual_Month,Debt_Balloon,0))</f>
        <v>0</v>
      </c>
      <c r="T54" s="0" t="n">
        <f aca="false">IF(T38="","",IF(T38=Residual_Month,Debt_Balloon,0))</f>
        <v>0</v>
      </c>
      <c r="U54" s="0" t="n">
        <f aca="false">IF(U38="","",IF(U38=Residual_Month,Debt_Balloon,0))</f>
        <v>0</v>
      </c>
      <c r="V54" s="0" t="n">
        <f aca="false">IF(V38="","",IF(V38=Residual_Month,Debt_Balloon,0))</f>
        <v>0</v>
      </c>
      <c r="W54" s="0" t="n">
        <f aca="false">IF(W38="","",IF(W38=Residual_Month,Debt_Balloon,0))</f>
        <v>0</v>
      </c>
      <c r="X54" s="0" t="n">
        <f aca="false">IF(X38="","",IF(X38=Residual_Month,Debt_Balloon,0))</f>
        <v>0</v>
      </c>
      <c r="Y54" s="0" t="n">
        <f aca="false">IF(Y38="","",IF(Y38=Residual_Month,Debt_Balloon,0))</f>
        <v>0</v>
      </c>
      <c r="Z54" s="0" t="n">
        <f aca="false">IF(Z38="","",IF(Z38=Residual_Month,Debt_Balloon,0))</f>
        <v>0</v>
      </c>
      <c r="AA54" s="0" t="n">
        <f aca="false">IF(AA38="","",IF(AA38=Residual_Month,Debt_Balloon,0))</f>
        <v>0</v>
      </c>
      <c r="AB54" s="0" t="n">
        <f aca="false">IF(AB38="","",IF(AB38=Residual_Month,Debt_Balloon,0))</f>
        <v>0</v>
      </c>
      <c r="AC54" s="0" t="n">
        <f aca="false">IF(AC38="","",IF(AC38=Residual_Month,Debt_Balloon,0))</f>
        <v>0</v>
      </c>
      <c r="AD54" s="0" t="n">
        <f aca="false">IF(AD38="","",IF(AD38=Residual_Month,Debt_Balloon,0))</f>
        <v>0</v>
      </c>
      <c r="AE54" s="0" t="n">
        <f aca="false">IF(AE38="","",IF(AE38=Residual_Month,Debt_Balloon,0))</f>
        <v>0</v>
      </c>
      <c r="AF54" s="0" t="n">
        <f aca="false">IF(AF38="","",IF(AF38=Residual_Month,Debt_Balloon,0))</f>
        <v>0</v>
      </c>
      <c r="AG54" s="0" t="n">
        <f aca="false">IF(AG38="","",IF(AG38=Residual_Month,Debt_Balloon,0))</f>
        <v>0</v>
      </c>
      <c r="AH54" s="0" t="n">
        <f aca="false">IF(AH38="","",IF(AH38=Residual_Month,Debt_Balloon,0))</f>
        <v>0</v>
      </c>
      <c r="AI54" s="0" t="n">
        <f aca="false">IF(AI38="","",IF(AI38=Residual_Month,Debt_Balloon,0))</f>
        <v>0</v>
      </c>
      <c r="AJ54" s="0" t="n">
        <f aca="false">IF(AJ38="","",IF(AJ38=Residual_Month,Debt_Balloon,0))</f>
        <v>0</v>
      </c>
      <c r="AK54" s="0" t="n">
        <f aca="false">IF(AK38="","",IF(AK38=Residual_Month,Debt_Balloon,0))</f>
        <v>0</v>
      </c>
      <c r="AL54" s="0" t="n">
        <f aca="false">IF(AL38="","",IF(AL38=Residual_Month,Debt_Balloon,0))</f>
        <v>0</v>
      </c>
      <c r="AM54" s="0" t="n">
        <f aca="false">IF(AM38="","",IF(AM38=Residual_Month,Debt_Balloon,0))</f>
        <v>0</v>
      </c>
      <c r="AN54" s="0" t="n">
        <f aca="false">IF(AN38="","",IF(AN38=Residual_Month,Debt_Balloon,0))</f>
        <v>0</v>
      </c>
      <c r="AO54" s="0" t="n">
        <f aca="false">IF(AO38="","",IF(AO38=Residual_Month,Debt_Balloon,0))</f>
        <v>0</v>
      </c>
      <c r="AP54" s="0" t="n">
        <f aca="false">IF(AP38="","",IF(AP38=Residual_Month,Debt_Balloon,0))</f>
        <v>0</v>
      </c>
      <c r="AQ54" s="0" t="n">
        <f aca="false">IF(AQ38="","",IF(AQ38=Residual_Month,Debt_Balloon,0))</f>
        <v>0</v>
      </c>
      <c r="AR54" s="0" t="n">
        <f aca="false">IF(AR38="","",IF(AR38=Residual_Month,Debt_Balloon,0))</f>
        <v>0</v>
      </c>
      <c r="AS54" s="0" t="n">
        <f aca="false">IF(AS38="","",IF(AS38=Residual_Month,Debt_Balloon,0))</f>
        <v>0</v>
      </c>
      <c r="AT54" s="0" t="n">
        <f aca="false">IF(AT38="","",IF(AT38=Residual_Month,Debt_Balloon,0))</f>
        <v>0</v>
      </c>
      <c r="AU54" s="0" t="n">
        <f aca="false">IF(AU38="","",IF(AU38=Residual_Month,Debt_Balloon,0))</f>
        <v>0</v>
      </c>
      <c r="AV54" s="0" t="n">
        <f aca="false">IF(AV38="","",IF(AV38=Residual_Month,Debt_Balloon,0))</f>
        <v>0</v>
      </c>
      <c r="AW54" s="0" t="n">
        <f aca="false">IF(AW38="","",IF(AW38=Residual_Month,Debt_Balloon,0))</f>
        <v>0</v>
      </c>
      <c r="AX54" s="0" t="n">
        <f aca="false">IF(AX38="","",IF(AX38=Residual_Month,Debt_Balloon,0))</f>
        <v>0</v>
      </c>
      <c r="AY54" s="0" t="n">
        <f aca="false">IF(AY38="","",IF(AY38=Residual_Month,Debt_Balloon,0))</f>
        <v>0</v>
      </c>
      <c r="AZ54" s="0" t="n">
        <f aca="false">IF(AZ38="","",IF(AZ38=Residual_Month,Debt_Balloon,0))</f>
        <v>0</v>
      </c>
      <c r="BA54" s="0" t="n">
        <f aca="false">IF(BA38="","",IF(BA38=Residual_Month,Debt_Balloon,0))</f>
        <v>0</v>
      </c>
      <c r="BB54" s="0" t="n">
        <f aca="false">IF(BB38="","",IF(BB38=Residual_Month,Debt_Balloon,0))</f>
        <v>0</v>
      </c>
      <c r="BC54" s="0" t="n">
        <f aca="false">IF(BC38="","",IF(BC38=Residual_Month,Debt_Balloon,0))</f>
        <v>0</v>
      </c>
      <c r="BD54" s="0" t="n">
        <f aca="false">IF(BD38="","",IF(BD38=Residual_Month,Debt_Balloon,0))</f>
        <v>0</v>
      </c>
      <c r="BE54" s="0" t="n">
        <f aca="false">IF(BE38="","",IF(BE38=Residual_Month,Debt_Balloon,0))</f>
        <v>0</v>
      </c>
      <c r="BF54" s="0" t="n">
        <f aca="false">IF(BF38="","",IF(BF38=Residual_Month,Debt_Balloon,0))</f>
        <v>0</v>
      </c>
      <c r="BG54" s="0" t="n">
        <f aca="false">IF(BG38="","",IF(BG38=Residual_Month,Debt_Balloon,0))</f>
        <v>0</v>
      </c>
      <c r="BH54" s="0" t="n">
        <f aca="false">IF(BH38="","",IF(BH38=Residual_Month,Debt_Balloon,0))</f>
        <v>0</v>
      </c>
      <c r="BI54" s="0" t="n">
        <f aca="false">IF(BI38="","",IF(BI38=Residual_Month,Debt_Balloon,0))</f>
        <v>0</v>
      </c>
      <c r="BJ54" s="0" t="n">
        <f aca="false">IF(BJ38="","",IF(BJ38=Residual_Month,Debt_Balloon,0))</f>
        <v>0</v>
      </c>
      <c r="BK54" s="0" t="n">
        <f aca="false">IF(BK38="","",IF(BK38=Residual_Month,Debt_Balloon,0))</f>
        <v>0</v>
      </c>
      <c r="BL54" s="0" t="n">
        <f aca="false">IF(BL38="","",IF(BL38=Residual_Month,Debt_Balloon,0))</f>
        <v>0</v>
      </c>
      <c r="BM54" s="0" t="n">
        <f aca="false">IF(BM38="","",IF(BM38=Residual_Month,Debt_Balloon,0))</f>
        <v>0</v>
      </c>
      <c r="BN54" s="0" t="n">
        <f aca="false">IF(BN38="","",IF(BN38=Residual_Month,Debt_Balloon,0))</f>
        <v>0</v>
      </c>
      <c r="BO54" s="0" t="n">
        <f aca="false">IF(BO38="","",IF(BO38=Residual_Month,Debt_Balloon,0))</f>
        <v>0</v>
      </c>
      <c r="BP54" s="0" t="n">
        <f aca="false">IF(BP38="","",IF(BP38=Residual_Month,Debt_Balloon,0))</f>
        <v>0</v>
      </c>
      <c r="BQ54" s="0" t="n">
        <f aca="false">IF(BQ38="","",IF(BQ38=Residual_Month,Debt_Balloon,0))</f>
        <v>0</v>
      </c>
      <c r="BR54" s="0" t="n">
        <f aca="false">IF(BR38="","",IF(BR38=Residual_Month,Debt_Balloon,0))</f>
        <v>0</v>
      </c>
      <c r="BS54" s="0" t="n">
        <f aca="false">IF(BS38="","",IF(BS38=Residual_Month,Debt_Balloon,0))</f>
        <v>0</v>
      </c>
      <c r="BT54" s="0" t="n">
        <f aca="false">IF(BT38="","",IF(BT38=Residual_Month,Debt_Balloon,0))</f>
        <v>0</v>
      </c>
      <c r="BU54" s="0" t="n">
        <f aca="false">IF(BU38="","",IF(BU38=Residual_Month,Debt_Balloon,0))</f>
        <v>0</v>
      </c>
      <c r="BV54" s="0" t="n">
        <f aca="false">IF(BV38="","",IF(BV38=Residual_Month,Debt_Balloon,0))</f>
        <v>0</v>
      </c>
      <c r="BW54" s="0" t="n">
        <f aca="false">IF(BW38="","",IF(BW38=Residual_Month,Debt_Balloon,0))</f>
        <v>0</v>
      </c>
      <c r="BX54" s="0" t="n">
        <f aca="false">IF(BX38="","",IF(BX38=Residual_Month,Debt_Balloon,0))</f>
        <v>0</v>
      </c>
      <c r="BY54" s="0" t="n">
        <f aca="false">IF(BY38="","",IF(BY38=Residual_Month,Debt_Balloon,0))</f>
        <v>0</v>
      </c>
      <c r="BZ54" s="0" t="n">
        <f aca="false">IF(BZ38="","",IF(BZ38=Residual_Month,Debt_Balloon,0))</f>
        <v>0</v>
      </c>
      <c r="CA54" s="0" t="n">
        <f aca="false">IF(CA38="","",IF(CA38=Residual_Month,Debt_Balloon,0))</f>
        <v>0</v>
      </c>
      <c r="CB54" s="0" t="n">
        <f aca="false">IF(CB38="","",IF(CB38=Residual_Month,Debt_Balloon,0))</f>
        <v>0</v>
      </c>
      <c r="CC54" s="0" t="n">
        <f aca="false">IF(CC38="","",IF(CC38=Residual_Month,Debt_Balloon,0))</f>
        <v>0</v>
      </c>
      <c r="CD54" s="0" t="n">
        <f aca="false">IF(CD38="","",IF(CD38=Residual_Month,Debt_Balloon,0))</f>
        <v>0</v>
      </c>
      <c r="CE54" s="0" t="n">
        <f aca="false">IF(CE38="","",IF(CE38=Residual_Month,Debt_Balloon,0))</f>
        <v>0</v>
      </c>
      <c r="CF54" s="0" t="n">
        <f aca="false">IF(CF38="","",IF(CF38=Residual_Month,Debt_Balloon,0))</f>
        <v>0</v>
      </c>
      <c r="CG54" s="0" t="n">
        <f aca="false">IF(CG38="","",IF(CG38=Residual_Month,Debt_Balloon,0))</f>
        <v>0</v>
      </c>
      <c r="CH54" s="0" t="n">
        <f aca="false">IF(CH38="","",IF(CH38=Residual_Month,Debt_Balloon,0))</f>
        <v>0</v>
      </c>
      <c r="CI54" s="0" t="n">
        <f aca="false">IF(CI38="","",IF(CI38=Residual_Month,Debt_Balloon,0))</f>
        <v>0</v>
      </c>
      <c r="CJ54" s="0" t="n">
        <f aca="false">IF(CJ38="","",IF(CJ38=Residual_Month,Debt_Balloon,0))</f>
        <v>0</v>
      </c>
      <c r="CK54" s="0" t="n">
        <f aca="false">IF(CK38="","",IF(CK38=Residual_Month,Debt_Balloon,0))</f>
        <v>0</v>
      </c>
      <c r="CL54" s="0" t="n">
        <f aca="false">IF(CL38="","",IF(CL38=Residual_Month,Debt_Balloon,0))</f>
        <v>0</v>
      </c>
      <c r="CM54" s="0" t="n">
        <f aca="false">IF(CM38="","",IF(CM38=Residual_Month,Debt_Balloon,0))</f>
        <v>0</v>
      </c>
      <c r="CN54" s="0" t="n">
        <f aca="false">IF(CN38="","",IF(CN38=Residual_Month,Debt_Balloon,0))</f>
        <v>0</v>
      </c>
      <c r="CO54" s="0" t="n">
        <f aca="false">IF(CO38="","",IF(CO38=Residual_Month,Debt_Balloon,0))</f>
        <v>0</v>
      </c>
      <c r="CP54" s="0" t="n">
        <f aca="false">IF(CP38="","",IF(CP38=Residual_Month,Debt_Balloon,0))</f>
        <v>0</v>
      </c>
      <c r="CQ54" s="0" t="n">
        <f aca="false">IF(CQ38="","",IF(CQ38=Residual_Month,Debt_Balloon,0))</f>
        <v>0</v>
      </c>
      <c r="CR54" s="0" t="n">
        <f aca="false">IF(CR38="","",IF(CR38=Residual_Month,Debt_Balloon,0))</f>
        <v>0</v>
      </c>
      <c r="CS54" s="0" t="n">
        <f aca="false">IF(CS38="","",IF(CS38=Residual_Month,Debt_Balloon,0))</f>
        <v>0</v>
      </c>
      <c r="CT54" s="0" t="n">
        <f aca="false">IF(CT38="","",IF(CT38=Residual_Month,Debt_Balloon,0))</f>
        <v>0</v>
      </c>
      <c r="CU54" s="0" t="n">
        <f aca="false">IF(CU38="","",IF(CU38=Residual_Month,Debt_Balloon,0))</f>
        <v>0</v>
      </c>
      <c r="CV54" s="0" t="n">
        <f aca="false">IF(CV38="","",IF(CV38=Residual_Month,Debt_Balloon,0))</f>
        <v>0</v>
      </c>
      <c r="CW54" s="0" t="n">
        <f aca="false">IF(CW38="","",IF(CW38=Residual_Month,Debt_Balloon,0))</f>
        <v>0</v>
      </c>
      <c r="CX54" s="0" t="n">
        <f aca="false">IF(CX38="","",IF(CX38=Residual_Month,Debt_Balloon,0))</f>
        <v>0</v>
      </c>
      <c r="CY54" s="0" t="n">
        <f aca="false">IF(CY38="","",IF(CY38=Residual_Month,Debt_Balloon,0))</f>
        <v>0</v>
      </c>
      <c r="CZ54" s="0" t="n">
        <f aca="false">IF(CZ38="","",IF(CZ38=Residual_Month,Debt_Balloon,0))</f>
        <v>0</v>
      </c>
      <c r="DA54" s="0" t="n">
        <f aca="false">IF(DA38="","",IF(DA38=Residual_Month,Debt_Balloon,0))</f>
        <v>0</v>
      </c>
      <c r="DB54" s="0" t="n">
        <f aca="false">IF(DB38="","",IF(DB38=Residual_Month,Debt_Balloon,0))</f>
        <v>0</v>
      </c>
      <c r="DC54" s="0" t="n">
        <f aca="false">IF(DC38="","",IF(DC38=Residual_Month,Debt_Balloon,0))</f>
        <v>0</v>
      </c>
      <c r="DD54" s="0" t="n">
        <f aca="false">IF(DD38="","",IF(DD38=Residual_Month,Debt_Balloon,0))</f>
        <v>0</v>
      </c>
      <c r="DE54" s="0" t="n">
        <f aca="false">IF(DE38="","",IF(DE38=Residual_Month,Debt_Balloon,0))</f>
        <v>0</v>
      </c>
      <c r="DF54" s="0" t="n">
        <f aca="false">IF(DF38="","",IF(DF38=Residual_Month,Debt_Balloon,0))</f>
        <v>0</v>
      </c>
      <c r="DG54" s="0" t="n">
        <f aca="false">IF(DG38="","",IF(DG38=Residual_Month,Debt_Balloon,0))</f>
        <v>0</v>
      </c>
      <c r="DH54" s="0" t="n">
        <f aca="false">IF(DH38="","",IF(DH38=Residual_Month,Debt_Balloon,0))</f>
        <v>0</v>
      </c>
      <c r="DI54" s="0" t="n">
        <f aca="false">IF(DI38="","",IF(DI38=Residual_Month,Debt_Balloon,0))</f>
        <v>0</v>
      </c>
      <c r="DJ54" s="0" t="n">
        <f aca="false">IF(DJ38="","",IF(DJ38=Residual_Month,Debt_Balloon,0))</f>
        <v>0</v>
      </c>
      <c r="DK54" s="0" t="n">
        <f aca="false">IF(DK38="","",IF(DK38=Residual_Month,Debt_Balloon,0))</f>
        <v>0</v>
      </c>
      <c r="DL54" s="0" t="n">
        <f aca="false">IF(DL38="","",IF(DL38=Residual_Month,Debt_Balloon,0))</f>
        <v>0</v>
      </c>
      <c r="DM54" s="0" t="n">
        <f aca="false">IF(DM38="","",IF(DM38=Residual_Month,Debt_Balloon,0))</f>
        <v>0</v>
      </c>
      <c r="DN54" s="0" t="n">
        <f aca="false">IF(DN38="","",IF(DN38=Residual_Month,Debt_Balloon,0))</f>
        <v>0</v>
      </c>
      <c r="DO54" s="0" t="n">
        <f aca="false">IF(DO38="","",IF(DO38=Residual_Month,Debt_Balloon,0))</f>
        <v>0</v>
      </c>
      <c r="DP54" s="0" t="n">
        <f aca="false">IF(DP38="","",IF(DP38=Residual_Month,Debt_Balloon,0))</f>
        <v>0</v>
      </c>
      <c r="DQ54" s="0" t="n">
        <f aca="false">IF(DQ38="","",IF(DQ38=Residual_Month,Debt_Balloon,0))</f>
        <v>0</v>
      </c>
      <c r="DR54" s="0" t="n">
        <f aca="false">IF(DR38="","",IF(DR38=Residual_Month,Debt_Balloon,0))</f>
        <v>0</v>
      </c>
      <c r="DS54" s="0" t="n">
        <f aca="false">IF(DS38="","",IF(DS38=Residual_Month,Debt_Balloon,0))</f>
        <v>0</v>
      </c>
      <c r="DT54" s="0" t="n">
        <f aca="false">IF(DT38="","",IF(DT38=Residual_Month,Debt_Balloon,0))</f>
        <v>0</v>
      </c>
      <c r="DU54" s="0" t="n">
        <f aca="false">IF(DU38="","",IF(DU38=Residual_Month,Debt_Balloon,0))</f>
        <v>0</v>
      </c>
      <c r="DV54" s="0" t="n">
        <f aca="false">IF(DV38="","",IF(DV38=Residual_Month,Debt_Balloon,0))</f>
        <v>0</v>
      </c>
      <c r="DW54" s="0" t="n">
        <f aca="false">IF(DW38="","",IF(DW38=Residual_Month,Debt_Balloon,0))</f>
        <v>0</v>
      </c>
      <c r="DX54" s="0" t="n">
        <f aca="false">IF(DX38="","",IF(DX38=Residual_Month,Debt_Balloon,0))</f>
        <v>0</v>
      </c>
      <c r="DY54" s="0" t="n">
        <f aca="false">IF(DY38="","",IF(DY38=Residual_Month,Debt_Balloon,0))</f>
        <v>0</v>
      </c>
      <c r="DZ54" s="0" t="n">
        <f aca="false">IF(DZ38="","",IF(DZ38=Residual_Month,Debt_Balloon,0))</f>
        <v>0</v>
      </c>
      <c r="EA54" s="0" t="n">
        <f aca="false">IF(EA38="","",IF(EA38=Residual_Month,Debt_Balloon,0))</f>
        <v>0</v>
      </c>
      <c r="EB54" s="0" t="n">
        <f aca="false">IF(EB38="","",IF(EB38=Residual_Month,Debt_Balloon,0))</f>
        <v>0</v>
      </c>
      <c r="EC54" s="0" t="n">
        <f aca="false">IF(EC38="","",IF(EC38=Residual_Month,Debt_Balloon,0))</f>
        <v>0</v>
      </c>
      <c r="ED54" s="0" t="n">
        <f aca="false">IF(ED38="","",IF(ED38=Residual_Month,Debt_Balloon,0))</f>
        <v>0</v>
      </c>
      <c r="EE54" s="0" t="n">
        <f aca="false">IF(EE38="","",IF(EE38=Residual_Month,Debt_Balloon,0))</f>
        <v>0</v>
      </c>
      <c r="EF54" s="0" t="n">
        <f aca="false">IF(EF38="","",IF(EF38=Residual_Month,Debt_Balloon,0))</f>
        <v>0</v>
      </c>
      <c r="EG54" s="0" t="n">
        <f aca="false">IF(EG38="","",IF(EG38=Residual_Month,Debt_Balloon,0))</f>
        <v>0</v>
      </c>
      <c r="EH54" s="0" t="n">
        <f aca="false">IF(EH38="","",IF(EH38=Residual_Month,Debt_Balloon,0))</f>
        <v>0</v>
      </c>
      <c r="EI54" s="0" t="n">
        <f aca="false">IF(EI38="","",IF(EI38=Residual_Month,Debt_Balloon,0))</f>
        <v>0</v>
      </c>
      <c r="EJ54" s="0" t="n">
        <f aca="false">IF(EJ38="","",IF(EJ38=Residual_Month,Debt_Balloon,0))</f>
        <v>0</v>
      </c>
      <c r="EK54" s="0" t="n">
        <f aca="false">IF(EK38="","",IF(EK38=Residual_Month,Debt_Balloon,0))</f>
        <v>0</v>
      </c>
      <c r="EL54" s="0" t="n">
        <f aca="false">IF(EL38="","",IF(EL38=Residual_Month,Debt_Balloon,0))</f>
        <v>0</v>
      </c>
      <c r="EM54" s="0" t="n">
        <f aca="false">IF(EM38="","",IF(EM38=Residual_Month,Debt_Balloon,0))</f>
        <v>0</v>
      </c>
      <c r="EN54" s="0" t="n">
        <f aca="false">IF(EN38="","",IF(EN38=Residual_Month,Debt_Balloon,0))</f>
        <v>0</v>
      </c>
      <c r="EO54" s="0" t="n">
        <f aca="false">IF(EO38="","",IF(EO38=Residual_Month,Debt_Balloon,0))</f>
        <v>0</v>
      </c>
      <c r="EP54" s="0" t="n">
        <f aca="false">IF(EP38="","",IF(EP38=Residual_Month,Debt_Balloon,0))</f>
        <v>0</v>
      </c>
      <c r="EQ54" s="0" t="n">
        <f aca="false">IF(EQ38="","",IF(EQ38=Residual_Month,Debt_Balloon,0))</f>
        <v>0</v>
      </c>
      <c r="ER54" s="0" t="n">
        <f aca="false">IF(ER38="","",IF(ER38=Residual_Month,Debt_Balloon,0))</f>
        <v>0</v>
      </c>
      <c r="ES54" s="0" t="n">
        <f aca="false">IF(ES38="","",IF(ES38=Residual_Month,Debt_Balloon,0))</f>
        <v>0</v>
      </c>
      <c r="ET54" s="0" t="n">
        <f aca="false">IF(ET38="","",IF(ET38=Residual_Month,Debt_Balloon,0))</f>
        <v>0</v>
      </c>
      <c r="EU54" s="0" t="n">
        <f aca="false">IF(EU38="","",IF(EU38=Residual_Month,Debt_Balloon,0))</f>
        <v>0</v>
      </c>
      <c r="EV54" s="0" t="n">
        <f aca="false">IF(EV38="","",IF(EV38=Residual_Month,Debt_Balloon,0))</f>
        <v>0</v>
      </c>
      <c r="EW54" s="0" t="n">
        <f aca="false">IF(EW38="","",IF(EW38=Residual_Month,Debt_Balloon,0))</f>
        <v>0</v>
      </c>
      <c r="EX54" s="0" t="n">
        <f aca="false">IF(EX38="","",IF(EX38=Residual_Month,Debt_Balloon,0))</f>
        <v>0</v>
      </c>
      <c r="EY54" s="0" t="n">
        <f aca="false">IF(EY38="","",IF(EY38=Residual_Month,Debt_Balloon,0))</f>
        <v>0</v>
      </c>
      <c r="EZ54" s="0" t="n">
        <f aca="false">IF(EZ38="","",IF(EZ38=Residual_Month,Debt_Balloon,0))</f>
        <v>0</v>
      </c>
      <c r="FA54" s="0" t="n">
        <f aca="false">IF(FA38="","",IF(FA38=Residual_Month,Debt_Balloon,0))</f>
        <v>0</v>
      </c>
      <c r="FB54" s="0" t="n">
        <f aca="false">IF(FB38="","",IF(FB38=Residual_Month,Debt_Balloon,0))</f>
        <v>0</v>
      </c>
      <c r="FC54" s="7" t="n">
        <f aca="false">IF(FC38="","",IF(FC38=Residual_Month,Debt_Balloon,0))</f>
        <v>3734235.51798289</v>
      </c>
      <c r="FD54" s="0" t="str">
        <f aca="false">IF(FD38="","",IF(FD38=Residual_Month,Debt_Balloon,0))</f>
        <v/>
      </c>
      <c r="FE54" s="4" t="e">
        <f aca="false">IF(FE38="","",IF(FE38=Residual_Month,Debt_Balloon,0))</f>
        <v>#VALUE!</v>
      </c>
      <c r="FF54" s="4" t="e">
        <f aca="false">IF(FF38="","",IF(FF38=Residual_Month,Debt_Balloon,0))</f>
        <v>#VALUE!</v>
      </c>
      <c r="FG54" s="4" t="e">
        <f aca="false">IF(FG38="","",IF(FG38=Residual_Month,Debt_Balloon,0))</f>
        <v>#VALUE!</v>
      </c>
      <c r="FH54" s="4" t="e">
        <f aca="false">IF(FH38="","",IF(FH38=Residual_Month,Debt_Balloon,0))</f>
        <v>#VALUE!</v>
      </c>
      <c r="FI54" s="4" t="e">
        <f aca="false">IF(FI38="","",IF(FI38=Residual_Month,Debt_Balloon,0))</f>
        <v>#VALUE!</v>
      </c>
      <c r="FJ54" s="4" t="e">
        <f aca="false">IF(FJ38="","",IF(FJ38=Residual_Month,Debt_Balloon,0))</f>
        <v>#VALUE!</v>
      </c>
      <c r="FK54" s="4" t="e">
        <f aca="false">IF(FK38="","",IF(FK38=Residual_Month,Debt_Balloon,0))</f>
        <v>#VALUE!</v>
      </c>
      <c r="FL54" s="4" t="e">
        <f aca="false">IF(FL38="","",IF(FL38=Residual_Month,Debt_Balloon,0))</f>
        <v>#VALUE!</v>
      </c>
      <c r="FM54" s="4" t="e">
        <f aca="false">IF(FM38="","",IF(FM38=Residual_Month,Debt_Balloon,0))</f>
        <v>#VALUE!</v>
      </c>
      <c r="FN54" s="4" t="e">
        <f aca="false">IF(FN38="","",IF(FN38=Residual_Month,Debt_Balloon,0))</f>
        <v>#VALUE!</v>
      </c>
      <c r="FO54" s="4" t="e">
        <f aca="false">IF(FO38="","",IF(FO38=Residual_Month,Debt_Balloon,0))</f>
        <v>#VALUE!</v>
      </c>
      <c r="FP54" s="4" t="e">
        <f aca="false">IF(FP38="","",IF(FP38=Residual_Month,Debt_Balloon,0))</f>
        <v>#VALUE!</v>
      </c>
      <c r="FQ54" s="4" t="e">
        <f aca="false">IF(FQ38="","",IF(FQ38=Residual_Month,Debt_Balloon,0))</f>
        <v>#VALUE!</v>
      </c>
      <c r="FR54" s="4" t="e">
        <f aca="false">IF(FR38="","",IF(FR38=Residual_Month,Debt_Balloon,0))</f>
        <v>#VALUE!</v>
      </c>
      <c r="FS54" s="4" t="e">
        <f aca="false">IF(FS38="","",IF(FS38=Residual_Month,Debt_Balloon,0))</f>
        <v>#VALUE!</v>
      </c>
      <c r="FT54" s="4" t="e">
        <f aca="false">IF(FT38="","",IF(FT38=Residual_Month,Debt_Balloon,0))</f>
        <v>#VALUE!</v>
      </c>
      <c r="FU54" s="4" t="e">
        <f aca="false">IF(FU38="","",IF(FU38=Residual_Month,Debt_Balloon,0))</f>
        <v>#VALUE!</v>
      </c>
      <c r="FV54" s="4" t="e">
        <f aca="false">IF(FV38="","",IF(FV38=Residual_Month,Debt_Balloon,0))</f>
        <v>#VALUE!</v>
      </c>
      <c r="FW54" s="4" t="e">
        <f aca="false">IF(FW38="","",IF(FW38=Residual_Month,Debt_Balloon,0))</f>
        <v>#VALUE!</v>
      </c>
      <c r="FX54" s="4" t="e">
        <f aca="false">IF(FX38="","",IF(FX38=Residual_Month,Debt_Balloon,0))</f>
        <v>#VALUE!</v>
      </c>
      <c r="FY54" s="4" t="e">
        <f aca="false">IF(FY38="","",IF(FY38=Residual_Month,Debt_Balloon,0))</f>
        <v>#VALUE!</v>
      </c>
      <c r="FZ54" s="4" t="e">
        <f aca="false">IF(FZ38="","",IF(FZ38=Residual_Month,Debt_Balloon,0))</f>
        <v>#VALUE!</v>
      </c>
      <c r="GA54" s="4" t="e">
        <f aca="false">IF(GA38="","",IF(GA38=Residual_Month,Debt_Balloon,0))</f>
        <v>#VALUE!</v>
      </c>
      <c r="GB54" s="4" t="e">
        <f aca="false">IF(GB38="","",IF(GB38=Residual_Month,Debt_Balloon,0))</f>
        <v>#VALUE!</v>
      </c>
      <c r="GC54" s="4" t="e">
        <f aca="false">IF(GC38="","",IF(GC38=Residual_Month,Debt_Balloon,0))</f>
        <v>#VALUE!</v>
      </c>
      <c r="GD54" s="4" t="e">
        <f aca="false">IF(GD38="","",IF(GD38=Residual_Month,Debt_Balloon,0))</f>
        <v>#VALUE!</v>
      </c>
      <c r="GE54" s="4" t="e">
        <f aca="false">IF(GE38="","",IF(GE38=Residual_Month,Debt_Balloon,0))</f>
        <v>#VALUE!</v>
      </c>
      <c r="GF54" s="4" t="e">
        <f aca="false">IF(GF38="","",IF(GF38=Residual_Month,Debt_Balloon,0))</f>
        <v>#VALUE!</v>
      </c>
      <c r="GG54" s="4" t="e">
        <f aca="false">IF(GG38="","",IF(GG38=Residual_Month,Debt_Balloon,0))</f>
        <v>#VALUE!</v>
      </c>
      <c r="GH54" s="4" t="e">
        <f aca="false">IF(GH38="","",IF(GH38=Residual_Month,Debt_Balloon,0))</f>
        <v>#VALUE!</v>
      </c>
      <c r="GI54" s="4" t="e">
        <f aca="false">IF(GI38="","",IF(GI38=Residual_Month,Debt_Balloon,0))</f>
        <v>#VALUE!</v>
      </c>
      <c r="GJ54" s="4" t="e">
        <f aca="false">IF(GJ38="","",IF(GJ38=Residual_Month,Debt_Balloon,0))</f>
        <v>#VALUE!</v>
      </c>
      <c r="GK54" s="4" t="e">
        <f aca="false">IF(GK38="","",IF(GK38=Residual_Month,Debt_Balloon,0))</f>
        <v>#VALUE!</v>
      </c>
      <c r="GL54" s="4" t="e">
        <f aca="false">IF(GL38="","",IF(GL38=Residual_Month,Debt_Balloon,0))</f>
        <v>#VALUE!</v>
      </c>
      <c r="GM54" s="4" t="e">
        <f aca="false">IF(GM38="","",IF(GM38=Residual_Month,Debt_Balloon,0))</f>
        <v>#VALUE!</v>
      </c>
      <c r="GN54" s="4" t="e">
        <f aca="false">IF(GN38="","",IF(GN38=Residual_Month,Debt_Balloon,0))</f>
        <v>#VALUE!</v>
      </c>
      <c r="GO54" s="4" t="e">
        <f aca="false">IF(GO38="","",IF(GO38=Residual_Month,Debt_Balloon,0))</f>
        <v>#VALUE!</v>
      </c>
      <c r="GP54" s="4" t="e">
        <f aca="false">IF(GP38="","",IF(GP38=Residual_Month,Debt_Balloon,0))</f>
        <v>#VALUE!</v>
      </c>
      <c r="GQ54" s="4" t="e">
        <f aca="false">IF(GQ38="","",IF(GQ38=Residual_Month,Debt_Balloon,0))</f>
        <v>#VALUE!</v>
      </c>
      <c r="GR54" s="4" t="e">
        <f aca="false">IF(GR38="","",IF(GR38=Residual_Month,Debt_Balloon,0))</f>
        <v>#VALUE!</v>
      </c>
      <c r="GS54" s="4" t="e">
        <f aca="false">IF(GS38="","",IF(GS38=Residual_Month,Debt_Balloon,0))</f>
        <v>#VALUE!</v>
      </c>
      <c r="GT54" s="4" t="e">
        <f aca="false">IF(GT38="","",IF(GT38=Residual_Month,Debt_Balloon,0))</f>
        <v>#VALUE!</v>
      </c>
      <c r="GU54" s="4" t="e">
        <f aca="false">IF(GU38="","",IF(GU38=Residual_Month,Debt_Balloon,0))</f>
        <v>#VALUE!</v>
      </c>
      <c r="GV54" s="4" t="e">
        <f aca="false">IF(GV38="","",IF(GV38=Residual_Month,Debt_Balloon,0))</f>
        <v>#VALUE!</v>
      </c>
      <c r="GW54" s="4" t="e">
        <f aca="false">IF(GW38="","",IF(GW38=Residual_Month,Debt_Balloon,0))</f>
        <v>#VALUE!</v>
      </c>
      <c r="GX54" s="4" t="e">
        <f aca="false">IF(GX38="","",IF(GX38=Residual_Month,Debt_Balloon,0))</f>
        <v>#VALUE!</v>
      </c>
      <c r="GY54" s="4" t="e">
        <f aca="false">IF(GY38="","",IF(GY38=Residual_Month,Debt_Balloon,0))</f>
        <v>#VALUE!</v>
      </c>
      <c r="GZ54" s="4" t="e">
        <f aca="false">IF(GZ38="","",IF(GZ38=Residual_Month,Debt_Balloon,0))</f>
        <v>#VALUE!</v>
      </c>
      <c r="HA54" s="4" t="e">
        <f aca="false">IF(HA38="","",IF(HA38=Residual_Month,Debt_Balloon,0))</f>
        <v>#VALUE!</v>
      </c>
      <c r="HB54" s="4" t="e">
        <f aca="false">IF(HB38="","",IF(HB38=Residual_Month,Debt_Balloon,0))</f>
        <v>#VALUE!</v>
      </c>
      <c r="HC54" s="4" t="e">
        <f aca="false">IF(HC38="","",IF(HC38=Residual_Month,Debt_Balloon,0))</f>
        <v>#VALUE!</v>
      </c>
      <c r="HD54" s="4" t="e">
        <f aca="false">IF(HD38="","",IF(HD38=Residual_Month,Debt_Balloon,0))</f>
        <v>#VALUE!</v>
      </c>
      <c r="HE54" s="4" t="e">
        <f aca="false">IF(HE38="","",IF(HE38=Residual_Month,Debt_Balloon,0))</f>
        <v>#VALUE!</v>
      </c>
      <c r="HF54" s="4" t="e">
        <f aca="false">IF(HF38="","",IF(HF38=Residual_Month,Debt_Balloon,0))</f>
        <v>#VALUE!</v>
      </c>
      <c r="HG54" s="4" t="e">
        <f aca="false">IF(HG38="","",IF(HG38=Residual_Month,Debt_Balloon,0))</f>
        <v>#VALUE!</v>
      </c>
      <c r="HH54" s="4" t="e">
        <f aca="false">IF(HH38="","",IF(HH38=Residual_Month,Debt_Balloon,0))</f>
        <v>#VALUE!</v>
      </c>
      <c r="HI54" s="4" t="e">
        <f aca="false">IF(HI38="","",IF(HI38=Residual_Month,Debt_Balloon,0))</f>
        <v>#VALUE!</v>
      </c>
      <c r="HJ54" s="4" t="e">
        <f aca="false">IF(HJ38="","",IF(HJ38=Residual_Month,Debt_Balloon,0))</f>
        <v>#VALUE!</v>
      </c>
      <c r="HK54" s="4" t="e">
        <f aca="false">IF(HK38="","",IF(HK38=Residual_Month,Debt_Balloon,0))</f>
        <v>#VALUE!</v>
      </c>
      <c r="HL54" s="4" t="e">
        <f aca="false">IF(HL38="","",IF(HL38=Residual_Month,Debt_Balloon,0))</f>
        <v>#VALUE!</v>
      </c>
      <c r="HM54" s="4" t="e">
        <f aca="false">IF(HM38="","",IF(HM38=Residual_Month,Debt_Balloon,0))</f>
        <v>#VALUE!</v>
      </c>
      <c r="HN54" s="4" t="e">
        <f aca="false">IF(HN38="","",IF(HN38=Residual_Month,Debt_Balloon,0))</f>
        <v>#VALUE!</v>
      </c>
      <c r="HO54" s="4" t="e">
        <f aca="false">IF(HO38="","",IF(HO38=Residual_Month,Debt_Balloon,0))</f>
        <v>#VALUE!</v>
      </c>
      <c r="HP54" s="4" t="e">
        <f aca="false">IF(HP38="","",IF(HP38=Residual_Month,Debt_Balloon,0))</f>
        <v>#VALUE!</v>
      </c>
      <c r="HQ54" s="4" t="e">
        <f aca="false">IF(HQ38="","",IF(HQ38=Residual_Month,Debt_Balloon,0))</f>
        <v>#VALUE!</v>
      </c>
      <c r="HR54" s="4" t="e">
        <f aca="false">IF(HR38="","",IF(HR38=Residual_Month,Debt_Balloon,0))</f>
        <v>#VALUE!</v>
      </c>
      <c r="HS54" s="4" t="e">
        <f aca="false">IF(HS38="","",IF(HS38=Residual_Month,Debt_Balloon,0))</f>
        <v>#VALUE!</v>
      </c>
      <c r="HT54" s="4" t="e">
        <f aca="false">IF(HT38="","",IF(HT38=Residual_Month,Debt_Balloon,0))</f>
        <v>#VALUE!</v>
      </c>
      <c r="HU54" s="4" t="e">
        <f aca="false">IF(HU38="","",IF(HU38=Residual_Month,Debt_Balloon,0))</f>
        <v>#VALUE!</v>
      </c>
      <c r="HV54" s="4" t="e">
        <f aca="false">IF(HV38="","",IF(HV38=Residual_Month,Debt_Balloon,0))</f>
        <v>#VALUE!</v>
      </c>
      <c r="HW54" s="4" t="e">
        <f aca="false">IF(HW38="","",IF(HW38=Residual_Month,Debt_Balloon,0))</f>
        <v>#VALUE!</v>
      </c>
      <c r="HX54" s="4" t="e">
        <f aca="false">IF(HX38="","",IF(HX38=Residual_Month,Debt_Balloon,0))</f>
        <v>#VALUE!</v>
      </c>
      <c r="HY54" s="4" t="e">
        <f aca="false">IF(HY38="","",IF(HY38=Residual_Month,Debt_Balloon,0))</f>
        <v>#VALUE!</v>
      </c>
      <c r="HZ54" s="4" t="e">
        <f aca="false">IF(HZ38="","",IF(HZ38=Residual_Month,Debt_Balloon,0))</f>
        <v>#VALUE!</v>
      </c>
      <c r="IA54" s="4" t="e">
        <f aca="false">IF(IA38="","",IF(IA38=Residual_Month,Debt_Balloon,0))</f>
        <v>#VALUE!</v>
      </c>
      <c r="IB54" s="4" t="e">
        <f aca="false">IF(IB38="","",IF(IB38=Residual_Month,Debt_Balloon,0))</f>
        <v>#VALUE!</v>
      </c>
      <c r="IC54" s="4" t="e">
        <f aca="false">IF(IC38="","",IF(IC38=Residual_Month,Debt_Balloon,0))</f>
        <v>#VALUE!</v>
      </c>
      <c r="ID54" s="4" t="e">
        <f aca="false">IF(ID38="","",IF(ID38=Residual_Month,Debt_Balloon,0))</f>
        <v>#VALUE!</v>
      </c>
      <c r="IE54" s="4" t="e">
        <f aca="false">IF(IE38="","",IF(IE38=Residual_Month,Debt_Balloon,0))</f>
        <v>#VALUE!</v>
      </c>
      <c r="IF54" s="4" t="e">
        <f aca="false">IF(IF38="","",IF(IF38=Residual_Month,Debt_Balloon,0))</f>
        <v>#VALUE!</v>
      </c>
      <c r="IG54" s="4" t="e">
        <f aca="false">IF(IG38="","",IF(IG38=Residual_Month,Debt_Balloon,0))</f>
        <v>#VALUE!</v>
      </c>
      <c r="IH54" s="4" t="e">
        <f aca="false">IF(IH38="","",IF(IH38=Residual_Month,Debt_Balloon,0))</f>
        <v>#VALUE!</v>
      </c>
      <c r="II54" s="4" t="e">
        <f aca="false">IF(II38="","",IF(II38=Residual_Month,Debt_Balloon,0))</f>
        <v>#VALUE!</v>
      </c>
    </row>
    <row r="56" customFormat="false" ht="15" hidden="false" customHeight="false" outlineLevel="0" collapsed="false">
      <c r="B56" s="0" t="s">
        <v>107</v>
      </c>
      <c r="C56" s="0" t="n">
        <f aca="false">IF(C38="","",C48-C51+C53)</f>
        <v>-7575283.33333333</v>
      </c>
      <c r="D56" s="0" t="n">
        <f aca="false">IF(D38="","",D48-D51+D53)</f>
        <v>46162.5</v>
      </c>
      <c r="E56" s="0" t="n">
        <f aca="false">IF(E38="","",E48-E51+E53)</f>
        <v>46162.5</v>
      </c>
      <c r="F56" s="0" t="n">
        <f aca="false">IF(F38="","",F48-F51+F53)</f>
        <v>46162.5</v>
      </c>
      <c r="G56" s="0" t="n">
        <f aca="false">IF(G38="","",G48-G51+G53)</f>
        <v>46162.5</v>
      </c>
      <c r="H56" s="0" t="n">
        <f aca="false">IF(H38="","",H48-H51+H53)</f>
        <v>46162.5</v>
      </c>
      <c r="I56" s="0" t="n">
        <f aca="false">IF(I38="","",I48-I51+I53)</f>
        <v>46162.5</v>
      </c>
      <c r="J56" s="0" t="n">
        <f aca="false">IF(J38="","",J48-J51+J53)</f>
        <v>46162.5</v>
      </c>
      <c r="K56" s="0" t="n">
        <f aca="false">IF(K38="","",K48-K51+K53)</f>
        <v>46162.5</v>
      </c>
      <c r="L56" s="0" t="n">
        <f aca="false">IF(L38="","",L48-L51+L53)</f>
        <v>46162.5</v>
      </c>
      <c r="M56" s="0" t="n">
        <f aca="false">IF(M38="","",M48-M51+M53)</f>
        <v>46162.5</v>
      </c>
      <c r="N56" s="0" t="n">
        <f aca="false">IF(N38="","",N48-N51+N53)</f>
        <v>46162.5</v>
      </c>
      <c r="O56" s="0" t="n">
        <f aca="false">IF(O38="","",O48-O51+O53)</f>
        <v>46162.5</v>
      </c>
      <c r="P56" s="0" t="n">
        <f aca="false">IF(P38="","",P48-P51+P53)</f>
        <v>47083.3333333333</v>
      </c>
      <c r="Q56" s="0" t="n">
        <f aca="false">IF(Q38="","",Q48-Q51+Q53)</f>
        <v>47083.3333333333</v>
      </c>
      <c r="R56" s="0" t="n">
        <f aca="false">IF(R38="","",R48-R51+R53)</f>
        <v>47083.3333333333</v>
      </c>
      <c r="S56" s="0" t="n">
        <f aca="false">IF(S38="","",S48-S51+S53)</f>
        <v>47083.3333333333</v>
      </c>
      <c r="T56" s="0" t="n">
        <f aca="false">IF(T38="","",T48-T51+T53)</f>
        <v>47083.3333333333</v>
      </c>
      <c r="U56" s="0" t="n">
        <f aca="false">IF(U38="","",U48-U51+U53)</f>
        <v>47083.3333333333</v>
      </c>
      <c r="V56" s="0" t="n">
        <f aca="false">IF(V38="","",V48-V51+V53)</f>
        <v>47083.3333333333</v>
      </c>
      <c r="W56" s="0" t="n">
        <f aca="false">IF(W38="","",W48-W51+W53)</f>
        <v>47083.3333333333</v>
      </c>
      <c r="X56" s="0" t="n">
        <f aca="false">IF(X38="","",X48-X51+X53)</f>
        <v>47083.3333333333</v>
      </c>
      <c r="Y56" s="0" t="n">
        <f aca="false">IF(Y38="","",Y48-Y51+Y53)</f>
        <v>47083.3333333333</v>
      </c>
      <c r="Z56" s="0" t="n">
        <f aca="false">IF(Z38="","",Z48-Z51+Z53)</f>
        <v>47083.3333333333</v>
      </c>
      <c r="AA56" s="0" t="n">
        <f aca="false">IF(AA38="","",AA48-AA51+AA53)</f>
        <v>47083.3333333333</v>
      </c>
      <c r="AB56" s="0" t="n">
        <f aca="false">IF(AB38="","",AB48-AB51+AB53)</f>
        <v>48022.5229166667</v>
      </c>
      <c r="AC56" s="0" t="n">
        <f aca="false">IF(AC38="","",AC48-AC51+AC53)</f>
        <v>48022.5229166667</v>
      </c>
      <c r="AD56" s="0" t="n">
        <f aca="false">IF(AD38="","",AD48-AD51+AD53)</f>
        <v>48022.5229166667</v>
      </c>
      <c r="AE56" s="0" t="n">
        <f aca="false">IF(AE38="","",AE48-AE51+AE53)</f>
        <v>48022.5229166667</v>
      </c>
      <c r="AF56" s="0" t="n">
        <f aca="false">IF(AF38="","",AF48-AF51+AF53)</f>
        <v>48022.5229166667</v>
      </c>
      <c r="AG56" s="0" t="n">
        <f aca="false">IF(AG38="","",AG48-AG51+AG53)</f>
        <v>48022.5229166667</v>
      </c>
      <c r="AH56" s="0" t="n">
        <f aca="false">IF(AH38="","",AH48-AH51+AH53)</f>
        <v>48022.5229166667</v>
      </c>
      <c r="AI56" s="0" t="n">
        <f aca="false">IF(AI38="","",AI48-AI51+AI53)</f>
        <v>48022.5229166667</v>
      </c>
      <c r="AJ56" s="0" t="n">
        <f aca="false">IF(AJ38="","",AJ48-AJ51+AJ53)</f>
        <v>48022.5229166667</v>
      </c>
      <c r="AK56" s="0" t="n">
        <f aca="false">IF(AK38="","",AK48-AK51+AK53)</f>
        <v>48022.5229166667</v>
      </c>
      <c r="AL56" s="0" t="n">
        <f aca="false">IF(AL38="","",AL48-AL51+AL53)</f>
        <v>48022.5229166667</v>
      </c>
      <c r="AM56" s="0" t="n">
        <f aca="false">IF(AM38="","",AM48-AM51+AM53)</f>
        <v>48022.5229166667</v>
      </c>
      <c r="AN56" s="0" t="n">
        <f aca="false">IF(AN38="","",AN48-AN51+AN53)</f>
        <v>48980.4343645833</v>
      </c>
      <c r="AO56" s="0" t="n">
        <f aca="false">IF(AO38="","",AO48-AO51+AO53)</f>
        <v>48980.4343645833</v>
      </c>
      <c r="AP56" s="0" t="n">
        <f aca="false">IF(AP38="","",AP48-AP51+AP53)</f>
        <v>48980.4343645833</v>
      </c>
      <c r="AQ56" s="0" t="n">
        <f aca="false">IF(AQ38="","",AQ48-AQ51+AQ53)</f>
        <v>48980.4343645833</v>
      </c>
      <c r="AR56" s="0" t="n">
        <f aca="false">IF(AR38="","",AR48-AR51+AR53)</f>
        <v>48980.4343645833</v>
      </c>
      <c r="AS56" s="0" t="n">
        <f aca="false">IF(AS38="","",AS48-AS51+AS53)</f>
        <v>48980.4343645833</v>
      </c>
      <c r="AT56" s="0" t="n">
        <f aca="false">IF(AT38="","",AT48-AT51+AT53)</f>
        <v>48980.4343645833</v>
      </c>
      <c r="AU56" s="0" t="n">
        <f aca="false">IF(AU38="","",AU48-AU51+AU53)</f>
        <v>48980.4343645833</v>
      </c>
      <c r="AV56" s="0" t="n">
        <f aca="false">IF(AV38="","",AV48-AV51+AV53)</f>
        <v>48980.4343645833</v>
      </c>
      <c r="AW56" s="0" t="n">
        <f aca="false">IF(AW38="","",AW48-AW51+AW53)</f>
        <v>48980.4343645833</v>
      </c>
      <c r="AX56" s="0" t="n">
        <f aca="false">IF(AX38="","",AX48-AX51+AX53)</f>
        <v>48980.4343645833</v>
      </c>
      <c r="AY56" s="0" t="n">
        <f aca="false">IF(AY38="","",AY48-AY51+AY53)</f>
        <v>48980.4343645833</v>
      </c>
      <c r="AZ56" s="0" t="n">
        <f aca="false">IF(AZ38="","",AZ48-AZ51+AZ53)</f>
        <v>49957.4405661979</v>
      </c>
      <c r="BA56" s="0" t="n">
        <f aca="false">IF(BA38="","",BA48-BA51+BA53)</f>
        <v>49957.4405661979</v>
      </c>
      <c r="BB56" s="0" t="n">
        <f aca="false">IF(BB38="","",BB48-BB51+BB53)</f>
        <v>49957.4405661979</v>
      </c>
      <c r="BC56" s="0" t="n">
        <f aca="false">IF(BC38="","",BC48-BC51+BC53)</f>
        <v>49957.4405661979</v>
      </c>
      <c r="BD56" s="0" t="n">
        <f aca="false">IF(BD38="","",BD48-BD51+BD53)</f>
        <v>49957.4405661979</v>
      </c>
      <c r="BE56" s="0" t="n">
        <f aca="false">IF(BE38="","",BE48-BE51+BE53)</f>
        <v>49957.4405661979</v>
      </c>
      <c r="BF56" s="0" t="n">
        <f aca="false">IF(BF38="","",BF48-BF51+BF53)</f>
        <v>49957.4405661979</v>
      </c>
      <c r="BG56" s="0" t="n">
        <f aca="false">IF(BG38="","",BG48-BG51+BG53)</f>
        <v>49957.4405661979</v>
      </c>
      <c r="BH56" s="0" t="n">
        <f aca="false">IF(BH38="","",BH48-BH51+BH53)</f>
        <v>49957.4405661979</v>
      </c>
      <c r="BI56" s="0" t="n">
        <f aca="false">IF(BI38="","",BI48-BI51+BI53)</f>
        <v>49957.4405661979</v>
      </c>
      <c r="BJ56" s="0" t="n">
        <f aca="false">IF(BJ38="","",BJ48-BJ51+BJ53)</f>
        <v>49957.4405661979</v>
      </c>
      <c r="BK56" s="0" t="n">
        <f aca="false">IF(BK38="","",BK48-BK51+BK53)</f>
        <v>49957.4405661979</v>
      </c>
      <c r="BL56" s="0" t="n">
        <f aca="false">IF(BL38="","",BL48-BL51+BL53)</f>
        <v>50953.9218297029</v>
      </c>
      <c r="BM56" s="0" t="n">
        <f aca="false">IF(BM38="","",BM48-BM51+BM53)</f>
        <v>50953.9218297029</v>
      </c>
      <c r="BN56" s="0" t="n">
        <f aca="false">IF(BN38="","",BN48-BN51+BN53)</f>
        <v>50953.9218297029</v>
      </c>
      <c r="BO56" s="0" t="n">
        <f aca="false">IF(BO38="","",BO48-BO51+BO53)</f>
        <v>50953.9218297029</v>
      </c>
      <c r="BP56" s="0" t="n">
        <f aca="false">IF(BP38="","",BP48-BP51+BP53)</f>
        <v>50953.9218297029</v>
      </c>
      <c r="BQ56" s="0" t="n">
        <f aca="false">IF(BQ38="","",BQ48-BQ51+BQ53)</f>
        <v>50953.9218297029</v>
      </c>
      <c r="BR56" s="0" t="n">
        <f aca="false">IF(BR38="","",BR48-BR51+BR53)</f>
        <v>50953.9218297029</v>
      </c>
      <c r="BS56" s="0" t="n">
        <f aca="false">IF(BS38="","",BS48-BS51+BS53)</f>
        <v>50953.9218297029</v>
      </c>
      <c r="BT56" s="0" t="n">
        <f aca="false">IF(BT38="","",BT48-BT51+BT53)</f>
        <v>50953.9218297029</v>
      </c>
      <c r="BU56" s="0" t="n">
        <f aca="false">IF(BU38="","",BU48-BU51+BU53)</f>
        <v>50953.9218297029</v>
      </c>
      <c r="BV56" s="0" t="n">
        <f aca="false">IF(BV38="","",BV48-BV51+BV53)</f>
        <v>50953.9218297029</v>
      </c>
      <c r="BW56" s="0" t="n">
        <f aca="false">IF(BW38="","",BW48-BW51+BW53)</f>
        <v>50953.9218297029</v>
      </c>
      <c r="BX56" s="0" t="n">
        <f aca="false">IF(BX38="","",BX48-BX51+BX53)</f>
        <v>51970.2660297824</v>
      </c>
      <c r="BY56" s="0" t="n">
        <f aca="false">IF(BY38="","",BY48-BY51+BY53)</f>
        <v>51970.2660297824</v>
      </c>
      <c r="BZ56" s="0" t="n">
        <f aca="false">IF(BZ38="","",BZ48-BZ51+BZ53)</f>
        <v>51970.2660297824</v>
      </c>
      <c r="CA56" s="0" t="n">
        <f aca="false">IF(CA38="","",CA48-CA51+CA53)</f>
        <v>51970.2660297824</v>
      </c>
      <c r="CB56" s="0" t="n">
        <f aca="false">IF(CB38="","",CB48-CB51+CB53)</f>
        <v>51970.2660297824</v>
      </c>
      <c r="CC56" s="0" t="n">
        <f aca="false">IF(CC38="","",CC48-CC51+CC53)</f>
        <v>51970.2660297824</v>
      </c>
      <c r="CD56" s="0" t="n">
        <f aca="false">IF(CD38="","",CD48-CD51+CD53)</f>
        <v>51970.2660297824</v>
      </c>
      <c r="CE56" s="0" t="n">
        <f aca="false">IF(CE38="","",CE48-CE51+CE53)</f>
        <v>51970.2660297824</v>
      </c>
      <c r="CF56" s="0" t="n">
        <f aca="false">IF(CF38="","",CF48-CF51+CF53)</f>
        <v>51970.2660297824</v>
      </c>
      <c r="CG56" s="0" t="n">
        <f aca="false">IF(CG38="","",CG48-CG51+CG53)</f>
        <v>51970.2660297824</v>
      </c>
      <c r="CH56" s="0" t="n">
        <f aca="false">IF(CH38="","",CH48-CH51+CH53)</f>
        <v>51970.2660297824</v>
      </c>
      <c r="CI56" s="0" t="n">
        <f aca="false">IF(CI38="","",CI48-CI51+CI53)</f>
        <v>51970.2660297824</v>
      </c>
      <c r="CJ56" s="0" t="n">
        <f aca="false">IF(CJ38="","",CJ48-CJ51+CJ53)</f>
        <v>53006.8687579507</v>
      </c>
      <c r="CK56" s="0" t="n">
        <f aca="false">IF(CK38="","",CK48-CK51+CK53)</f>
        <v>53006.8687579507</v>
      </c>
      <c r="CL56" s="0" t="n">
        <f aca="false">IF(CL38="","",CL48-CL51+CL53)</f>
        <v>53006.8687579507</v>
      </c>
      <c r="CM56" s="0" t="n">
        <f aca="false">IF(CM38="","",CM48-CM51+CM53)</f>
        <v>53006.8687579507</v>
      </c>
      <c r="CN56" s="0" t="n">
        <f aca="false">IF(CN38="","",CN48-CN51+CN53)</f>
        <v>53006.8687579507</v>
      </c>
      <c r="CO56" s="0" t="n">
        <f aca="false">IF(CO38="","",CO48-CO51+CO53)</f>
        <v>53006.8687579507</v>
      </c>
      <c r="CP56" s="0" t="n">
        <f aca="false">IF(CP38="","",CP48-CP51+CP53)</f>
        <v>53006.8687579507</v>
      </c>
      <c r="CQ56" s="0" t="n">
        <f aca="false">IF(CQ38="","",CQ48-CQ51+CQ53)</f>
        <v>53006.8687579507</v>
      </c>
      <c r="CR56" s="0" t="n">
        <f aca="false">IF(CR38="","",CR48-CR51+CR53)</f>
        <v>53006.8687579507</v>
      </c>
      <c r="CS56" s="0" t="n">
        <f aca="false">IF(CS38="","",CS48-CS51+CS53)</f>
        <v>53006.8687579507</v>
      </c>
      <c r="CT56" s="0" t="n">
        <f aca="false">IF(CT38="","",CT48-CT51+CT53)</f>
        <v>53006.8687579507</v>
      </c>
      <c r="CU56" s="0" t="n">
        <f aca="false">IF(CU38="","",CU48-CU51+CU53)</f>
        <v>53006.8687579507</v>
      </c>
      <c r="CV56" s="0" t="n">
        <f aca="false">IF(CV38="","",CV48-CV51+CV53)</f>
        <v>37712.1622397589</v>
      </c>
      <c r="CW56" s="0" t="n">
        <f aca="false">IF(CW38="","",CW48-CW51+CW53)</f>
        <v>37712.1622397589</v>
      </c>
      <c r="CX56" s="0" t="n">
        <f aca="false">IF(CX38="","",CX48-CX51+CX53)</f>
        <v>37712.1622397589</v>
      </c>
      <c r="CY56" s="0" t="n">
        <f aca="false">IF(CY38="","",CY48-CY51+CY53)</f>
        <v>37712.1622397589</v>
      </c>
      <c r="CZ56" s="0" t="n">
        <f aca="false">IF(CZ38="","",CZ48-CZ51+CZ53)</f>
        <v>37712.1622397589</v>
      </c>
      <c r="DA56" s="0" t="n">
        <f aca="false">IF(DA38="","",DA48-DA51+DA53)</f>
        <v>37712.1622397589</v>
      </c>
      <c r="DB56" s="0" t="n">
        <f aca="false">IF(DB38="","",DB48-DB51+DB53)</f>
        <v>37712.1622397589</v>
      </c>
      <c r="DC56" s="0" t="n">
        <f aca="false">IF(DC38="","",DC48-DC51+DC53)</f>
        <v>37712.1622397589</v>
      </c>
      <c r="DD56" s="0" t="n">
        <f aca="false">IF(DD38="","",DD48-DD51+DD53)</f>
        <v>37712.1622397589</v>
      </c>
      <c r="DE56" s="0" t="n">
        <f aca="false">IF(DE38="","",DE48-DE51+DE53)</f>
        <v>50762.1622397589</v>
      </c>
      <c r="DF56" s="0" t="n">
        <f aca="false">IF(DF38="","",DF48-DF51+DF53)</f>
        <v>50762.1622397589</v>
      </c>
      <c r="DG56" s="0" t="n">
        <f aca="false">IF(DG38="","",DG48-DG51+DG53)</f>
        <v>50762.1622397589</v>
      </c>
      <c r="DH56" s="0" t="n">
        <f aca="false">IF(DH38="","",DH48-DH51+DH53)</f>
        <v>50750.3690198665</v>
      </c>
      <c r="DI56" s="0" t="n">
        <f aca="false">IF(DI38="","",DI48-DI51+DI53)</f>
        <v>50750.3690198665</v>
      </c>
      <c r="DJ56" s="0" t="n">
        <f aca="false">IF(DJ38="","",DJ48-DJ51+DJ53)</f>
        <v>50750.3690198665</v>
      </c>
      <c r="DK56" s="0" t="n">
        <f aca="false">IF(DK38="","",DK48-DK51+DK53)</f>
        <v>50750.3690198665</v>
      </c>
      <c r="DL56" s="0" t="n">
        <f aca="false">IF(DL38="","",DL48-DL51+DL53)</f>
        <v>50750.3690198665</v>
      </c>
      <c r="DM56" s="0" t="n">
        <f aca="false">IF(DM38="","",DM48-DM51+DM53)</f>
        <v>50750.3690198665</v>
      </c>
      <c r="DN56" s="0" t="n">
        <f aca="false">IF(DN38="","",DN48-DN51+DN53)</f>
        <v>50750.3690198665</v>
      </c>
      <c r="DO56" s="0" t="n">
        <f aca="false">IF(DO38="","",DO48-DO51+DO53)</f>
        <v>50750.3690198665</v>
      </c>
      <c r="DP56" s="0" t="n">
        <f aca="false">IF(DP38="","",DP48-DP51+DP53)</f>
        <v>50750.3690198665</v>
      </c>
      <c r="DQ56" s="0" t="n">
        <f aca="false">IF(DQ38="","",DQ48-DQ51+DQ53)</f>
        <v>50750.3690198665</v>
      </c>
      <c r="DR56" s="0" t="n">
        <f aca="false">IF(DR38="","",DR48-DR51+DR53)</f>
        <v>50750.3690198665</v>
      </c>
      <c r="DS56" s="0" t="n">
        <f aca="false">IF(DS38="","",DS48-DS51+DS53)</f>
        <v>50750.3690198665</v>
      </c>
      <c r="DT56" s="0" t="n">
        <f aca="false">IF(DT38="","",DT48-DT51+DT53)</f>
        <v>50738.2663237345</v>
      </c>
      <c r="DU56" s="0" t="n">
        <f aca="false">IF(DU38="","",DU48-DU51+DU53)</f>
        <v>50738.2663237345</v>
      </c>
      <c r="DV56" s="0" t="n">
        <f aca="false">IF(DV38="","",DV48-DV51+DV53)</f>
        <v>50738.2663237345</v>
      </c>
      <c r="DW56" s="0" t="n">
        <f aca="false">IF(DW38="","",DW48-DW51+DW53)</f>
        <v>50738.2663237345</v>
      </c>
      <c r="DX56" s="0" t="n">
        <f aca="false">IF(DX38="","",DX48-DX51+DX53)</f>
        <v>50738.2663237345</v>
      </c>
      <c r="DY56" s="0" t="n">
        <f aca="false">IF(DY38="","",DY48-DY51+DY53)</f>
        <v>50738.2663237345</v>
      </c>
      <c r="DZ56" s="0" t="n">
        <f aca="false">IF(DZ38="","",DZ48-DZ51+DZ53)</f>
        <v>50738.2663237345</v>
      </c>
      <c r="EA56" s="0" t="n">
        <f aca="false">IF(EA38="","",EA48-EA51+EA53)</f>
        <v>50738.2663237345</v>
      </c>
      <c r="EB56" s="0" t="n">
        <f aca="false">IF(EB38="","",EB48-EB51+EB53)</f>
        <v>50738.2663237345</v>
      </c>
      <c r="EC56" s="0" t="n">
        <f aca="false">IF(EC38="","",EC48-EC51+EC53)</f>
        <v>50738.2663237345</v>
      </c>
      <c r="ED56" s="0" t="n">
        <f aca="false">IF(ED38="","",ED48-ED51+ED53)</f>
        <v>50738.2663237345</v>
      </c>
      <c r="EE56" s="0" t="n">
        <f aca="false">IF(EE38="","",EE48-EE51+EE53)</f>
        <v>50738.2663237345</v>
      </c>
      <c r="EF56" s="0" t="n">
        <f aca="false">IF(EF38="","",EF48-EF51+EF53)</f>
        <v>50725.8461215421</v>
      </c>
      <c r="EG56" s="0" t="n">
        <f aca="false">IF(EG38="","",EG48-EG51+EG53)</f>
        <v>50725.8461215421</v>
      </c>
      <c r="EH56" s="0" t="n">
        <f aca="false">IF(EH38="","",EH48-EH51+EH53)</f>
        <v>50725.8461215421</v>
      </c>
      <c r="EI56" s="0" t="n">
        <f aca="false">IF(EI38="","",EI48-EI51+EI53)</f>
        <v>50725.8461215421</v>
      </c>
      <c r="EJ56" s="0" t="n">
        <f aca="false">IF(EJ38="","",EJ48-EJ51+EJ53)</f>
        <v>50725.8461215421</v>
      </c>
      <c r="EK56" s="0" t="n">
        <f aca="false">IF(EK38="","",EK48-EK51+EK53)</f>
        <v>50725.8461215421</v>
      </c>
      <c r="EL56" s="0" t="n">
        <f aca="false">IF(EL38="","",EL48-EL51+EL53)</f>
        <v>50725.8461215421</v>
      </c>
      <c r="EM56" s="0" t="n">
        <f aca="false">IF(EM38="","",EM48-EM51+EM53)</f>
        <v>50725.8461215421</v>
      </c>
      <c r="EN56" s="0" t="n">
        <f aca="false">IF(EN38="","",EN48-EN51+EN53)</f>
        <v>50725.8461215421</v>
      </c>
      <c r="EO56" s="0" t="n">
        <f aca="false">IF(EO38="","",EO48-EO51+EO53)</f>
        <v>50725.8461215421</v>
      </c>
      <c r="EP56" s="0" t="n">
        <f aca="false">IF(EP38="","",EP48-EP51+EP53)</f>
        <v>50725.8461215421</v>
      </c>
      <c r="EQ56" s="0" t="n">
        <f aca="false">IF(EQ38="","",EQ48-EQ51+EQ53)</f>
        <v>50725.8461215421</v>
      </c>
      <c r="ER56" s="0" t="n">
        <f aca="false">IF(ER38="","",ER48-ER51+ER53)</f>
        <v>50713.1001768646</v>
      </c>
      <c r="ES56" s="0" t="n">
        <f aca="false">IF(ES38="","",ES48-ES51+ES53)</f>
        <v>50713.1001768646</v>
      </c>
      <c r="ET56" s="0" t="n">
        <f aca="false">IF(ET38="","",ET48-ET51+ET53)</f>
        <v>50713.1001768646</v>
      </c>
      <c r="EU56" s="0" t="n">
        <f aca="false">IF(EU38="","",EU48-EU51+EU53)</f>
        <v>50713.1001768646</v>
      </c>
      <c r="EV56" s="0" t="n">
        <f aca="false">IF(EV38="","",EV48-EV51+EV53)</f>
        <v>50713.1001768646</v>
      </c>
      <c r="EW56" s="0" t="n">
        <f aca="false">IF(EW38="","",EW48-EW51+EW53)</f>
        <v>50713.1001768646</v>
      </c>
      <c r="EX56" s="0" t="n">
        <f aca="false">IF(EX38="","",EX48-EX51+EX53)</f>
        <v>50713.1001768646</v>
      </c>
      <c r="EY56" s="0" t="n">
        <f aca="false">IF(EY38="","",EY48-EY51+EY53)</f>
        <v>50713.1001768646</v>
      </c>
      <c r="EZ56" s="0" t="n">
        <f aca="false">IF(EZ38="","",EZ48-EZ51+EZ53)</f>
        <v>50713.1001768646</v>
      </c>
      <c r="FA56" s="0" t="n">
        <f aca="false">IF(FA38="","",FA48-FA51+FA53)</f>
        <v>50713.1001768646</v>
      </c>
      <c r="FB56" s="0" t="n">
        <f aca="false">IF(FB38="","",FB48-FB51+FB53)</f>
        <v>50713.1001768646</v>
      </c>
      <c r="FC56" s="0" t="n">
        <f aca="false">IF(FC38="","",FC48-FC51+FC53)</f>
        <v>9204630.47426944</v>
      </c>
      <c r="FD56" s="0" t="str">
        <f aca="false">IF(FD38="","",FD48-FD51+FD53)</f>
        <v/>
      </c>
      <c r="FE56" s="0" t="e">
        <f aca="false">IF(FE38="","",FE48-FE51+FE53)</f>
        <v>#VALUE!</v>
      </c>
      <c r="FF56" s="0" t="e">
        <f aca="false">IF(FF38="","",FF48-FF51+FF53)</f>
        <v>#VALUE!</v>
      </c>
      <c r="FG56" s="0" t="e">
        <f aca="false">IF(FG38="","",FG48-FG51+FG53)</f>
        <v>#VALUE!</v>
      </c>
      <c r="FH56" s="0" t="e">
        <f aca="false">IF(FH38="","",FH48-FH51+FH53)</f>
        <v>#VALUE!</v>
      </c>
      <c r="FI56" s="0" t="e">
        <f aca="false">IF(FI38="","",FI48-FI51+FI53)</f>
        <v>#VALUE!</v>
      </c>
      <c r="FJ56" s="0" t="e">
        <f aca="false">IF(FJ38="","",FJ48-FJ51+FJ53)</f>
        <v>#VALUE!</v>
      </c>
      <c r="FK56" s="0" t="e">
        <f aca="false">IF(FK38="","",FK48-FK51+FK53)</f>
        <v>#VALUE!</v>
      </c>
      <c r="FL56" s="0" t="e">
        <f aca="false">IF(FL38="","",FL48-FL51+FL53)</f>
        <v>#VALUE!</v>
      </c>
      <c r="FM56" s="0" t="e">
        <f aca="false">IF(FM38="","",FM48-FM51+FM53)</f>
        <v>#VALUE!</v>
      </c>
      <c r="FN56" s="0" t="e">
        <f aca="false">IF(FN38="","",FN48-FN51+FN53)</f>
        <v>#VALUE!</v>
      </c>
      <c r="FO56" s="0" t="e">
        <f aca="false">IF(FO38="","",FO48-FO51+FO53)</f>
        <v>#VALUE!</v>
      </c>
      <c r="FP56" s="0" t="e">
        <f aca="false">IF(FP38="","",FP48-FP51+FP53)</f>
        <v>#VALUE!</v>
      </c>
      <c r="FQ56" s="0" t="e">
        <f aca="false">IF(FQ38="","",FQ48-FQ51+FQ53)</f>
        <v>#VALUE!</v>
      </c>
      <c r="FR56" s="0" t="e">
        <f aca="false">IF(FR38="","",FR48-FR51+FR53)</f>
        <v>#VALUE!</v>
      </c>
      <c r="FS56" s="0" t="e">
        <f aca="false">IF(FS38="","",FS48-FS51+FS53)</f>
        <v>#VALUE!</v>
      </c>
      <c r="FT56" s="0" t="e">
        <f aca="false">IF(FT38="","",FT48-FT51+FT53)</f>
        <v>#VALUE!</v>
      </c>
      <c r="FU56" s="0" t="e">
        <f aca="false">IF(FU38="","",FU48-FU51+FU53)</f>
        <v>#VALUE!</v>
      </c>
      <c r="FV56" s="0" t="e">
        <f aca="false">IF(FV38="","",FV48-FV51+FV53)</f>
        <v>#VALUE!</v>
      </c>
      <c r="FW56" s="0" t="e">
        <f aca="false">IF(FW38="","",FW48-FW51+FW53)</f>
        <v>#VALUE!</v>
      </c>
      <c r="FX56" s="0" t="e">
        <f aca="false">IF(FX38="","",FX48-FX51+FX53)</f>
        <v>#VALUE!</v>
      </c>
      <c r="FY56" s="0" t="e">
        <f aca="false">IF(FY38="","",FY48-FY51+FY53)</f>
        <v>#VALUE!</v>
      </c>
      <c r="FZ56" s="0" t="e">
        <f aca="false">IF(FZ38="","",FZ48-FZ51+FZ53)</f>
        <v>#VALUE!</v>
      </c>
      <c r="GA56" s="0" t="e">
        <f aca="false">IF(GA38="","",GA48-GA51+GA53)</f>
        <v>#VALUE!</v>
      </c>
      <c r="GB56" s="0" t="e">
        <f aca="false">IF(GB38="","",GB48-GB51+GB53)</f>
        <v>#VALUE!</v>
      </c>
      <c r="GC56" s="0" t="e">
        <f aca="false">IF(GC38="","",GC48-GC51+GC53)</f>
        <v>#VALUE!</v>
      </c>
      <c r="GD56" s="0" t="e">
        <f aca="false">IF(GD38="","",GD48-GD51+GD53)</f>
        <v>#VALUE!</v>
      </c>
      <c r="GE56" s="0" t="e">
        <f aca="false">IF(GE38="","",GE48-GE51+GE53)</f>
        <v>#VALUE!</v>
      </c>
      <c r="GF56" s="0" t="e">
        <f aca="false">IF(GF38="","",GF48-GF51+GF53)</f>
        <v>#VALUE!</v>
      </c>
      <c r="GG56" s="0" t="e">
        <f aca="false">IF(GG38="","",GG48-GG51+GG53)</f>
        <v>#VALUE!</v>
      </c>
      <c r="GH56" s="0" t="e">
        <f aca="false">IF(GH38="","",GH48-GH51+GH53)</f>
        <v>#VALUE!</v>
      </c>
      <c r="GI56" s="0" t="e">
        <f aca="false">IF(GI38="","",GI48-GI51+GI53)</f>
        <v>#VALUE!</v>
      </c>
      <c r="GJ56" s="0" t="e">
        <f aca="false">IF(GJ38="","",GJ48-GJ51+GJ53)</f>
        <v>#VALUE!</v>
      </c>
      <c r="GK56" s="0" t="e">
        <f aca="false">IF(GK38="","",GK48-GK51+GK53)</f>
        <v>#VALUE!</v>
      </c>
      <c r="GL56" s="0" t="e">
        <f aca="false">IF(GL38="","",GL48-GL51+GL53)</f>
        <v>#VALUE!</v>
      </c>
      <c r="GM56" s="0" t="e">
        <f aca="false">IF(GM38="","",GM48-GM51+GM53)</f>
        <v>#VALUE!</v>
      </c>
      <c r="GN56" s="0" t="e">
        <f aca="false">IF(GN38="","",GN48-GN51+GN53)</f>
        <v>#VALUE!</v>
      </c>
      <c r="GO56" s="0" t="e">
        <f aca="false">IF(GO38="","",GO48-GO51+GO53)</f>
        <v>#VALUE!</v>
      </c>
      <c r="GP56" s="0" t="e">
        <f aca="false">IF(GP38="","",GP48-GP51+GP53)</f>
        <v>#VALUE!</v>
      </c>
      <c r="GQ56" s="0" t="e">
        <f aca="false">IF(GQ38="","",GQ48-GQ51+GQ53)</f>
        <v>#VALUE!</v>
      </c>
      <c r="GR56" s="0" t="e">
        <f aca="false">IF(GR38="","",GR48-GR51+GR53)</f>
        <v>#VALUE!</v>
      </c>
      <c r="GS56" s="0" t="e">
        <f aca="false">IF(GS38="","",GS48-GS51+GS53)</f>
        <v>#VALUE!</v>
      </c>
      <c r="GT56" s="0" t="e">
        <f aca="false">IF(GT38="","",GT48-GT51+GT53)</f>
        <v>#VALUE!</v>
      </c>
      <c r="GU56" s="0" t="e">
        <f aca="false">IF(GU38="","",GU48-GU51+GU53)</f>
        <v>#VALUE!</v>
      </c>
      <c r="GV56" s="0" t="e">
        <f aca="false">IF(GV38="","",GV48-GV51+GV53)</f>
        <v>#VALUE!</v>
      </c>
      <c r="GW56" s="0" t="e">
        <f aca="false">IF(GW38="","",GW48-GW51+GW53)</f>
        <v>#VALUE!</v>
      </c>
      <c r="GX56" s="0" t="e">
        <f aca="false">IF(GX38="","",GX48-GX51+GX53)</f>
        <v>#VALUE!</v>
      </c>
      <c r="GY56" s="0" t="e">
        <f aca="false">IF(GY38="","",GY48-GY51+GY53)</f>
        <v>#VALUE!</v>
      </c>
      <c r="GZ56" s="0" t="e">
        <f aca="false">IF(GZ38="","",GZ48-GZ51+GZ53)</f>
        <v>#VALUE!</v>
      </c>
      <c r="HA56" s="0" t="e">
        <f aca="false">IF(HA38="","",HA48-HA51+HA53)</f>
        <v>#VALUE!</v>
      </c>
      <c r="HB56" s="0" t="e">
        <f aca="false">IF(HB38="","",HB48-HB51+HB53)</f>
        <v>#VALUE!</v>
      </c>
      <c r="HC56" s="0" t="e">
        <f aca="false">IF(HC38="","",HC48-HC51+HC53)</f>
        <v>#VALUE!</v>
      </c>
      <c r="HD56" s="0" t="e">
        <f aca="false">IF(HD38="","",HD48-HD51+HD53)</f>
        <v>#VALUE!</v>
      </c>
      <c r="HE56" s="0" t="e">
        <f aca="false">IF(HE38="","",HE48-HE51+HE53)</f>
        <v>#VALUE!</v>
      </c>
      <c r="HF56" s="0" t="e">
        <f aca="false">IF(HF38="","",HF48-HF51+HF53)</f>
        <v>#VALUE!</v>
      </c>
      <c r="HG56" s="0" t="e">
        <f aca="false">IF(HG38="","",HG48-HG51+HG53)</f>
        <v>#VALUE!</v>
      </c>
      <c r="HH56" s="0" t="e">
        <f aca="false">IF(HH38="","",HH48-HH51+HH53)</f>
        <v>#VALUE!</v>
      </c>
      <c r="HI56" s="0" t="e">
        <f aca="false">IF(HI38="","",HI48-HI51+HI53)</f>
        <v>#VALUE!</v>
      </c>
      <c r="HJ56" s="0" t="e">
        <f aca="false">IF(HJ38="","",HJ48-HJ51+HJ53)</f>
        <v>#VALUE!</v>
      </c>
      <c r="HK56" s="0" t="e">
        <f aca="false">IF(HK38="","",HK48-HK51+HK53)</f>
        <v>#VALUE!</v>
      </c>
      <c r="HL56" s="0" t="e">
        <f aca="false">IF(HL38="","",HL48-HL51+HL53)</f>
        <v>#VALUE!</v>
      </c>
      <c r="HM56" s="0" t="e">
        <f aca="false">IF(HM38="","",HM48-HM51+HM53)</f>
        <v>#VALUE!</v>
      </c>
      <c r="HN56" s="0" t="e">
        <f aca="false">IF(HN38="","",HN48-HN51+HN53)</f>
        <v>#VALUE!</v>
      </c>
      <c r="HO56" s="0" t="e">
        <f aca="false">IF(HO38="","",HO48-HO51+HO53)</f>
        <v>#VALUE!</v>
      </c>
      <c r="HP56" s="0" t="e">
        <f aca="false">IF(HP38="","",HP48-HP51+HP53)</f>
        <v>#VALUE!</v>
      </c>
      <c r="HQ56" s="0" t="e">
        <f aca="false">IF(HQ38="","",HQ48-HQ51+HQ53)</f>
        <v>#VALUE!</v>
      </c>
      <c r="HR56" s="0" t="e">
        <f aca="false">IF(HR38="","",HR48-HR51+HR53)</f>
        <v>#VALUE!</v>
      </c>
      <c r="HS56" s="0" t="e">
        <f aca="false">IF(HS38="","",HS48-HS51+HS53)</f>
        <v>#VALUE!</v>
      </c>
      <c r="HT56" s="0" t="e">
        <f aca="false">IF(HT38="","",HT48-HT51+HT53)</f>
        <v>#VALUE!</v>
      </c>
      <c r="HU56" s="0" t="e">
        <f aca="false">IF(HU38="","",HU48-HU51+HU53)</f>
        <v>#VALUE!</v>
      </c>
      <c r="HV56" s="0" t="e">
        <f aca="false">IF(HV38="","",HV48-HV51+HV53)</f>
        <v>#VALUE!</v>
      </c>
      <c r="HW56" s="0" t="e">
        <f aca="false">IF(HW38="","",HW48-HW51+HW53)</f>
        <v>#VALUE!</v>
      </c>
      <c r="HX56" s="0" t="e">
        <f aca="false">IF(HX38="","",HX48-HX51+HX53)</f>
        <v>#VALUE!</v>
      </c>
      <c r="HY56" s="0" t="e">
        <f aca="false">IF(HY38="","",HY48-HY51+HY53)</f>
        <v>#VALUE!</v>
      </c>
      <c r="HZ56" s="0" t="e">
        <f aca="false">IF(HZ38="","",HZ48-HZ51+HZ53)</f>
        <v>#VALUE!</v>
      </c>
      <c r="IA56" s="0" t="e">
        <f aca="false">IF(IA38="","",IA48-IA51+IA53)</f>
        <v>#VALUE!</v>
      </c>
      <c r="IB56" s="0" t="e">
        <f aca="false">IF(IB38="","",IB48-IB51+IB53)</f>
        <v>#VALUE!</v>
      </c>
      <c r="IC56" s="0" t="e">
        <f aca="false">IF(IC38="","",IC48-IC51+IC53)</f>
        <v>#VALUE!</v>
      </c>
      <c r="ID56" s="0" t="e">
        <f aca="false">IF(ID38="","",ID48-ID51+ID53)</f>
        <v>#VALUE!</v>
      </c>
      <c r="IE56" s="0" t="e">
        <f aca="false">IF(IE38="","",IE48-IE51+IE53)</f>
        <v>#VALUE!</v>
      </c>
      <c r="IF56" s="0" t="e">
        <f aca="false">IF(IF38="","",IF48-IF51+IF53)</f>
        <v>#VALUE!</v>
      </c>
      <c r="IG56" s="0" t="e">
        <f aca="false">IF(IG38="","",IG48-IG51+IG53)</f>
        <v>#VALUE!</v>
      </c>
      <c r="IH56" s="0" t="e">
        <f aca="false">IF(IH38="","",IH48-IH51+IH53)</f>
        <v>#VALUE!</v>
      </c>
      <c r="II56" s="0" t="e">
        <f aca="false">IF(II38="","",II48-II51+II53)</f>
        <v>#VALUE!</v>
      </c>
    </row>
    <row r="57" customFormat="false" ht="15" hidden="false" customHeight="false" outlineLevel="0" collapsed="false">
      <c r="B57" s="0" t="s">
        <v>108</v>
      </c>
      <c r="C57" s="0" t="n">
        <f aca="false">IF(C38="","",C50-C51+C52+C53-C54)</f>
        <v>-2724116.66666667</v>
      </c>
      <c r="D57" s="7" t="n">
        <f aca="false">IF(D38="","",D50-D51+D52+D53-D54)</f>
        <v>16607.8266032759</v>
      </c>
      <c r="E57" s="7" t="n">
        <f aca="false">IF(E38="","",E50-E51+E52+E53-E54)</f>
        <v>16607.8266032759</v>
      </c>
      <c r="F57" s="7" t="n">
        <f aca="false">IF(F38="","",F50-F51+F52+F53-F54)</f>
        <v>16607.8266032759</v>
      </c>
      <c r="G57" s="7" t="n">
        <f aca="false">IF(G38="","",G50-G51+G52+G53-G54)</f>
        <v>16607.8266032759</v>
      </c>
      <c r="H57" s="7" t="n">
        <f aca="false">IF(H38="","",H50-H51+H52+H53-H54)</f>
        <v>16607.8266032759</v>
      </c>
      <c r="I57" s="7" t="n">
        <f aca="false">IF(I38="","",I50-I51+I52+I53-I54)</f>
        <v>16607.8266032759</v>
      </c>
      <c r="J57" s="7" t="n">
        <f aca="false">IF(J38="","",J50-J51+J52+J53-J54)</f>
        <v>16607.8266032759</v>
      </c>
      <c r="K57" s="7" t="n">
        <f aca="false">IF(K38="","",K50-K51+K52+K53-K54)</f>
        <v>16607.8266032759</v>
      </c>
      <c r="L57" s="7" t="n">
        <f aca="false">IF(L38="","",L50-L51+L52+L53-L54)</f>
        <v>16607.8266032759</v>
      </c>
      <c r="M57" s="7" t="n">
        <f aca="false">IF(M38="","",M50-M51+M52+M53-M54)</f>
        <v>16607.8266032759</v>
      </c>
      <c r="N57" s="7" t="n">
        <f aca="false">IF(N38="","",N50-N51+N52+N53-N54)</f>
        <v>16607.8266032759</v>
      </c>
      <c r="O57" s="7" t="n">
        <f aca="false">IF(O38="","",O50-O51+O52+O53-O54)</f>
        <v>16607.8266032759</v>
      </c>
      <c r="P57" s="7" t="n">
        <f aca="false">IF(P38="","",P50-P51+P52+P53-P54)</f>
        <v>17528.6599366092</v>
      </c>
      <c r="Q57" s="7" t="n">
        <f aca="false">IF(Q38="","",Q50-Q51+Q52+Q53-Q54)</f>
        <v>17528.6599366092</v>
      </c>
      <c r="R57" s="7" t="n">
        <f aca="false">IF(R38="","",R50-R51+R52+R53-R54)</f>
        <v>17528.6599366092</v>
      </c>
      <c r="S57" s="7" t="n">
        <f aca="false">IF(S38="","",S50-S51+S52+S53-S54)</f>
        <v>17528.6599366092</v>
      </c>
      <c r="T57" s="7" t="n">
        <f aca="false">IF(T38="","",T50-T51+T52+T53-T54)</f>
        <v>17528.6599366092</v>
      </c>
      <c r="U57" s="7" t="n">
        <f aca="false">IF(U38="","",U50-U51+U52+U53-U54)</f>
        <v>17528.6599366092</v>
      </c>
      <c r="V57" s="7" t="n">
        <f aca="false">IF(V38="","",V50-V51+V52+V53-V54)</f>
        <v>17528.6599366092</v>
      </c>
      <c r="W57" s="7" t="n">
        <f aca="false">IF(W38="","",W50-W51+W52+W53-W54)</f>
        <v>17528.6599366092</v>
      </c>
      <c r="X57" s="7" t="n">
        <f aca="false">IF(X38="","",X50-X51+X52+X53-X54)</f>
        <v>17528.6599366092</v>
      </c>
      <c r="Y57" s="7" t="n">
        <f aca="false">IF(Y38="","",Y50-Y51+Y52+Y53-Y54)</f>
        <v>17528.6599366092</v>
      </c>
      <c r="Z57" s="7" t="n">
        <f aca="false">IF(Z38="","",Z50-Z51+Z52+Z53-Z54)</f>
        <v>17528.6599366092</v>
      </c>
      <c r="AA57" s="7" t="n">
        <f aca="false">IF(AA38="","",AA50-AA51+AA52+AA53-AA54)</f>
        <v>17528.6599366092</v>
      </c>
      <c r="AB57" s="7" t="n">
        <f aca="false">IF(AB38="","",AB50-AB51+AB52+AB53-AB54)</f>
        <v>18467.8495199426</v>
      </c>
      <c r="AC57" s="7" t="n">
        <f aca="false">IF(AC38="","",AC50-AC51+AC52+AC53-AC54)</f>
        <v>18467.8495199426</v>
      </c>
      <c r="AD57" s="7" t="n">
        <f aca="false">IF(AD38="","",AD50-AD51+AD52+AD53-AD54)</f>
        <v>18467.8495199426</v>
      </c>
      <c r="AE57" s="7" t="n">
        <f aca="false">IF(AE38="","",AE50-AE51+AE52+AE53-AE54)</f>
        <v>18467.8495199426</v>
      </c>
      <c r="AF57" s="7" t="n">
        <f aca="false">IF(AF38="","",AF50-AF51+AF52+AF53-AF54)</f>
        <v>18467.8495199426</v>
      </c>
      <c r="AG57" s="7" t="n">
        <f aca="false">IF(AG38="","",AG50-AG51+AG52+AG53-AG54)</f>
        <v>18467.8495199426</v>
      </c>
      <c r="AH57" s="7" t="n">
        <f aca="false">IF(AH38="","",AH50-AH51+AH52+AH53-AH54)</f>
        <v>18467.8495199426</v>
      </c>
      <c r="AI57" s="7" t="n">
        <f aca="false">IF(AI38="","",AI50-AI51+AI52+AI53-AI54)</f>
        <v>18467.8495199426</v>
      </c>
      <c r="AJ57" s="7" t="n">
        <f aca="false">IF(AJ38="","",AJ50-AJ51+AJ52+AJ53-AJ54)</f>
        <v>18467.8495199426</v>
      </c>
      <c r="AK57" s="7" t="n">
        <f aca="false">IF(AK38="","",AK50-AK51+AK52+AK53-AK54)</f>
        <v>18467.8495199426</v>
      </c>
      <c r="AL57" s="7" t="n">
        <f aca="false">IF(AL38="","",AL50-AL51+AL52+AL53-AL54)</f>
        <v>18467.8495199426</v>
      </c>
      <c r="AM57" s="7" t="n">
        <f aca="false">IF(AM38="","",AM50-AM51+AM52+AM53-AM54)</f>
        <v>18467.8495199426</v>
      </c>
      <c r="AN57" s="7" t="n">
        <f aca="false">IF(AN38="","",AN50-AN51+AN52+AN53-AN54)</f>
        <v>19425.7609678592</v>
      </c>
      <c r="AO57" s="7" t="n">
        <f aca="false">IF(AO38="","",AO50-AO51+AO52+AO53-AO54)</f>
        <v>19425.7609678592</v>
      </c>
      <c r="AP57" s="7" t="n">
        <f aca="false">IF(AP38="","",AP50-AP51+AP52+AP53-AP54)</f>
        <v>19425.7609678592</v>
      </c>
      <c r="AQ57" s="7" t="n">
        <f aca="false">IF(AQ38="","",AQ50-AQ51+AQ52+AQ53-AQ54)</f>
        <v>19425.7609678592</v>
      </c>
      <c r="AR57" s="7" t="n">
        <f aca="false">IF(AR38="","",AR50-AR51+AR52+AR53-AR54)</f>
        <v>19425.7609678592</v>
      </c>
      <c r="AS57" s="7" t="n">
        <f aca="false">IF(AS38="","",AS50-AS51+AS52+AS53-AS54)</f>
        <v>19425.7609678592</v>
      </c>
      <c r="AT57" s="7" t="n">
        <f aca="false">IF(AT38="","",AT50-AT51+AT52+AT53-AT54)</f>
        <v>19425.7609678592</v>
      </c>
      <c r="AU57" s="7" t="n">
        <f aca="false">IF(AU38="","",AU50-AU51+AU52+AU53-AU54)</f>
        <v>19425.7609678592</v>
      </c>
      <c r="AV57" s="7" t="n">
        <f aca="false">IF(AV38="","",AV50-AV51+AV52+AV53-AV54)</f>
        <v>19425.7609678592</v>
      </c>
      <c r="AW57" s="7" t="n">
        <f aca="false">IF(AW38="","",AW50-AW51+AW52+AW53-AW54)</f>
        <v>19425.7609678592</v>
      </c>
      <c r="AX57" s="7" t="n">
        <f aca="false">IF(AX38="","",AX50-AX51+AX52+AX53-AX54)</f>
        <v>19425.7609678592</v>
      </c>
      <c r="AY57" s="7" t="n">
        <f aca="false">IF(AY38="","",AY50-AY51+AY52+AY53-AY54)</f>
        <v>19425.7609678592</v>
      </c>
      <c r="AZ57" s="7" t="n">
        <f aca="false">IF(AZ38="","",AZ50-AZ51+AZ52+AZ53-AZ54)</f>
        <v>20402.7671694738</v>
      </c>
      <c r="BA57" s="7" t="n">
        <f aca="false">IF(BA38="","",BA50-BA51+BA52+BA53-BA54)</f>
        <v>20402.7671694738</v>
      </c>
      <c r="BB57" s="7" t="n">
        <f aca="false">IF(BB38="","",BB50-BB51+BB52+BB53-BB54)</f>
        <v>20402.7671694738</v>
      </c>
      <c r="BC57" s="7" t="n">
        <f aca="false">IF(BC38="","",BC50-BC51+BC52+BC53-BC54)</f>
        <v>20402.7671694738</v>
      </c>
      <c r="BD57" s="7" t="n">
        <f aca="false">IF(BD38="","",BD50-BD51+BD52+BD53-BD54)</f>
        <v>20402.7671694738</v>
      </c>
      <c r="BE57" s="7" t="n">
        <f aca="false">IF(BE38="","",BE50-BE51+BE52+BE53-BE54)</f>
        <v>20402.7671694738</v>
      </c>
      <c r="BF57" s="7" t="n">
        <f aca="false">IF(BF38="","",BF50-BF51+BF52+BF53-BF54)</f>
        <v>20402.7671694738</v>
      </c>
      <c r="BG57" s="7" t="n">
        <f aca="false">IF(BG38="","",BG50-BG51+BG52+BG53-BG54)</f>
        <v>20402.7671694738</v>
      </c>
      <c r="BH57" s="7" t="n">
        <f aca="false">IF(BH38="","",BH50-BH51+BH52+BH53-BH54)</f>
        <v>20402.7671694738</v>
      </c>
      <c r="BI57" s="7" t="n">
        <f aca="false">IF(BI38="","",BI50-BI51+BI52+BI53-BI54)</f>
        <v>20402.7671694738</v>
      </c>
      <c r="BJ57" s="7" t="n">
        <f aca="false">IF(BJ38="","",BJ50-BJ51+BJ52+BJ53-BJ54)</f>
        <v>20402.7671694738</v>
      </c>
      <c r="BK57" s="7" t="n">
        <f aca="false">IF(BK38="","",BK50-BK51+BK52+BK53-BK54)</f>
        <v>20402.7671694738</v>
      </c>
      <c r="BL57" s="7" t="n">
        <f aca="false">IF(BL38="","",BL50-BL51+BL52+BL53-BL54)</f>
        <v>21399.2484329788</v>
      </c>
      <c r="BM57" s="7" t="n">
        <f aca="false">IF(BM38="","",BM50-BM51+BM52+BM53-BM54)</f>
        <v>21399.2484329788</v>
      </c>
      <c r="BN57" s="7" t="n">
        <f aca="false">IF(BN38="","",BN50-BN51+BN52+BN53-BN54)</f>
        <v>21399.2484329788</v>
      </c>
      <c r="BO57" s="7" t="n">
        <f aca="false">IF(BO38="","",BO50-BO51+BO52+BO53-BO54)</f>
        <v>21399.2484329788</v>
      </c>
      <c r="BP57" s="7" t="n">
        <f aca="false">IF(BP38="","",BP50-BP51+BP52+BP53-BP54)</f>
        <v>21399.2484329788</v>
      </c>
      <c r="BQ57" s="7" t="n">
        <f aca="false">IF(BQ38="","",BQ50-BQ51+BQ52+BQ53-BQ54)</f>
        <v>21399.2484329788</v>
      </c>
      <c r="BR57" s="7" t="n">
        <f aca="false">IF(BR38="","",BR50-BR51+BR52+BR53-BR54)</f>
        <v>21399.2484329788</v>
      </c>
      <c r="BS57" s="7" t="n">
        <f aca="false">IF(BS38="","",BS50-BS51+BS52+BS53-BS54)</f>
        <v>21399.2484329788</v>
      </c>
      <c r="BT57" s="7" t="n">
        <f aca="false">IF(BT38="","",BT50-BT51+BT52+BT53-BT54)</f>
        <v>21399.2484329788</v>
      </c>
      <c r="BU57" s="7" t="n">
        <f aca="false">IF(BU38="","",BU50-BU51+BU52+BU53-BU54)</f>
        <v>21399.2484329788</v>
      </c>
      <c r="BV57" s="7" t="n">
        <f aca="false">IF(BV38="","",BV50-BV51+BV52+BV53-BV54)</f>
        <v>21399.2484329788</v>
      </c>
      <c r="BW57" s="7" t="n">
        <f aca="false">IF(BW38="","",BW50-BW51+BW52+BW53-BW54)</f>
        <v>21399.2484329788</v>
      </c>
      <c r="BX57" s="7" t="n">
        <f aca="false">IF(BX38="","",BX50-BX51+BX52+BX53-BX54)</f>
        <v>22415.5926330583</v>
      </c>
      <c r="BY57" s="7" t="n">
        <f aca="false">IF(BY38="","",BY50-BY51+BY52+BY53-BY54)</f>
        <v>22415.5926330583</v>
      </c>
      <c r="BZ57" s="7" t="n">
        <f aca="false">IF(BZ38="","",BZ50-BZ51+BZ52+BZ53-BZ54)</f>
        <v>22415.5926330583</v>
      </c>
      <c r="CA57" s="7" t="n">
        <f aca="false">IF(CA38="","",CA50-CA51+CA52+CA53-CA54)</f>
        <v>22415.5926330583</v>
      </c>
      <c r="CB57" s="7" t="n">
        <f aca="false">IF(CB38="","",CB50-CB51+CB52+CB53-CB54)</f>
        <v>22415.5926330583</v>
      </c>
      <c r="CC57" s="7" t="n">
        <f aca="false">IF(CC38="","",CC50-CC51+CC52+CC53-CC54)</f>
        <v>22415.5926330583</v>
      </c>
      <c r="CD57" s="7" t="n">
        <f aca="false">IF(CD38="","",CD50-CD51+CD52+CD53-CD54)</f>
        <v>22415.5926330583</v>
      </c>
      <c r="CE57" s="7" t="n">
        <f aca="false">IF(CE38="","",CE50-CE51+CE52+CE53-CE54)</f>
        <v>22415.5926330583</v>
      </c>
      <c r="CF57" s="7" t="n">
        <f aca="false">IF(CF38="","",CF50-CF51+CF52+CF53-CF54)</f>
        <v>22415.5926330583</v>
      </c>
      <c r="CG57" s="7" t="n">
        <f aca="false">IF(CG38="","",CG50-CG51+CG52+CG53-CG54)</f>
        <v>22415.5926330583</v>
      </c>
      <c r="CH57" s="7" t="n">
        <f aca="false">IF(CH38="","",CH50-CH51+CH52+CH53-CH54)</f>
        <v>22415.5926330583</v>
      </c>
      <c r="CI57" s="7" t="n">
        <f aca="false">IF(CI38="","",CI50-CI51+CI52+CI53-CI54)</f>
        <v>22415.5926330583</v>
      </c>
      <c r="CJ57" s="7" t="n">
        <f aca="false">IF(CJ38="","",CJ50-CJ51+CJ52+CJ53-CJ54)</f>
        <v>23452.1953612266</v>
      </c>
      <c r="CK57" s="7" t="n">
        <f aca="false">IF(CK38="","",CK50-CK51+CK52+CK53-CK54)</f>
        <v>23452.1953612266</v>
      </c>
      <c r="CL57" s="7" t="n">
        <f aca="false">IF(CL38="","",CL50-CL51+CL52+CL53-CL54)</f>
        <v>23452.1953612266</v>
      </c>
      <c r="CM57" s="7" t="n">
        <f aca="false">IF(CM38="","",CM50-CM51+CM52+CM53-CM54)</f>
        <v>23452.1953612266</v>
      </c>
      <c r="CN57" s="7" t="n">
        <f aca="false">IF(CN38="","",CN50-CN51+CN52+CN53-CN54)</f>
        <v>23452.1953612266</v>
      </c>
      <c r="CO57" s="7" t="n">
        <f aca="false">IF(CO38="","",CO50-CO51+CO52+CO53-CO54)</f>
        <v>23452.1953612266</v>
      </c>
      <c r="CP57" s="7" t="n">
        <f aca="false">IF(CP38="","",CP50-CP51+CP52+CP53-CP54)</f>
        <v>23452.1953612266</v>
      </c>
      <c r="CQ57" s="7" t="n">
        <f aca="false">IF(CQ38="","",CQ50-CQ51+CQ52+CQ53-CQ54)</f>
        <v>23452.1953612266</v>
      </c>
      <c r="CR57" s="7" t="n">
        <f aca="false">IF(CR38="","",CR50-CR51+CR52+CR53-CR54)</f>
        <v>23452.1953612266</v>
      </c>
      <c r="CS57" s="7" t="n">
        <f aca="false">IF(CS38="","",CS50-CS51+CS52+CS53-CS54)</f>
        <v>23452.1953612266</v>
      </c>
      <c r="CT57" s="7" t="n">
        <f aca="false">IF(CT38="","",CT50-CT51+CT52+CT53-CT54)</f>
        <v>23452.1953612266</v>
      </c>
      <c r="CU57" s="7" t="n">
        <f aca="false">IF(CU38="","",CU50-CU51+CU52+CU53-CU54)</f>
        <v>23452.1953612266</v>
      </c>
      <c r="CV57" s="7" t="n">
        <f aca="false">IF(CV38="","",CV50-CV51+CV52+CV53-CV54)</f>
        <v>8157.48884303476</v>
      </c>
      <c r="CW57" s="7" t="n">
        <f aca="false">IF(CW38="","",CW50-CW51+CW52+CW53-CW54)</f>
        <v>8157.48884303476</v>
      </c>
      <c r="CX57" s="7" t="n">
        <f aca="false">IF(CX38="","",CX50-CX51+CX52+CX53-CX54)</f>
        <v>8157.48884303476</v>
      </c>
      <c r="CY57" s="7" t="n">
        <f aca="false">IF(CY38="","",CY50-CY51+CY52+CY53-CY54)</f>
        <v>8157.48884303476</v>
      </c>
      <c r="CZ57" s="7" t="n">
        <f aca="false">IF(CZ38="","",CZ50-CZ51+CZ52+CZ53-CZ54)</f>
        <v>8157.48884303476</v>
      </c>
      <c r="DA57" s="7" t="n">
        <f aca="false">IF(DA38="","",DA50-DA51+DA52+DA53-DA54)</f>
        <v>8157.48884303476</v>
      </c>
      <c r="DB57" s="7" t="n">
        <f aca="false">IF(DB38="","",DB50-DB51+DB52+DB53-DB54)</f>
        <v>8157.48884303476</v>
      </c>
      <c r="DC57" s="7" t="n">
        <f aca="false">IF(DC38="","",DC50-DC51+DC52+DC53-DC54)</f>
        <v>8157.48884303476</v>
      </c>
      <c r="DD57" s="7" t="n">
        <f aca="false">IF(DD38="","",DD50-DD51+DD52+DD53-DD54)</f>
        <v>8157.48884303476</v>
      </c>
      <c r="DE57" s="7" t="n">
        <f aca="false">IF(DE38="","",DE50-DE51+DE52+DE53-DE54)</f>
        <v>21207.4888430348</v>
      </c>
      <c r="DF57" s="7" t="n">
        <f aca="false">IF(DF38="","",DF50-DF51+DF52+DF53-DF54)</f>
        <v>21207.4888430348</v>
      </c>
      <c r="DG57" s="7" t="n">
        <f aca="false">IF(DG38="","",DG50-DG51+DG52+DG53-DG54)</f>
        <v>21207.4888430348</v>
      </c>
      <c r="DH57" s="7" t="n">
        <f aca="false">IF(DH38="","",DH50-DH51+DH52+DH53-DH54)</f>
        <v>21195.6956231424</v>
      </c>
      <c r="DI57" s="7" t="n">
        <f aca="false">IF(DI38="","",DI50-DI51+DI52+DI53-DI54)</f>
        <v>21195.6956231424</v>
      </c>
      <c r="DJ57" s="7" t="n">
        <f aca="false">IF(DJ38="","",DJ50-DJ51+DJ52+DJ53-DJ54)</f>
        <v>21195.6956231424</v>
      </c>
      <c r="DK57" s="7" t="n">
        <f aca="false">IF(DK38="","",DK50-DK51+DK52+DK53-DK54)</f>
        <v>21195.6956231424</v>
      </c>
      <c r="DL57" s="7" t="n">
        <f aca="false">IF(DL38="","",DL50-DL51+DL52+DL53-DL54)</f>
        <v>21195.6956231424</v>
      </c>
      <c r="DM57" s="7" t="n">
        <f aca="false">IF(DM38="","",DM50-DM51+DM52+DM53-DM54)</f>
        <v>21195.6956231424</v>
      </c>
      <c r="DN57" s="7" t="n">
        <f aca="false">IF(DN38="","",DN50-DN51+DN52+DN53-DN54)</f>
        <v>21195.6956231424</v>
      </c>
      <c r="DO57" s="7" t="n">
        <f aca="false">IF(DO38="","",DO50-DO51+DO52+DO53-DO54)</f>
        <v>21195.6956231424</v>
      </c>
      <c r="DP57" s="7" t="n">
        <f aca="false">IF(DP38="","",DP50-DP51+DP52+DP53-DP54)</f>
        <v>21195.6956231424</v>
      </c>
      <c r="DQ57" s="7" t="n">
        <f aca="false">IF(DQ38="","",DQ50-DQ51+DQ52+DQ53-DQ54)</f>
        <v>21195.6956231424</v>
      </c>
      <c r="DR57" s="7" t="n">
        <f aca="false">IF(DR38="","",DR50-DR51+DR52+DR53-DR54)</f>
        <v>21195.6956231424</v>
      </c>
      <c r="DS57" s="7" t="n">
        <f aca="false">IF(DS38="","",DS50-DS51+DS52+DS53-DS54)</f>
        <v>21195.6956231424</v>
      </c>
      <c r="DT57" s="7" t="n">
        <f aca="false">IF(DT38="","",DT50-DT51+DT52+DT53-DT54)</f>
        <v>21183.5929270104</v>
      </c>
      <c r="DU57" s="7" t="n">
        <f aca="false">IF(DU38="","",DU50-DU51+DU52+DU53-DU54)</f>
        <v>21183.5929270104</v>
      </c>
      <c r="DV57" s="7" t="n">
        <f aca="false">IF(DV38="","",DV50-DV51+DV52+DV53-DV54)</f>
        <v>21183.5929270104</v>
      </c>
      <c r="DW57" s="7" t="n">
        <f aca="false">IF(DW38="","",DW50-DW51+DW52+DW53-DW54)</f>
        <v>21183.5929270104</v>
      </c>
      <c r="DX57" s="7" t="n">
        <f aca="false">IF(DX38="","",DX50-DX51+DX52+DX53-DX54)</f>
        <v>21183.5929270104</v>
      </c>
      <c r="DY57" s="7" t="n">
        <f aca="false">IF(DY38="","",DY50-DY51+DY52+DY53-DY54)</f>
        <v>21183.5929270104</v>
      </c>
      <c r="DZ57" s="7" t="n">
        <f aca="false">IF(DZ38="","",DZ50-DZ51+DZ52+DZ53-DZ54)</f>
        <v>21183.5929270104</v>
      </c>
      <c r="EA57" s="7" t="n">
        <f aca="false">IF(EA38="","",EA50-EA51+EA52+EA53-EA54)</f>
        <v>21183.5929270104</v>
      </c>
      <c r="EB57" s="7" t="n">
        <f aca="false">IF(EB38="","",EB50-EB51+EB52+EB53-EB54)</f>
        <v>21183.5929270104</v>
      </c>
      <c r="EC57" s="7" t="n">
        <f aca="false">IF(EC38="","",EC50-EC51+EC52+EC53-EC54)</f>
        <v>21183.5929270104</v>
      </c>
      <c r="ED57" s="7" t="n">
        <f aca="false">IF(ED38="","",ED50-ED51+ED52+ED53-ED54)</f>
        <v>21183.5929270104</v>
      </c>
      <c r="EE57" s="7" t="n">
        <f aca="false">IF(EE38="","",EE50-EE51+EE52+EE53-EE54)</f>
        <v>21183.5929270104</v>
      </c>
      <c r="EF57" s="7" t="n">
        <f aca="false">IF(EF38="","",EF50-EF51+EF52+EF53-EF54)</f>
        <v>21171.172724818</v>
      </c>
      <c r="EG57" s="7" t="n">
        <f aca="false">IF(EG38="","",EG50-EG51+EG52+EG53-EG54)</f>
        <v>21171.172724818</v>
      </c>
      <c r="EH57" s="7" t="n">
        <f aca="false">IF(EH38="","",EH50-EH51+EH52+EH53-EH54)</f>
        <v>21171.172724818</v>
      </c>
      <c r="EI57" s="7" t="n">
        <f aca="false">IF(EI38="","",EI50-EI51+EI52+EI53-EI54)</f>
        <v>21171.172724818</v>
      </c>
      <c r="EJ57" s="7" t="n">
        <f aca="false">IF(EJ38="","",EJ50-EJ51+EJ52+EJ53-EJ54)</f>
        <v>21171.172724818</v>
      </c>
      <c r="EK57" s="7" t="n">
        <f aca="false">IF(EK38="","",EK50-EK51+EK52+EK53-EK54)</f>
        <v>21171.172724818</v>
      </c>
      <c r="EL57" s="7" t="n">
        <f aca="false">IF(EL38="","",EL50-EL51+EL52+EL53-EL54)</f>
        <v>21171.172724818</v>
      </c>
      <c r="EM57" s="7" t="n">
        <f aca="false">IF(EM38="","",EM50-EM51+EM52+EM53-EM54)</f>
        <v>21171.172724818</v>
      </c>
      <c r="EN57" s="7" t="n">
        <f aca="false">IF(EN38="","",EN50-EN51+EN52+EN53-EN54)</f>
        <v>21171.172724818</v>
      </c>
      <c r="EO57" s="7" t="n">
        <f aca="false">IF(EO38="","",EO50-EO51+EO52+EO53-EO54)</f>
        <v>21171.172724818</v>
      </c>
      <c r="EP57" s="7" t="n">
        <f aca="false">IF(EP38="","",EP50-EP51+EP52+EP53-EP54)</f>
        <v>21171.172724818</v>
      </c>
      <c r="EQ57" s="7" t="n">
        <f aca="false">IF(EQ38="","",EQ50-EQ51+EQ52+EQ53-EQ54)</f>
        <v>21171.172724818</v>
      </c>
      <c r="ER57" s="7" t="n">
        <f aca="false">IF(ER38="","",ER50-ER51+ER52+ER53-ER54)</f>
        <v>21158.4267801405</v>
      </c>
      <c r="ES57" s="7" t="n">
        <f aca="false">IF(ES38="","",ES50-ES51+ES52+ES53-ES54)</f>
        <v>21158.4267801405</v>
      </c>
      <c r="ET57" s="7" t="n">
        <f aca="false">IF(ET38="","",ET50-ET51+ET52+ET53-ET54)</f>
        <v>21158.4267801405</v>
      </c>
      <c r="EU57" s="7" t="n">
        <f aca="false">IF(EU38="","",EU50-EU51+EU52+EU53-EU54)</f>
        <v>21158.4267801405</v>
      </c>
      <c r="EV57" s="7" t="n">
        <f aca="false">IF(EV38="","",EV50-EV51+EV52+EV53-EV54)</f>
        <v>21158.4267801405</v>
      </c>
      <c r="EW57" s="7" t="n">
        <f aca="false">IF(EW38="","",EW50-EW51+EW52+EW53-EW54)</f>
        <v>21158.4267801405</v>
      </c>
      <c r="EX57" s="7" t="n">
        <f aca="false">IF(EX38="","",EX50-EX51+EX52+EX53-EX54)</f>
        <v>21158.4267801405</v>
      </c>
      <c r="EY57" s="7" t="n">
        <f aca="false">IF(EY38="","",EY50-EY51+EY52+EY53-EY54)</f>
        <v>21158.4267801405</v>
      </c>
      <c r="EZ57" s="7" t="n">
        <f aca="false">IF(EZ38="","",EZ50-EZ51+EZ52+EZ53-EZ54)</f>
        <v>21158.4267801405</v>
      </c>
      <c r="FA57" s="7" t="n">
        <f aca="false">IF(FA38="","",FA50-FA51+FA52+FA53-FA54)</f>
        <v>21158.4267801405</v>
      </c>
      <c r="FB57" s="7" t="n">
        <f aca="false">IF(FB38="","",FB50-FB51+FB52+FB53-FB54)</f>
        <v>21158.4267801405</v>
      </c>
      <c r="FC57" s="7" t="n">
        <f aca="false">IF(FC38="","",FC50-FC51+FC52+FC53-FC54)</f>
        <v>5440840.28288982</v>
      </c>
      <c r="FD57" s="0" t="str">
        <f aca="false">IF(FD38="","",FD50-FD51+FD52+FD53-FD54)</f>
        <v/>
      </c>
      <c r="FE57" s="4" t="e">
        <f aca="false">IF(FE38="","",FE50-FE51+FE52+FE53-FE54)</f>
        <v>#VALUE!</v>
      </c>
      <c r="FF57" s="4" t="e">
        <f aca="false">IF(FF38="","",FF50-FF51+FF52+FF53-FF54)</f>
        <v>#VALUE!</v>
      </c>
      <c r="FG57" s="4" t="e">
        <f aca="false">IF(FG38="","",FG50-FG51+FG52+FG53-FG54)</f>
        <v>#VALUE!</v>
      </c>
      <c r="FH57" s="4" t="e">
        <f aca="false">IF(FH38="","",FH50-FH51+FH52+FH53-FH54)</f>
        <v>#VALUE!</v>
      </c>
      <c r="FI57" s="4" t="e">
        <f aca="false">IF(FI38="","",FI50-FI51+FI52+FI53-FI54)</f>
        <v>#VALUE!</v>
      </c>
      <c r="FJ57" s="4" t="e">
        <f aca="false">IF(FJ38="","",FJ50-FJ51+FJ52+FJ53-FJ54)</f>
        <v>#VALUE!</v>
      </c>
      <c r="FK57" s="4" t="e">
        <f aca="false">IF(FK38="","",FK50-FK51+FK52+FK53-FK54)</f>
        <v>#VALUE!</v>
      </c>
      <c r="FL57" s="4" t="e">
        <f aca="false">IF(FL38="","",FL50-FL51+FL52+FL53-FL54)</f>
        <v>#VALUE!</v>
      </c>
      <c r="FM57" s="4" t="e">
        <f aca="false">IF(FM38="","",FM50-FM51+FM52+FM53-FM54)</f>
        <v>#VALUE!</v>
      </c>
      <c r="FN57" s="4" t="e">
        <f aca="false">IF(FN38="","",FN50-FN51+FN52+FN53-FN54)</f>
        <v>#VALUE!</v>
      </c>
      <c r="FO57" s="4" t="e">
        <f aca="false">IF(FO38="","",FO50-FO51+FO52+FO53-FO54)</f>
        <v>#VALUE!</v>
      </c>
      <c r="FP57" s="4" t="e">
        <f aca="false">IF(FP38="","",FP50-FP51+FP52+FP53-FP54)</f>
        <v>#VALUE!</v>
      </c>
      <c r="FQ57" s="4" t="e">
        <f aca="false">IF(FQ38="","",FQ50-FQ51+FQ52+FQ53-FQ54)</f>
        <v>#VALUE!</v>
      </c>
      <c r="FR57" s="4" t="e">
        <f aca="false">IF(FR38="","",FR50-FR51+FR52+FR53-FR54)</f>
        <v>#VALUE!</v>
      </c>
      <c r="FS57" s="4" t="e">
        <f aca="false">IF(FS38="","",FS50-FS51+FS52+FS53-FS54)</f>
        <v>#VALUE!</v>
      </c>
      <c r="FT57" s="4" t="e">
        <f aca="false">IF(FT38="","",FT50-FT51+FT52+FT53-FT54)</f>
        <v>#VALUE!</v>
      </c>
      <c r="FU57" s="4" t="e">
        <f aca="false">IF(FU38="","",FU50-FU51+FU52+FU53-FU54)</f>
        <v>#VALUE!</v>
      </c>
      <c r="FV57" s="4" t="e">
        <f aca="false">IF(FV38="","",FV50-FV51+FV52+FV53-FV54)</f>
        <v>#VALUE!</v>
      </c>
      <c r="FW57" s="4" t="e">
        <f aca="false">IF(FW38="","",FW50-FW51+FW52+FW53-FW54)</f>
        <v>#VALUE!</v>
      </c>
      <c r="FX57" s="4" t="e">
        <f aca="false">IF(FX38="","",FX50-FX51+FX52+FX53-FX54)</f>
        <v>#VALUE!</v>
      </c>
      <c r="FY57" s="4" t="e">
        <f aca="false">IF(FY38="","",FY50-FY51+FY52+FY53-FY54)</f>
        <v>#VALUE!</v>
      </c>
      <c r="FZ57" s="4" t="e">
        <f aca="false">IF(FZ38="","",FZ50-FZ51+FZ52+FZ53-FZ54)</f>
        <v>#VALUE!</v>
      </c>
      <c r="GA57" s="4" t="e">
        <f aca="false">IF(GA38="","",GA50-GA51+GA52+GA53-GA54)</f>
        <v>#VALUE!</v>
      </c>
      <c r="GB57" s="4" t="e">
        <f aca="false">IF(GB38="","",GB50-GB51+GB52+GB53-GB54)</f>
        <v>#VALUE!</v>
      </c>
      <c r="GC57" s="4" t="e">
        <f aca="false">IF(GC38="","",GC50-GC51+GC52+GC53-GC54)</f>
        <v>#VALUE!</v>
      </c>
      <c r="GD57" s="4" t="e">
        <f aca="false">IF(GD38="","",GD50-GD51+GD52+GD53-GD54)</f>
        <v>#VALUE!</v>
      </c>
      <c r="GE57" s="4" t="e">
        <f aca="false">IF(GE38="","",GE50-GE51+GE52+GE53-GE54)</f>
        <v>#VALUE!</v>
      </c>
      <c r="GF57" s="4" t="e">
        <f aca="false">IF(GF38="","",GF50-GF51+GF52+GF53-GF54)</f>
        <v>#VALUE!</v>
      </c>
      <c r="GG57" s="4" t="e">
        <f aca="false">IF(GG38="","",GG50-GG51+GG52+GG53-GG54)</f>
        <v>#VALUE!</v>
      </c>
      <c r="GH57" s="4" t="e">
        <f aca="false">IF(GH38="","",GH50-GH51+GH52+GH53-GH54)</f>
        <v>#VALUE!</v>
      </c>
      <c r="GI57" s="4" t="e">
        <f aca="false">IF(GI38="","",GI50-GI51+GI52+GI53-GI54)</f>
        <v>#VALUE!</v>
      </c>
      <c r="GJ57" s="4" t="e">
        <f aca="false">IF(GJ38="","",GJ50-GJ51+GJ52+GJ53-GJ54)</f>
        <v>#VALUE!</v>
      </c>
      <c r="GK57" s="4" t="e">
        <f aca="false">IF(GK38="","",GK50-GK51+GK52+GK53-GK54)</f>
        <v>#VALUE!</v>
      </c>
      <c r="GL57" s="4" t="e">
        <f aca="false">IF(GL38="","",GL50-GL51+GL52+GL53-GL54)</f>
        <v>#VALUE!</v>
      </c>
      <c r="GM57" s="4" t="e">
        <f aca="false">IF(GM38="","",GM50-GM51+GM52+GM53-GM54)</f>
        <v>#VALUE!</v>
      </c>
      <c r="GN57" s="4" t="e">
        <f aca="false">IF(GN38="","",GN50-GN51+GN52+GN53-GN54)</f>
        <v>#VALUE!</v>
      </c>
      <c r="GO57" s="4" t="e">
        <f aca="false">IF(GO38="","",GO50-GO51+GO52+GO53-GO54)</f>
        <v>#VALUE!</v>
      </c>
      <c r="GP57" s="4" t="e">
        <f aca="false">IF(GP38="","",GP50-GP51+GP52+GP53-GP54)</f>
        <v>#VALUE!</v>
      </c>
      <c r="GQ57" s="4" t="e">
        <f aca="false">IF(GQ38="","",GQ50-GQ51+GQ52+GQ53-GQ54)</f>
        <v>#VALUE!</v>
      </c>
      <c r="GR57" s="4" t="e">
        <f aca="false">IF(GR38="","",GR50-GR51+GR52+GR53-GR54)</f>
        <v>#VALUE!</v>
      </c>
      <c r="GS57" s="4" t="e">
        <f aca="false">IF(GS38="","",GS50-GS51+GS52+GS53-GS54)</f>
        <v>#VALUE!</v>
      </c>
      <c r="GT57" s="4" t="e">
        <f aca="false">IF(GT38="","",GT50-GT51+GT52+GT53-GT54)</f>
        <v>#VALUE!</v>
      </c>
      <c r="GU57" s="4" t="e">
        <f aca="false">IF(GU38="","",GU50-GU51+GU52+GU53-GU54)</f>
        <v>#VALUE!</v>
      </c>
      <c r="GV57" s="4" t="e">
        <f aca="false">IF(GV38="","",GV50-GV51+GV52+GV53-GV54)</f>
        <v>#VALUE!</v>
      </c>
      <c r="GW57" s="4" t="e">
        <f aca="false">IF(GW38="","",GW50-GW51+GW52+GW53-GW54)</f>
        <v>#VALUE!</v>
      </c>
      <c r="GX57" s="4" t="e">
        <f aca="false">IF(GX38="","",GX50-GX51+GX52+GX53-GX54)</f>
        <v>#VALUE!</v>
      </c>
      <c r="GY57" s="4" t="e">
        <f aca="false">IF(GY38="","",GY50-GY51+GY52+GY53-GY54)</f>
        <v>#VALUE!</v>
      </c>
      <c r="GZ57" s="4" t="e">
        <f aca="false">IF(GZ38="","",GZ50-GZ51+GZ52+GZ53-GZ54)</f>
        <v>#VALUE!</v>
      </c>
      <c r="HA57" s="4" t="e">
        <f aca="false">IF(HA38="","",HA50-HA51+HA52+HA53-HA54)</f>
        <v>#VALUE!</v>
      </c>
      <c r="HB57" s="4" t="e">
        <f aca="false">IF(HB38="","",HB50-HB51+HB52+HB53-HB54)</f>
        <v>#VALUE!</v>
      </c>
      <c r="HC57" s="4" t="e">
        <f aca="false">IF(HC38="","",HC50-HC51+HC52+HC53-HC54)</f>
        <v>#VALUE!</v>
      </c>
      <c r="HD57" s="4" t="e">
        <f aca="false">IF(HD38="","",HD50-HD51+HD52+HD53-HD54)</f>
        <v>#VALUE!</v>
      </c>
      <c r="HE57" s="4" t="e">
        <f aca="false">IF(HE38="","",HE50-HE51+HE52+HE53-HE54)</f>
        <v>#VALUE!</v>
      </c>
      <c r="HF57" s="4" t="e">
        <f aca="false">IF(HF38="","",HF50-HF51+HF52+HF53-HF54)</f>
        <v>#VALUE!</v>
      </c>
      <c r="HG57" s="4" t="e">
        <f aca="false">IF(HG38="","",HG50-HG51+HG52+HG53-HG54)</f>
        <v>#VALUE!</v>
      </c>
      <c r="HH57" s="4" t="e">
        <f aca="false">IF(HH38="","",HH50-HH51+HH52+HH53-HH54)</f>
        <v>#VALUE!</v>
      </c>
      <c r="HI57" s="4" t="e">
        <f aca="false">IF(HI38="","",HI50-HI51+HI52+HI53-HI54)</f>
        <v>#VALUE!</v>
      </c>
      <c r="HJ57" s="4" t="e">
        <f aca="false">IF(HJ38="","",HJ50-HJ51+HJ52+HJ53-HJ54)</f>
        <v>#VALUE!</v>
      </c>
      <c r="HK57" s="4" t="e">
        <f aca="false">IF(HK38="","",HK50-HK51+HK52+HK53-HK54)</f>
        <v>#VALUE!</v>
      </c>
      <c r="HL57" s="4" t="e">
        <f aca="false">IF(HL38="","",HL50-HL51+HL52+HL53-HL54)</f>
        <v>#VALUE!</v>
      </c>
      <c r="HM57" s="4" t="e">
        <f aca="false">IF(HM38="","",HM50-HM51+HM52+HM53-HM54)</f>
        <v>#VALUE!</v>
      </c>
      <c r="HN57" s="4" t="e">
        <f aca="false">IF(HN38="","",HN50-HN51+HN52+HN53-HN54)</f>
        <v>#VALUE!</v>
      </c>
      <c r="HO57" s="4" t="e">
        <f aca="false">IF(HO38="","",HO50-HO51+HO52+HO53-HO54)</f>
        <v>#VALUE!</v>
      </c>
      <c r="HP57" s="4" t="e">
        <f aca="false">IF(HP38="","",HP50-HP51+HP52+HP53-HP54)</f>
        <v>#VALUE!</v>
      </c>
      <c r="HQ57" s="4" t="e">
        <f aca="false">IF(HQ38="","",HQ50-HQ51+HQ52+HQ53-HQ54)</f>
        <v>#VALUE!</v>
      </c>
      <c r="HR57" s="4" t="e">
        <f aca="false">IF(HR38="","",HR50-HR51+HR52+HR53-HR54)</f>
        <v>#VALUE!</v>
      </c>
      <c r="HS57" s="4" t="e">
        <f aca="false">IF(HS38="","",HS50-HS51+HS52+HS53-HS54)</f>
        <v>#VALUE!</v>
      </c>
      <c r="HT57" s="4" t="e">
        <f aca="false">IF(HT38="","",HT50-HT51+HT52+HT53-HT54)</f>
        <v>#VALUE!</v>
      </c>
      <c r="HU57" s="4" t="e">
        <f aca="false">IF(HU38="","",HU50-HU51+HU52+HU53-HU54)</f>
        <v>#VALUE!</v>
      </c>
      <c r="HV57" s="4" t="e">
        <f aca="false">IF(HV38="","",HV50-HV51+HV52+HV53-HV54)</f>
        <v>#VALUE!</v>
      </c>
      <c r="HW57" s="4" t="e">
        <f aca="false">IF(HW38="","",HW50-HW51+HW52+HW53-HW54)</f>
        <v>#VALUE!</v>
      </c>
      <c r="HX57" s="4" t="e">
        <f aca="false">IF(HX38="","",HX50-HX51+HX52+HX53-HX54)</f>
        <v>#VALUE!</v>
      </c>
      <c r="HY57" s="4" t="e">
        <f aca="false">IF(HY38="","",HY50-HY51+HY52+HY53-HY54)</f>
        <v>#VALUE!</v>
      </c>
      <c r="HZ57" s="4" t="e">
        <f aca="false">IF(HZ38="","",HZ50-HZ51+HZ52+HZ53-HZ54)</f>
        <v>#VALUE!</v>
      </c>
      <c r="IA57" s="4" t="e">
        <f aca="false">IF(IA38="","",IA50-IA51+IA52+IA53-IA54)</f>
        <v>#VALUE!</v>
      </c>
      <c r="IB57" s="4" t="e">
        <f aca="false">IF(IB38="","",IB50-IB51+IB52+IB53-IB54)</f>
        <v>#VALUE!</v>
      </c>
      <c r="IC57" s="4" t="e">
        <f aca="false">IF(IC38="","",IC50-IC51+IC52+IC53-IC54)</f>
        <v>#VALUE!</v>
      </c>
      <c r="ID57" s="4" t="e">
        <f aca="false">IF(ID38="","",ID50-ID51+ID52+ID53-ID54)</f>
        <v>#VALUE!</v>
      </c>
      <c r="IE57" s="4" t="e">
        <f aca="false">IF(IE38="","",IE50-IE51+IE52+IE53-IE54)</f>
        <v>#VALUE!</v>
      </c>
      <c r="IF57" s="4" t="e">
        <f aca="false">IF(IF38="","",IF50-IF51+IF52+IF53-IF54)</f>
        <v>#VALUE!</v>
      </c>
      <c r="IG57" s="4" t="e">
        <f aca="false">IF(IG38="","",IG50-IG51+IG52+IG53-IG54)</f>
        <v>#VALUE!</v>
      </c>
      <c r="IH57" s="4" t="e">
        <f aca="false">IF(IH38="","",IH50-IH51+IH52+IH53-IH54)</f>
        <v>#VALUE!</v>
      </c>
      <c r="II57" s="4" t="e">
        <f aca="false">IF(II38="","",II50-II51+II52+II53-II54)</f>
        <v>#VALUE!</v>
      </c>
    </row>
    <row r="59" customFormat="false" ht="15" hidden="false" customHeight="false" outlineLevel="0" collapsed="false">
      <c r="B59" s="0" t="s">
        <v>96</v>
      </c>
    </row>
    <row r="61" customFormat="false" ht="15" hidden="false" customHeight="false" outlineLevel="0" collapsed="false">
      <c r="B61" s="0" t="s">
        <v>17</v>
      </c>
      <c r="C61" s="0" t="n">
        <f aca="true">XIRR(OFFSET($C$56,0,0,1,Residual_Month+1),OFFSET($C$39,0,0,1,Residual_Month+1))</f>
        <v>0.0896571082063726</v>
      </c>
    </row>
    <row r="62" customFormat="false" ht="15" hidden="false" customHeight="false" outlineLevel="0" collapsed="false">
      <c r="B62" s="0" t="s">
        <v>99</v>
      </c>
      <c r="C62" s="0" t="n">
        <f aca="false">SUMIF($C$56:$II$56,"&gt;0")/-SUMIF($C$56:$II$56,"&lt;0")</f>
        <v>2.22227882621583</v>
      </c>
    </row>
    <row r="64" customFormat="false" ht="15" hidden="false" customHeight="false" outlineLevel="0" collapsed="false">
      <c r="B64" s="0" t="s">
        <v>102</v>
      </c>
    </row>
    <row r="66" customFormat="false" ht="15" hidden="false" customHeight="false" outlineLevel="0" collapsed="false">
      <c r="B66" s="0" t="s">
        <v>17</v>
      </c>
      <c r="C66" s="0" t="n">
        <f aca="true">XIRR(OFFSET($C$57,0,0,1,Residual_Month+1),OFFSET($C$39,0,0,1,Residual_Month+1))</f>
        <v>0.123742389288525</v>
      </c>
    </row>
    <row r="67" customFormat="false" ht="15" hidden="false" customHeight="false" outlineLevel="0" collapsed="false">
      <c r="B67" s="0" t="s">
        <v>99</v>
      </c>
      <c r="C67" s="0" t="n">
        <f aca="false">SUMIF($C$57:$II$57,"&gt;0")/-SUMIF($C$57:$II$57,"&lt;0")</f>
        <v>3.11646974972212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117</v>
      </c>
    </row>
    <row r="6" customFormat="false" ht="15" hidden="false" customHeight="false" outlineLevel="0" collapsed="false">
      <c r="B6" s="0" t="s">
        <v>118</v>
      </c>
    </row>
    <row r="7" customFormat="false" ht="15" hidden="false" customHeight="false" outlineLevel="0" collapsed="false">
      <c r="B7" s="0" t="s">
        <v>119</v>
      </c>
      <c r="C7" s="0" t="n">
        <f aca="false">'Investment Returns'!D23</f>
        <v>559750</v>
      </c>
    </row>
    <row r="8" customFormat="false" ht="15" hidden="false" customHeight="false" outlineLevel="0" collapsed="false">
      <c r="B8" s="0" t="s">
        <v>120</v>
      </c>
      <c r="C8" s="0" t="n">
        <f aca="false">C42</f>
        <v>8010000.40326862</v>
      </c>
    </row>
    <row r="9" customFormat="false" ht="15" hidden="false" customHeight="false" outlineLevel="0" collapsed="false">
      <c r="B9" s="0" t="s">
        <v>121</v>
      </c>
      <c r="C9" s="0" t="n">
        <f aca="false">C7/C8</f>
        <v>0.0698813947339608</v>
      </c>
    </row>
    <row r="14" customFormat="false" ht="15" hidden="false" customHeight="false" outlineLevel="0" collapsed="false">
      <c r="B14" s="0" t="s">
        <v>87</v>
      </c>
      <c r="D14" s="0" t="n">
        <v>1</v>
      </c>
      <c r="E14" s="0" t="n">
        <v>2</v>
      </c>
      <c r="F14" s="0" t="n">
        <v>3</v>
      </c>
      <c r="G14" s="0" t="n">
        <v>4</v>
      </c>
      <c r="H14" s="0" t="n">
        <v>5</v>
      </c>
      <c r="I14" s="0" t="n">
        <v>6</v>
      </c>
      <c r="J14" s="0" t="n">
        <v>7</v>
      </c>
      <c r="K14" s="0" t="n">
        <v>8</v>
      </c>
      <c r="L14" s="0" t="n">
        <v>9</v>
      </c>
      <c r="M14" s="0" t="n">
        <v>10</v>
      </c>
      <c r="N14" s="0" t="n">
        <v>11</v>
      </c>
      <c r="O14" s="0" t="n">
        <v>12</v>
      </c>
      <c r="P14" s="0" t="n">
        <v>13</v>
      </c>
      <c r="Q14" s="0" t="n">
        <v>14</v>
      </c>
      <c r="R14" s="0" t="n">
        <v>15</v>
      </c>
      <c r="S14" s="0" t="n">
        <v>16</v>
      </c>
      <c r="T14" s="0" t="n">
        <v>17</v>
      </c>
      <c r="U14" s="0" t="n">
        <v>18</v>
      </c>
      <c r="V14" s="0" t="n">
        <v>19</v>
      </c>
      <c r="W14" s="0" t="n">
        <v>20</v>
      </c>
      <c r="X14" s="0" t="n">
        <v>21</v>
      </c>
      <c r="Y14" s="0" t="n">
        <v>22</v>
      </c>
      <c r="Z14" s="0" t="n">
        <v>23</v>
      </c>
      <c r="AA14" s="0" t="n">
        <v>24</v>
      </c>
      <c r="AB14" s="0" t="n">
        <v>25</v>
      </c>
      <c r="AC14" s="0" t="n">
        <v>26</v>
      </c>
      <c r="AD14" s="0" t="n">
        <v>27</v>
      </c>
      <c r="AE14" s="0" t="n">
        <v>28</v>
      </c>
      <c r="AF14" s="0" t="n">
        <v>29</v>
      </c>
      <c r="AG14" s="0" t="n">
        <v>30</v>
      </c>
      <c r="AH14" s="0" t="n">
        <v>31</v>
      </c>
      <c r="AI14" s="0" t="n">
        <v>32</v>
      </c>
      <c r="AJ14" s="0" t="n">
        <v>33</v>
      </c>
      <c r="AK14" s="0" t="n">
        <v>34</v>
      </c>
      <c r="AL14" s="0" t="n">
        <v>35</v>
      </c>
      <c r="AM14" s="0" t="n">
        <v>36</v>
      </c>
      <c r="AN14" s="0" t="n">
        <v>37</v>
      </c>
      <c r="AO14" s="0" t="n">
        <v>38</v>
      </c>
      <c r="AP14" s="0" t="n">
        <v>39</v>
      </c>
      <c r="AQ14" s="0" t="n">
        <v>40</v>
      </c>
      <c r="AR14" s="0" t="n">
        <v>41</v>
      </c>
      <c r="AS14" s="0" t="n">
        <v>42</v>
      </c>
      <c r="AT14" s="0" t="n">
        <v>43</v>
      </c>
      <c r="AU14" s="0" t="n">
        <v>44</v>
      </c>
      <c r="AV14" s="0" t="n">
        <v>45</v>
      </c>
      <c r="AW14" s="0" t="n">
        <v>46</v>
      </c>
      <c r="AX14" s="0" t="n">
        <v>47</v>
      </c>
      <c r="AY14" s="0" t="n">
        <v>48</v>
      </c>
      <c r="AZ14" s="0" t="n">
        <v>49</v>
      </c>
      <c r="BA14" s="0" t="n">
        <v>50</v>
      </c>
      <c r="BB14" s="0" t="n">
        <v>51</v>
      </c>
      <c r="BC14" s="0" t="n">
        <v>52</v>
      </c>
      <c r="BD14" s="0" t="n">
        <v>53</v>
      </c>
      <c r="BE14" s="0" t="n">
        <v>54</v>
      </c>
      <c r="BF14" s="0" t="n">
        <v>55</v>
      </c>
      <c r="BG14" s="0" t="n">
        <v>56</v>
      </c>
      <c r="BH14" s="0" t="n">
        <v>57</v>
      </c>
      <c r="BI14" s="0" t="n">
        <v>58</v>
      </c>
      <c r="BJ14" s="0" t="n">
        <v>59</v>
      </c>
      <c r="BK14" s="0" t="n">
        <v>60</v>
      </c>
      <c r="BL14" s="0" t="n">
        <v>61</v>
      </c>
      <c r="BM14" s="0" t="n">
        <v>62</v>
      </c>
      <c r="BN14" s="0" t="n">
        <v>63</v>
      </c>
      <c r="BO14" s="0" t="n">
        <v>64</v>
      </c>
      <c r="BP14" s="0" t="n">
        <v>65</v>
      </c>
      <c r="BQ14" s="0" t="n">
        <v>66</v>
      </c>
      <c r="BR14" s="0" t="n">
        <v>67</v>
      </c>
      <c r="BS14" s="0" t="n">
        <v>68</v>
      </c>
      <c r="BT14" s="0" t="n">
        <v>69</v>
      </c>
      <c r="BU14" s="0" t="n">
        <v>70</v>
      </c>
      <c r="BV14" s="0" t="n">
        <v>71</v>
      </c>
      <c r="BW14" s="0" t="n">
        <v>72</v>
      </c>
      <c r="BX14" s="0" t="n">
        <v>73</v>
      </c>
      <c r="BY14" s="0" t="n">
        <v>74</v>
      </c>
      <c r="BZ14" s="0" t="n">
        <v>75</v>
      </c>
      <c r="CA14" s="0" t="n">
        <v>76</v>
      </c>
      <c r="CB14" s="0" t="n">
        <v>77</v>
      </c>
      <c r="CC14" s="0" t="n">
        <v>78</v>
      </c>
      <c r="CD14" s="0" t="n">
        <v>79</v>
      </c>
      <c r="CE14" s="0" t="n">
        <v>80</v>
      </c>
      <c r="CF14" s="0" t="n">
        <v>81</v>
      </c>
      <c r="CG14" s="0" t="n">
        <v>82</v>
      </c>
      <c r="CH14" s="0" t="n">
        <v>83</v>
      </c>
      <c r="CI14" s="0" t="n">
        <v>84</v>
      </c>
      <c r="CJ14" s="0" t="n">
        <v>85</v>
      </c>
      <c r="CK14" s="0" t="n">
        <v>86</v>
      </c>
      <c r="CL14" s="0" t="n">
        <v>87</v>
      </c>
      <c r="CM14" s="0" t="n">
        <v>88</v>
      </c>
      <c r="CN14" s="0" t="n">
        <v>89</v>
      </c>
      <c r="CO14" s="0" t="n">
        <v>90</v>
      </c>
      <c r="CP14" s="0" t="n">
        <v>91</v>
      </c>
      <c r="CQ14" s="0" t="n">
        <v>92</v>
      </c>
      <c r="CR14" s="0" t="n">
        <v>93</v>
      </c>
      <c r="CS14" s="0" t="n">
        <v>94</v>
      </c>
      <c r="CT14" s="0" t="n">
        <v>95</v>
      </c>
      <c r="CU14" s="0" t="n">
        <v>96</v>
      </c>
      <c r="CV14" s="0" t="n">
        <v>97</v>
      </c>
      <c r="CW14" s="0" t="n">
        <v>98</v>
      </c>
      <c r="CX14" s="0" t="n">
        <v>99</v>
      </c>
      <c r="CY14" s="0" t="n">
        <v>100</v>
      </c>
      <c r="CZ14" s="0" t="n">
        <v>101</v>
      </c>
      <c r="DA14" s="0" t="n">
        <v>102</v>
      </c>
      <c r="DB14" s="0" t="n">
        <v>103</v>
      </c>
      <c r="DC14" s="0" t="n">
        <v>104</v>
      </c>
      <c r="DD14" s="0" t="n">
        <v>105</v>
      </c>
      <c r="DE14" s="0" t="n">
        <v>106</v>
      </c>
      <c r="DF14" s="0" t="n">
        <v>107</v>
      </c>
      <c r="DG14" s="0" t="n">
        <v>108</v>
      </c>
      <c r="DH14" s="0" t="n">
        <v>109</v>
      </c>
      <c r="DI14" s="0" t="n">
        <v>110</v>
      </c>
      <c r="DJ14" s="0" t="n">
        <v>111</v>
      </c>
      <c r="DK14" s="0" t="n">
        <v>112</v>
      </c>
      <c r="DL14" s="0" t="n">
        <v>113</v>
      </c>
      <c r="DM14" s="0" t="n">
        <v>114</v>
      </c>
      <c r="DN14" s="0" t="n">
        <v>115</v>
      </c>
      <c r="DO14" s="0" t="n">
        <v>116</v>
      </c>
      <c r="DP14" s="0" t="n">
        <v>117</v>
      </c>
      <c r="DQ14" s="0" t="n">
        <v>118</v>
      </c>
      <c r="DR14" s="0" t="n">
        <v>119</v>
      </c>
      <c r="DS14" s="0" t="n">
        <v>120</v>
      </c>
      <c r="DT14" s="0" t="n">
        <v>121</v>
      </c>
      <c r="DU14" s="0" t="n">
        <v>122</v>
      </c>
      <c r="DV14" s="0" t="n">
        <v>123</v>
      </c>
      <c r="DW14" s="0" t="n">
        <v>124</v>
      </c>
      <c r="DX14" s="0" t="n">
        <v>125</v>
      </c>
      <c r="DY14" s="0" t="n">
        <v>126</v>
      </c>
      <c r="DZ14" s="0" t="n">
        <v>127</v>
      </c>
      <c r="EA14" s="0" t="n">
        <v>128</v>
      </c>
      <c r="EB14" s="0" t="n">
        <v>129</v>
      </c>
      <c r="EC14" s="0" t="n">
        <v>130</v>
      </c>
      <c r="ED14" s="0" t="n">
        <v>131</v>
      </c>
      <c r="EE14" s="0" t="n">
        <v>132</v>
      </c>
      <c r="EF14" s="0" t="n">
        <v>133</v>
      </c>
      <c r="EG14" s="0" t="n">
        <v>134</v>
      </c>
      <c r="EH14" s="0" t="n">
        <v>135</v>
      </c>
      <c r="EI14" s="0" t="n">
        <v>136</v>
      </c>
      <c r="EJ14" s="0" t="n">
        <v>137</v>
      </c>
      <c r="EK14" s="0" t="n">
        <v>138</v>
      </c>
      <c r="EL14" s="0" t="n">
        <v>139</v>
      </c>
      <c r="EM14" s="0" t="n">
        <v>140</v>
      </c>
      <c r="EN14" s="0" t="n">
        <v>141</v>
      </c>
      <c r="EO14" s="0" t="n">
        <v>142</v>
      </c>
      <c r="EP14" s="0" t="n">
        <v>143</v>
      </c>
      <c r="EQ14" s="0" t="n">
        <v>144</v>
      </c>
      <c r="ER14" s="0" t="n">
        <v>145</v>
      </c>
      <c r="ES14" s="0" t="n">
        <v>146</v>
      </c>
      <c r="ET14" s="0" t="n">
        <v>147</v>
      </c>
      <c r="EU14" s="0" t="n">
        <v>148</v>
      </c>
      <c r="EV14" s="0" t="n">
        <v>149</v>
      </c>
      <c r="EW14" s="0" t="n">
        <v>150</v>
      </c>
      <c r="EX14" s="0" t="n">
        <v>151</v>
      </c>
      <c r="EY14" s="0" t="n">
        <v>152</v>
      </c>
      <c r="EZ14" s="0" t="n">
        <v>153</v>
      </c>
      <c r="FA14" s="0" t="n">
        <v>154</v>
      </c>
      <c r="FB14" s="0" t="n">
        <v>155</v>
      </c>
      <c r="FC14" s="0" t="n">
        <v>156</v>
      </c>
      <c r="FD14" s="0" t="n">
        <v>157</v>
      </c>
      <c r="FE14" s="0" t="n">
        <v>158</v>
      </c>
      <c r="FF14" s="0" t="n">
        <v>159</v>
      </c>
      <c r="FG14" s="0" t="n">
        <v>160</v>
      </c>
      <c r="FH14" s="0" t="n">
        <v>161</v>
      </c>
      <c r="FI14" s="0" t="n">
        <v>162</v>
      </c>
      <c r="FJ14" s="0" t="n">
        <v>163</v>
      </c>
      <c r="FK14" s="0" t="n">
        <v>164</v>
      </c>
      <c r="FL14" s="0" t="n">
        <v>165</v>
      </c>
      <c r="FM14" s="0" t="n">
        <v>166</v>
      </c>
      <c r="FN14" s="0" t="n">
        <v>167</v>
      </c>
      <c r="FO14" s="0" t="n">
        <v>168</v>
      </c>
      <c r="FP14" s="0" t="n">
        <v>169</v>
      </c>
      <c r="FQ14" s="0" t="n">
        <v>170</v>
      </c>
      <c r="FR14" s="0" t="n">
        <v>171</v>
      </c>
      <c r="FS14" s="0" t="n">
        <v>172</v>
      </c>
      <c r="FT14" s="0" t="n">
        <v>173</v>
      </c>
      <c r="FU14" s="0" t="n">
        <v>174</v>
      </c>
      <c r="FV14" s="0" t="n">
        <v>175</v>
      </c>
      <c r="FW14" s="0" t="n">
        <v>176</v>
      </c>
      <c r="FX14" s="0" t="n">
        <v>177</v>
      </c>
      <c r="FY14" s="0" t="n">
        <v>178</v>
      </c>
      <c r="FZ14" s="0" t="n">
        <v>179</v>
      </c>
      <c r="GA14" s="0" t="n">
        <v>180</v>
      </c>
      <c r="GB14" s="0" t="n">
        <v>181</v>
      </c>
      <c r="GC14" s="0" t="n">
        <v>182</v>
      </c>
      <c r="GD14" s="0" t="n">
        <v>183</v>
      </c>
      <c r="GE14" s="0" t="n">
        <v>184</v>
      </c>
      <c r="GF14" s="0" t="n">
        <v>185</v>
      </c>
      <c r="GG14" s="0" t="n">
        <v>186</v>
      </c>
      <c r="GH14" s="0" t="n">
        <v>187</v>
      </c>
      <c r="GI14" s="0" t="n">
        <v>188</v>
      </c>
      <c r="GJ14" s="0" t="n">
        <v>189</v>
      </c>
      <c r="GK14" s="0" t="n">
        <v>190</v>
      </c>
      <c r="GL14" s="0" t="n">
        <v>191</v>
      </c>
      <c r="GM14" s="0" t="n">
        <v>192</v>
      </c>
      <c r="GN14" s="0" t="n">
        <v>193</v>
      </c>
      <c r="GO14" s="0" t="n">
        <v>194</v>
      </c>
      <c r="GP14" s="0" t="n">
        <v>195</v>
      </c>
      <c r="GQ14" s="0" t="n">
        <v>196</v>
      </c>
      <c r="GR14" s="0" t="n">
        <v>197</v>
      </c>
      <c r="GS14" s="0" t="n">
        <v>198</v>
      </c>
      <c r="GT14" s="0" t="n">
        <v>199</v>
      </c>
      <c r="GU14" s="0" t="n">
        <v>200</v>
      </c>
      <c r="GV14" s="0" t="n">
        <v>201</v>
      </c>
      <c r="GW14" s="0" t="n">
        <v>202</v>
      </c>
      <c r="GX14" s="0" t="n">
        <v>203</v>
      </c>
      <c r="GY14" s="0" t="n">
        <v>204</v>
      </c>
      <c r="GZ14" s="0" t="n">
        <v>205</v>
      </c>
      <c r="HA14" s="0" t="n">
        <v>206</v>
      </c>
      <c r="HB14" s="0" t="n">
        <v>207</v>
      </c>
      <c r="HC14" s="0" t="n">
        <v>208</v>
      </c>
      <c r="HD14" s="0" t="n">
        <v>209</v>
      </c>
      <c r="HE14" s="0" t="n">
        <v>210</v>
      </c>
      <c r="HF14" s="0" t="n">
        <v>211</v>
      </c>
      <c r="HG14" s="0" t="n">
        <v>212</v>
      </c>
      <c r="HH14" s="0" t="n">
        <v>213</v>
      </c>
      <c r="HI14" s="0" t="n">
        <v>214</v>
      </c>
      <c r="HJ14" s="0" t="n">
        <v>215</v>
      </c>
      <c r="HK14" s="0" t="n">
        <v>216</v>
      </c>
      <c r="HL14" s="0" t="n">
        <v>217</v>
      </c>
      <c r="HM14" s="0" t="n">
        <v>218</v>
      </c>
      <c r="HN14" s="0" t="n">
        <v>219</v>
      </c>
      <c r="HO14" s="0" t="n">
        <v>220</v>
      </c>
      <c r="HP14" s="0" t="n">
        <v>221</v>
      </c>
      <c r="HQ14" s="0" t="n">
        <v>222</v>
      </c>
      <c r="HR14" s="0" t="n">
        <v>223</v>
      </c>
      <c r="HS14" s="0" t="n">
        <v>224</v>
      </c>
      <c r="HT14" s="0" t="n">
        <v>225</v>
      </c>
      <c r="HU14" s="0" t="n">
        <v>226</v>
      </c>
      <c r="HV14" s="0" t="n">
        <v>227</v>
      </c>
      <c r="HW14" s="0" t="n">
        <v>228</v>
      </c>
      <c r="HX14" s="0" t="n">
        <v>229</v>
      </c>
      <c r="HY14" s="0" t="n">
        <v>230</v>
      </c>
      <c r="HZ14" s="0" t="n">
        <v>231</v>
      </c>
      <c r="IA14" s="0" t="n">
        <v>232</v>
      </c>
      <c r="IB14" s="0" t="n">
        <v>233</v>
      </c>
      <c r="IC14" s="0" t="n">
        <v>234</v>
      </c>
      <c r="ID14" s="0" t="n">
        <v>235</v>
      </c>
      <c r="IE14" s="0" t="n">
        <v>236</v>
      </c>
      <c r="IF14" s="0" t="n">
        <v>237</v>
      </c>
      <c r="IG14" s="0" t="n">
        <v>238</v>
      </c>
      <c r="IH14" s="0" t="n">
        <v>239</v>
      </c>
      <c r="II14" s="0" t="n">
        <v>240</v>
      </c>
    </row>
    <row r="15" customFormat="false" ht="15" hidden="false" customHeight="false" outlineLevel="0" collapsed="false">
      <c r="B15" s="0" t="s">
        <v>88</v>
      </c>
      <c r="D15" s="5" t="n">
        <f aca="false">'Investment Returns'!D39</f>
        <v>46053</v>
      </c>
      <c r="E15" s="5" t="n">
        <f aca="false">'Investment Returns'!E39</f>
        <v>46081</v>
      </c>
      <c r="F15" s="5" t="n">
        <f aca="false">'Investment Returns'!F39</f>
        <v>46112</v>
      </c>
      <c r="G15" s="5" t="n">
        <f aca="false">'Investment Returns'!G39</f>
        <v>46142</v>
      </c>
      <c r="H15" s="5" t="n">
        <f aca="false">'Investment Returns'!H39</f>
        <v>46173</v>
      </c>
      <c r="I15" s="5" t="n">
        <f aca="false">'Investment Returns'!I39</f>
        <v>46203</v>
      </c>
      <c r="J15" s="5" t="n">
        <f aca="false">'Investment Returns'!J39</f>
        <v>46234</v>
      </c>
      <c r="K15" s="5" t="n">
        <f aca="false">'Investment Returns'!K39</f>
        <v>46265</v>
      </c>
      <c r="L15" s="5" t="n">
        <f aca="false">'Investment Returns'!L39</f>
        <v>46295</v>
      </c>
      <c r="M15" s="5" t="n">
        <f aca="false">'Investment Returns'!M39</f>
        <v>46326</v>
      </c>
      <c r="N15" s="5" t="n">
        <f aca="false">'Investment Returns'!N39</f>
        <v>46356</v>
      </c>
      <c r="O15" s="5" t="n">
        <f aca="false">'Investment Returns'!O39</f>
        <v>46387</v>
      </c>
      <c r="P15" s="5" t="n">
        <f aca="false">'Investment Returns'!P39</f>
        <v>46418</v>
      </c>
      <c r="Q15" s="5" t="n">
        <f aca="false">'Investment Returns'!Q39</f>
        <v>46446</v>
      </c>
      <c r="R15" s="5" t="n">
        <f aca="false">'Investment Returns'!R39</f>
        <v>46477</v>
      </c>
      <c r="S15" s="5" t="n">
        <f aca="false">'Investment Returns'!S39</f>
        <v>46507</v>
      </c>
      <c r="T15" s="5" t="n">
        <f aca="false">'Investment Returns'!T39</f>
        <v>46538</v>
      </c>
      <c r="U15" s="5" t="n">
        <f aca="false">'Investment Returns'!U39</f>
        <v>46568</v>
      </c>
      <c r="V15" s="5" t="n">
        <f aca="false">'Investment Returns'!V39</f>
        <v>46599</v>
      </c>
      <c r="W15" s="5" t="n">
        <f aca="false">'Investment Returns'!W39</f>
        <v>46630</v>
      </c>
      <c r="X15" s="5" t="n">
        <f aca="false">'Investment Returns'!X39</f>
        <v>46660</v>
      </c>
      <c r="Y15" s="5" t="n">
        <f aca="false">'Investment Returns'!Y39</f>
        <v>46691</v>
      </c>
      <c r="Z15" s="5" t="n">
        <f aca="false">'Investment Returns'!Z39</f>
        <v>46721</v>
      </c>
      <c r="AA15" s="5" t="n">
        <f aca="false">'Investment Returns'!AA39</f>
        <v>46752</v>
      </c>
      <c r="AB15" s="5" t="n">
        <f aca="false">'Investment Returns'!AB39</f>
        <v>46783</v>
      </c>
      <c r="AC15" s="5" t="n">
        <f aca="false">'Investment Returns'!AC39</f>
        <v>46812</v>
      </c>
      <c r="AD15" s="5" t="n">
        <f aca="false">'Investment Returns'!AD39</f>
        <v>46843</v>
      </c>
      <c r="AE15" s="5" t="n">
        <f aca="false">'Investment Returns'!AE39</f>
        <v>46873</v>
      </c>
      <c r="AF15" s="5" t="n">
        <f aca="false">'Investment Returns'!AF39</f>
        <v>46904</v>
      </c>
      <c r="AG15" s="5" t="n">
        <f aca="false">'Investment Returns'!AG39</f>
        <v>46934</v>
      </c>
      <c r="AH15" s="5" t="n">
        <f aca="false">'Investment Returns'!AH39</f>
        <v>46965</v>
      </c>
      <c r="AI15" s="5" t="n">
        <f aca="false">'Investment Returns'!AI39</f>
        <v>46996</v>
      </c>
      <c r="AJ15" s="5" t="n">
        <f aca="false">'Investment Returns'!AJ39</f>
        <v>47026</v>
      </c>
      <c r="AK15" s="5" t="n">
        <f aca="false">'Investment Returns'!AK39</f>
        <v>47057</v>
      </c>
      <c r="AL15" s="5" t="n">
        <f aca="false">'Investment Returns'!AL39</f>
        <v>47087</v>
      </c>
      <c r="AM15" s="5" t="n">
        <f aca="false">'Investment Returns'!AM39</f>
        <v>47118</v>
      </c>
      <c r="AN15" s="5" t="n">
        <f aca="false">'Investment Returns'!AN39</f>
        <v>47149</v>
      </c>
      <c r="AO15" s="5" t="n">
        <f aca="false">'Investment Returns'!AO39</f>
        <v>47177</v>
      </c>
      <c r="AP15" s="5" t="n">
        <f aca="false">'Investment Returns'!AP39</f>
        <v>47208</v>
      </c>
      <c r="AQ15" s="5" t="n">
        <f aca="false">'Investment Returns'!AQ39</f>
        <v>47238</v>
      </c>
      <c r="AR15" s="5" t="n">
        <f aca="false">'Investment Returns'!AR39</f>
        <v>47269</v>
      </c>
      <c r="AS15" s="5" t="n">
        <f aca="false">'Investment Returns'!AS39</f>
        <v>47299</v>
      </c>
      <c r="AT15" s="5" t="n">
        <f aca="false">'Investment Returns'!AT39</f>
        <v>47330</v>
      </c>
      <c r="AU15" s="5" t="n">
        <f aca="false">'Investment Returns'!AU39</f>
        <v>47361</v>
      </c>
      <c r="AV15" s="5" t="n">
        <f aca="false">'Investment Returns'!AV39</f>
        <v>47391</v>
      </c>
      <c r="AW15" s="5" t="n">
        <f aca="false">'Investment Returns'!AW39</f>
        <v>47422</v>
      </c>
      <c r="AX15" s="5" t="n">
        <f aca="false">'Investment Returns'!AX39</f>
        <v>47452</v>
      </c>
      <c r="AY15" s="5" t="n">
        <f aca="false">'Investment Returns'!AY39</f>
        <v>47483</v>
      </c>
      <c r="AZ15" s="5" t="n">
        <f aca="false">'Investment Returns'!AZ39</f>
        <v>47514</v>
      </c>
      <c r="BA15" s="5" t="n">
        <f aca="false">'Investment Returns'!BA39</f>
        <v>47542</v>
      </c>
      <c r="BB15" s="5" t="n">
        <f aca="false">'Investment Returns'!BB39</f>
        <v>47573</v>
      </c>
      <c r="BC15" s="5" t="n">
        <f aca="false">'Investment Returns'!BC39</f>
        <v>47603</v>
      </c>
      <c r="BD15" s="5" t="n">
        <f aca="false">'Investment Returns'!BD39</f>
        <v>47634</v>
      </c>
      <c r="BE15" s="5" t="n">
        <f aca="false">'Investment Returns'!BE39</f>
        <v>47664</v>
      </c>
      <c r="BF15" s="5" t="n">
        <f aca="false">'Investment Returns'!BF39</f>
        <v>47695</v>
      </c>
      <c r="BG15" s="5" t="n">
        <f aca="false">'Investment Returns'!BG39</f>
        <v>47726</v>
      </c>
      <c r="BH15" s="5" t="n">
        <f aca="false">'Investment Returns'!BH39</f>
        <v>47756</v>
      </c>
      <c r="BI15" s="5" t="n">
        <f aca="false">'Investment Returns'!BI39</f>
        <v>47787</v>
      </c>
      <c r="BJ15" s="5" t="n">
        <f aca="false">'Investment Returns'!BJ39</f>
        <v>47817</v>
      </c>
      <c r="BK15" s="5" t="n">
        <f aca="false">'Investment Returns'!BK39</f>
        <v>47848</v>
      </c>
      <c r="BL15" s="5" t="n">
        <f aca="false">'Investment Returns'!BL39</f>
        <v>47879</v>
      </c>
      <c r="BM15" s="5" t="n">
        <f aca="false">'Investment Returns'!BM39</f>
        <v>47907</v>
      </c>
      <c r="BN15" s="5" t="n">
        <f aca="false">'Investment Returns'!BN39</f>
        <v>47938</v>
      </c>
      <c r="BO15" s="5" t="n">
        <f aca="false">'Investment Returns'!BO39</f>
        <v>47968</v>
      </c>
      <c r="BP15" s="5" t="n">
        <f aca="false">'Investment Returns'!BP39</f>
        <v>47999</v>
      </c>
      <c r="BQ15" s="5" t="n">
        <f aca="false">'Investment Returns'!BQ39</f>
        <v>48029</v>
      </c>
      <c r="BR15" s="5" t="n">
        <f aca="false">'Investment Returns'!BR39</f>
        <v>48060</v>
      </c>
      <c r="BS15" s="5" t="n">
        <f aca="false">'Investment Returns'!BS39</f>
        <v>48091</v>
      </c>
      <c r="BT15" s="5" t="n">
        <f aca="false">'Investment Returns'!BT39</f>
        <v>48121</v>
      </c>
      <c r="BU15" s="5" t="n">
        <f aca="false">'Investment Returns'!BU39</f>
        <v>48152</v>
      </c>
      <c r="BV15" s="5" t="n">
        <f aca="false">'Investment Returns'!BV39</f>
        <v>48182</v>
      </c>
      <c r="BW15" s="5" t="n">
        <f aca="false">'Investment Returns'!BW39</f>
        <v>48213</v>
      </c>
      <c r="BX15" s="5" t="n">
        <f aca="false">'Investment Returns'!BX39</f>
        <v>48244</v>
      </c>
      <c r="BY15" s="5" t="n">
        <f aca="false">'Investment Returns'!BY39</f>
        <v>48273</v>
      </c>
      <c r="BZ15" s="5" t="n">
        <f aca="false">'Investment Returns'!BZ39</f>
        <v>48304</v>
      </c>
      <c r="CA15" s="5" t="n">
        <f aca="false">'Investment Returns'!CA39</f>
        <v>48334</v>
      </c>
      <c r="CB15" s="5" t="n">
        <f aca="false">'Investment Returns'!CB39</f>
        <v>48365</v>
      </c>
      <c r="CC15" s="5" t="n">
        <f aca="false">'Investment Returns'!CC39</f>
        <v>48395</v>
      </c>
      <c r="CD15" s="5" t="n">
        <f aca="false">'Investment Returns'!CD39</f>
        <v>48426</v>
      </c>
      <c r="CE15" s="5" t="n">
        <f aca="false">'Investment Returns'!CE39</f>
        <v>48457</v>
      </c>
      <c r="CF15" s="5" t="n">
        <f aca="false">'Investment Returns'!CF39</f>
        <v>48487</v>
      </c>
      <c r="CG15" s="5" t="n">
        <f aca="false">'Investment Returns'!CG39</f>
        <v>48518</v>
      </c>
      <c r="CH15" s="5" t="n">
        <f aca="false">'Investment Returns'!CH39</f>
        <v>48548</v>
      </c>
      <c r="CI15" s="5" t="n">
        <f aca="false">'Investment Returns'!CI39</f>
        <v>48579</v>
      </c>
      <c r="CJ15" s="5" t="n">
        <f aca="false">'Investment Returns'!CJ39</f>
        <v>48610</v>
      </c>
      <c r="CK15" s="5" t="n">
        <f aca="false">'Investment Returns'!CK39</f>
        <v>48638</v>
      </c>
      <c r="CL15" s="5" t="n">
        <f aca="false">'Investment Returns'!CL39</f>
        <v>48669</v>
      </c>
      <c r="CM15" s="5" t="n">
        <f aca="false">'Investment Returns'!CM39</f>
        <v>48699</v>
      </c>
      <c r="CN15" s="5" t="n">
        <f aca="false">'Investment Returns'!CN39</f>
        <v>48730</v>
      </c>
      <c r="CO15" s="5" t="n">
        <f aca="false">'Investment Returns'!CO39</f>
        <v>48760</v>
      </c>
      <c r="CP15" s="5" t="n">
        <f aca="false">'Investment Returns'!CP39</f>
        <v>48791</v>
      </c>
      <c r="CQ15" s="5" t="n">
        <f aca="false">'Investment Returns'!CQ39</f>
        <v>48822</v>
      </c>
      <c r="CR15" s="5" t="n">
        <f aca="false">'Investment Returns'!CR39</f>
        <v>48852</v>
      </c>
      <c r="CS15" s="5" t="n">
        <f aca="false">'Investment Returns'!CS39</f>
        <v>48883</v>
      </c>
      <c r="CT15" s="5" t="n">
        <f aca="false">'Investment Returns'!CT39</f>
        <v>48913</v>
      </c>
      <c r="CU15" s="5" t="n">
        <f aca="false">'Investment Returns'!CU39</f>
        <v>48944</v>
      </c>
      <c r="CV15" s="5" t="n">
        <f aca="false">'Investment Returns'!CV39</f>
        <v>48975</v>
      </c>
      <c r="CW15" s="5" t="n">
        <f aca="false">'Investment Returns'!CW39</f>
        <v>49003</v>
      </c>
      <c r="CX15" s="5" t="n">
        <f aca="false">'Investment Returns'!CX39</f>
        <v>49034</v>
      </c>
      <c r="CY15" s="5" t="n">
        <f aca="false">'Investment Returns'!CY39</f>
        <v>49064</v>
      </c>
      <c r="CZ15" s="5" t="n">
        <f aca="false">'Investment Returns'!CZ39</f>
        <v>49095</v>
      </c>
      <c r="DA15" s="5" t="n">
        <f aca="false">'Investment Returns'!DA39</f>
        <v>49125</v>
      </c>
      <c r="DB15" s="5" t="n">
        <f aca="false">'Investment Returns'!DB39</f>
        <v>49156</v>
      </c>
      <c r="DC15" s="5" t="n">
        <f aca="false">'Investment Returns'!DC39</f>
        <v>49187</v>
      </c>
      <c r="DD15" s="5" t="n">
        <f aca="false">'Investment Returns'!DD39</f>
        <v>49217</v>
      </c>
      <c r="DE15" s="5" t="n">
        <f aca="false">'Investment Returns'!DE39</f>
        <v>49248</v>
      </c>
      <c r="DF15" s="5" t="n">
        <f aca="false">'Investment Returns'!DF39</f>
        <v>49278</v>
      </c>
      <c r="DG15" s="5" t="n">
        <f aca="false">'Investment Returns'!DG39</f>
        <v>49309</v>
      </c>
      <c r="DH15" s="5" t="n">
        <f aca="false">'Investment Returns'!DH39</f>
        <v>49340</v>
      </c>
      <c r="DI15" s="5" t="n">
        <f aca="false">'Investment Returns'!DI39</f>
        <v>49368</v>
      </c>
      <c r="DJ15" s="5" t="n">
        <f aca="false">'Investment Returns'!DJ39</f>
        <v>49399</v>
      </c>
      <c r="DK15" s="5" t="n">
        <f aca="false">'Investment Returns'!DK39</f>
        <v>49429</v>
      </c>
      <c r="DL15" s="5" t="n">
        <f aca="false">'Investment Returns'!DL39</f>
        <v>49460</v>
      </c>
      <c r="DM15" s="5" t="n">
        <f aca="false">'Investment Returns'!DM39</f>
        <v>49490</v>
      </c>
      <c r="DN15" s="5" t="n">
        <f aca="false">'Investment Returns'!DN39</f>
        <v>49521</v>
      </c>
      <c r="DO15" s="5" t="n">
        <f aca="false">'Investment Returns'!DO39</f>
        <v>49552</v>
      </c>
      <c r="DP15" s="5" t="n">
        <f aca="false">'Investment Returns'!DP39</f>
        <v>49582</v>
      </c>
      <c r="DQ15" s="5" t="n">
        <f aca="false">'Investment Returns'!DQ39</f>
        <v>49613</v>
      </c>
      <c r="DR15" s="5" t="n">
        <f aca="false">'Investment Returns'!DR39</f>
        <v>49643</v>
      </c>
      <c r="DS15" s="5" t="n">
        <f aca="false">'Investment Returns'!DS39</f>
        <v>49674</v>
      </c>
      <c r="DT15" s="5" t="n">
        <f aca="false">'Investment Returns'!DT39</f>
        <v>49705</v>
      </c>
      <c r="DU15" s="5" t="n">
        <f aca="false">'Investment Returns'!DU39</f>
        <v>49734</v>
      </c>
      <c r="DV15" s="5" t="n">
        <f aca="false">'Investment Returns'!DV39</f>
        <v>49765</v>
      </c>
      <c r="DW15" s="5" t="n">
        <f aca="false">'Investment Returns'!DW39</f>
        <v>49795</v>
      </c>
      <c r="DX15" s="5" t="n">
        <f aca="false">'Investment Returns'!DX39</f>
        <v>49826</v>
      </c>
      <c r="DY15" s="5" t="n">
        <f aca="false">'Investment Returns'!DY39</f>
        <v>49856</v>
      </c>
      <c r="DZ15" s="5" t="n">
        <f aca="false">'Investment Returns'!DZ39</f>
        <v>49887</v>
      </c>
      <c r="EA15" s="5" t="n">
        <f aca="false">'Investment Returns'!EA39</f>
        <v>49918</v>
      </c>
      <c r="EB15" s="5" t="n">
        <f aca="false">'Investment Returns'!EB39</f>
        <v>49948</v>
      </c>
      <c r="EC15" s="5" t="n">
        <f aca="false">'Investment Returns'!EC39</f>
        <v>49979</v>
      </c>
      <c r="ED15" s="5" t="n">
        <f aca="false">'Investment Returns'!ED39</f>
        <v>50009</v>
      </c>
      <c r="EE15" s="5" t="n">
        <f aca="false">'Investment Returns'!EE39</f>
        <v>50040</v>
      </c>
      <c r="EF15" s="5" t="n">
        <f aca="false">'Investment Returns'!EF39</f>
        <v>50071</v>
      </c>
      <c r="EG15" s="5" t="n">
        <f aca="false">'Investment Returns'!EG39</f>
        <v>50099</v>
      </c>
      <c r="EH15" s="5" t="n">
        <f aca="false">'Investment Returns'!EH39</f>
        <v>50130</v>
      </c>
      <c r="EI15" s="5" t="n">
        <f aca="false">'Investment Returns'!EI39</f>
        <v>50160</v>
      </c>
      <c r="EJ15" s="5" t="n">
        <f aca="false">'Investment Returns'!EJ39</f>
        <v>50191</v>
      </c>
      <c r="EK15" s="5" t="n">
        <f aca="false">'Investment Returns'!EK39</f>
        <v>50221</v>
      </c>
      <c r="EL15" s="5" t="n">
        <f aca="false">'Investment Returns'!EL39</f>
        <v>50252</v>
      </c>
      <c r="EM15" s="5" t="n">
        <f aca="false">'Investment Returns'!EM39</f>
        <v>50283</v>
      </c>
      <c r="EN15" s="5" t="n">
        <f aca="false">'Investment Returns'!EN39</f>
        <v>50313</v>
      </c>
      <c r="EO15" s="5" t="n">
        <f aca="false">'Investment Returns'!EO39</f>
        <v>50344</v>
      </c>
      <c r="EP15" s="5" t="n">
        <f aca="false">'Investment Returns'!EP39</f>
        <v>50374</v>
      </c>
      <c r="EQ15" s="5" t="n">
        <f aca="false">'Investment Returns'!EQ39</f>
        <v>50405</v>
      </c>
      <c r="ER15" s="5" t="n">
        <f aca="false">'Investment Returns'!ER39</f>
        <v>50436</v>
      </c>
      <c r="ES15" s="5" t="n">
        <f aca="false">'Investment Returns'!ES39</f>
        <v>50464</v>
      </c>
      <c r="ET15" s="5" t="n">
        <f aca="false">'Investment Returns'!ET39</f>
        <v>50495</v>
      </c>
      <c r="EU15" s="5" t="n">
        <f aca="false">'Investment Returns'!EU39</f>
        <v>50525</v>
      </c>
      <c r="EV15" s="5" t="n">
        <f aca="false">'Investment Returns'!EV39</f>
        <v>50556</v>
      </c>
      <c r="EW15" s="5" t="n">
        <f aca="false">'Investment Returns'!EW39</f>
        <v>50586</v>
      </c>
      <c r="EX15" s="5" t="n">
        <f aca="false">'Investment Returns'!EX39</f>
        <v>50617</v>
      </c>
      <c r="EY15" s="5" t="n">
        <f aca="false">'Investment Returns'!EY39</f>
        <v>50648</v>
      </c>
      <c r="EZ15" s="5" t="n">
        <f aca="false">'Investment Returns'!EZ39</f>
        <v>50678</v>
      </c>
      <c r="FA15" s="5" t="n">
        <f aca="false">'Investment Returns'!FA39</f>
        <v>50709</v>
      </c>
      <c r="FB15" s="5" t="n">
        <f aca="false">'Investment Returns'!FB39</f>
        <v>50739</v>
      </c>
      <c r="FC15" s="5" t="n">
        <f aca="false">'Investment Returns'!FC39</f>
        <v>50770</v>
      </c>
      <c r="FD15" s="0" t="str">
        <f aca="false">'Investment Returns'!FD39</f>
        <v/>
      </c>
      <c r="FE15" s="0" t="e">
        <f aca="false">'Investment Returns'!FE39</f>
        <v>#VALUE!</v>
      </c>
      <c r="FF15" s="0" t="e">
        <f aca="false">'Investment Returns'!FF39</f>
        <v>#VALUE!</v>
      </c>
      <c r="FG15" s="0" t="e">
        <f aca="false">'Investment Returns'!FG39</f>
        <v>#VALUE!</v>
      </c>
      <c r="FH15" s="0" t="e">
        <f aca="false">'Investment Returns'!FH39</f>
        <v>#VALUE!</v>
      </c>
      <c r="FI15" s="0" t="e">
        <f aca="false">'Investment Returns'!FI39</f>
        <v>#VALUE!</v>
      </c>
      <c r="FJ15" s="0" t="e">
        <f aca="false">'Investment Returns'!FJ39</f>
        <v>#VALUE!</v>
      </c>
      <c r="FK15" s="0" t="e">
        <f aca="false">'Investment Returns'!FK39</f>
        <v>#VALUE!</v>
      </c>
      <c r="FL15" s="0" t="e">
        <f aca="false">'Investment Returns'!FL39</f>
        <v>#VALUE!</v>
      </c>
      <c r="FM15" s="0" t="e">
        <f aca="false">'Investment Returns'!FM39</f>
        <v>#VALUE!</v>
      </c>
      <c r="FN15" s="0" t="e">
        <f aca="false">'Investment Returns'!FN39</f>
        <v>#VALUE!</v>
      </c>
      <c r="FO15" s="0" t="e">
        <f aca="false">'Investment Returns'!FO39</f>
        <v>#VALUE!</v>
      </c>
      <c r="FP15" s="0" t="e">
        <f aca="false">'Investment Returns'!FP39</f>
        <v>#VALUE!</v>
      </c>
      <c r="FQ15" s="0" t="e">
        <f aca="false">'Investment Returns'!FQ39</f>
        <v>#VALUE!</v>
      </c>
      <c r="FR15" s="0" t="e">
        <f aca="false">'Investment Returns'!FR39</f>
        <v>#VALUE!</v>
      </c>
      <c r="FS15" s="0" t="e">
        <f aca="false">'Investment Returns'!FS39</f>
        <v>#VALUE!</v>
      </c>
      <c r="FT15" s="0" t="e">
        <f aca="false">'Investment Returns'!FT39</f>
        <v>#VALUE!</v>
      </c>
      <c r="FU15" s="0" t="e">
        <f aca="false">'Investment Returns'!FU39</f>
        <v>#VALUE!</v>
      </c>
      <c r="FV15" s="0" t="e">
        <f aca="false">'Investment Returns'!FV39</f>
        <v>#VALUE!</v>
      </c>
      <c r="FW15" s="0" t="e">
        <f aca="false">'Investment Returns'!FW39</f>
        <v>#VALUE!</v>
      </c>
      <c r="FX15" s="0" t="e">
        <f aca="false">'Investment Returns'!FX39</f>
        <v>#VALUE!</v>
      </c>
      <c r="FY15" s="0" t="e">
        <f aca="false">'Investment Returns'!FY39</f>
        <v>#VALUE!</v>
      </c>
      <c r="FZ15" s="0" t="e">
        <f aca="false">'Investment Returns'!FZ39</f>
        <v>#VALUE!</v>
      </c>
      <c r="GA15" s="0" t="e">
        <f aca="false">'Investment Returns'!GA39</f>
        <v>#VALUE!</v>
      </c>
      <c r="GB15" s="0" t="e">
        <f aca="false">'Investment Returns'!GB39</f>
        <v>#VALUE!</v>
      </c>
      <c r="GC15" s="0" t="e">
        <f aca="false">'Investment Returns'!GC39</f>
        <v>#VALUE!</v>
      </c>
      <c r="GD15" s="0" t="e">
        <f aca="false">'Investment Returns'!GD39</f>
        <v>#VALUE!</v>
      </c>
      <c r="GE15" s="0" t="e">
        <f aca="false">'Investment Returns'!GE39</f>
        <v>#VALUE!</v>
      </c>
      <c r="GF15" s="0" t="e">
        <f aca="false">'Investment Returns'!GF39</f>
        <v>#VALUE!</v>
      </c>
      <c r="GG15" s="0" t="e">
        <f aca="false">'Investment Returns'!GG39</f>
        <v>#VALUE!</v>
      </c>
      <c r="GH15" s="0" t="e">
        <f aca="false">'Investment Returns'!GH39</f>
        <v>#VALUE!</v>
      </c>
      <c r="GI15" s="0" t="e">
        <f aca="false">'Investment Returns'!GI39</f>
        <v>#VALUE!</v>
      </c>
      <c r="GJ15" s="0" t="e">
        <f aca="false">'Investment Returns'!GJ39</f>
        <v>#VALUE!</v>
      </c>
      <c r="GK15" s="0" t="e">
        <f aca="false">'Investment Returns'!GK39</f>
        <v>#VALUE!</v>
      </c>
      <c r="GL15" s="0" t="e">
        <f aca="false">'Investment Returns'!GL39</f>
        <v>#VALUE!</v>
      </c>
      <c r="GM15" s="0" t="e">
        <f aca="false">'Investment Returns'!GM39</f>
        <v>#VALUE!</v>
      </c>
      <c r="GN15" s="0" t="e">
        <f aca="false">'Investment Returns'!GN39</f>
        <v>#VALUE!</v>
      </c>
      <c r="GO15" s="0" t="e">
        <f aca="false">'Investment Returns'!GO39</f>
        <v>#VALUE!</v>
      </c>
      <c r="GP15" s="0" t="e">
        <f aca="false">'Investment Returns'!GP39</f>
        <v>#VALUE!</v>
      </c>
      <c r="GQ15" s="0" t="e">
        <f aca="false">'Investment Returns'!GQ39</f>
        <v>#VALUE!</v>
      </c>
      <c r="GR15" s="0" t="e">
        <f aca="false">'Investment Returns'!GR39</f>
        <v>#VALUE!</v>
      </c>
      <c r="GS15" s="0" t="e">
        <f aca="false">'Investment Returns'!GS39</f>
        <v>#VALUE!</v>
      </c>
      <c r="GT15" s="0" t="e">
        <f aca="false">'Investment Returns'!GT39</f>
        <v>#VALUE!</v>
      </c>
      <c r="GU15" s="0" t="e">
        <f aca="false">'Investment Returns'!GU39</f>
        <v>#VALUE!</v>
      </c>
      <c r="GV15" s="0" t="e">
        <f aca="false">'Investment Returns'!GV39</f>
        <v>#VALUE!</v>
      </c>
      <c r="GW15" s="0" t="e">
        <f aca="false">'Investment Returns'!GW39</f>
        <v>#VALUE!</v>
      </c>
      <c r="GX15" s="0" t="e">
        <f aca="false">'Investment Returns'!GX39</f>
        <v>#VALUE!</v>
      </c>
      <c r="GY15" s="0" t="e">
        <f aca="false">'Investment Returns'!GY39</f>
        <v>#VALUE!</v>
      </c>
      <c r="GZ15" s="0" t="e">
        <f aca="false">'Investment Returns'!GZ39</f>
        <v>#VALUE!</v>
      </c>
      <c r="HA15" s="0" t="e">
        <f aca="false">'Investment Returns'!HA39</f>
        <v>#VALUE!</v>
      </c>
      <c r="HB15" s="0" t="e">
        <f aca="false">'Investment Returns'!HB39</f>
        <v>#VALUE!</v>
      </c>
      <c r="HC15" s="0" t="e">
        <f aca="false">'Investment Returns'!HC39</f>
        <v>#VALUE!</v>
      </c>
      <c r="HD15" s="0" t="e">
        <f aca="false">'Investment Returns'!HD39</f>
        <v>#VALUE!</v>
      </c>
      <c r="HE15" s="0" t="e">
        <f aca="false">'Investment Returns'!HE39</f>
        <v>#VALUE!</v>
      </c>
      <c r="HF15" s="0" t="e">
        <f aca="false">'Investment Returns'!HF39</f>
        <v>#VALUE!</v>
      </c>
      <c r="HG15" s="0" t="e">
        <f aca="false">'Investment Returns'!HG39</f>
        <v>#VALUE!</v>
      </c>
      <c r="HH15" s="0" t="e">
        <f aca="false">'Investment Returns'!HH39</f>
        <v>#VALUE!</v>
      </c>
      <c r="HI15" s="0" t="e">
        <f aca="false">'Investment Returns'!HI39</f>
        <v>#VALUE!</v>
      </c>
      <c r="HJ15" s="0" t="e">
        <f aca="false">'Investment Returns'!HJ39</f>
        <v>#VALUE!</v>
      </c>
      <c r="HK15" s="0" t="e">
        <f aca="false">'Investment Returns'!HK39</f>
        <v>#VALUE!</v>
      </c>
      <c r="HL15" s="0" t="e">
        <f aca="false">'Investment Returns'!HL39</f>
        <v>#VALUE!</v>
      </c>
      <c r="HM15" s="0" t="e">
        <f aca="false">'Investment Returns'!HM39</f>
        <v>#VALUE!</v>
      </c>
      <c r="HN15" s="0" t="e">
        <f aca="false">'Investment Returns'!HN39</f>
        <v>#VALUE!</v>
      </c>
      <c r="HO15" s="0" t="e">
        <f aca="false">'Investment Returns'!HO39</f>
        <v>#VALUE!</v>
      </c>
      <c r="HP15" s="0" t="e">
        <f aca="false">'Investment Returns'!HP39</f>
        <v>#VALUE!</v>
      </c>
      <c r="HQ15" s="0" t="e">
        <f aca="false">'Investment Returns'!HQ39</f>
        <v>#VALUE!</v>
      </c>
      <c r="HR15" s="0" t="e">
        <f aca="false">'Investment Returns'!HR39</f>
        <v>#VALUE!</v>
      </c>
      <c r="HS15" s="0" t="e">
        <f aca="false">'Investment Returns'!HS39</f>
        <v>#VALUE!</v>
      </c>
      <c r="HT15" s="0" t="e">
        <f aca="false">'Investment Returns'!HT39</f>
        <v>#VALUE!</v>
      </c>
      <c r="HU15" s="0" t="e">
        <f aca="false">'Investment Returns'!HU39</f>
        <v>#VALUE!</v>
      </c>
      <c r="HV15" s="0" t="e">
        <f aca="false">'Investment Returns'!HV39</f>
        <v>#VALUE!</v>
      </c>
      <c r="HW15" s="0" t="e">
        <f aca="false">'Investment Returns'!HW39</f>
        <v>#VALUE!</v>
      </c>
      <c r="HX15" s="0" t="e">
        <f aca="false">'Investment Returns'!HX39</f>
        <v>#VALUE!</v>
      </c>
      <c r="HY15" s="0" t="e">
        <f aca="false">'Investment Returns'!HY39</f>
        <v>#VALUE!</v>
      </c>
      <c r="HZ15" s="0" t="e">
        <f aca="false">'Investment Returns'!HZ39</f>
        <v>#VALUE!</v>
      </c>
      <c r="IA15" s="0" t="e">
        <f aca="false">'Investment Returns'!IA39</f>
        <v>#VALUE!</v>
      </c>
      <c r="IB15" s="0" t="e">
        <f aca="false">'Investment Returns'!IB39</f>
        <v>#VALUE!</v>
      </c>
      <c r="IC15" s="0" t="e">
        <f aca="false">'Investment Returns'!IC39</f>
        <v>#VALUE!</v>
      </c>
      <c r="ID15" s="0" t="e">
        <f aca="false">'Investment Returns'!ID39</f>
        <v>#VALUE!</v>
      </c>
      <c r="IE15" s="0" t="e">
        <f aca="false">'Investment Returns'!IE39</f>
        <v>#VALUE!</v>
      </c>
      <c r="IF15" s="0" t="e">
        <f aca="false">'Investment Returns'!IF39</f>
        <v>#VALUE!</v>
      </c>
      <c r="IG15" s="0" t="e">
        <f aca="false">'Investment Returns'!IG39</f>
        <v>#VALUE!</v>
      </c>
      <c r="IH15" s="0" t="e">
        <f aca="false">'Investment Returns'!IH39</f>
        <v>#VALUE!</v>
      </c>
      <c r="II15" s="0" t="e">
        <f aca="false">'Investment Returns'!II39</f>
        <v>#VALUE!</v>
      </c>
    </row>
    <row r="33" customFormat="false" ht="15" hidden="false" customHeight="false" outlineLevel="0" collapsed="false">
      <c r="C33" s="0" t="s">
        <v>122</v>
      </c>
    </row>
    <row r="34" customFormat="false" ht="15" hidden="false" customHeight="false" outlineLevel="0" collapsed="false">
      <c r="B34" s="0" t="s">
        <v>123</v>
      </c>
      <c r="C34" s="0" t="n">
        <f aca="false">Discount_Rate_Credit</f>
        <v>0.0675</v>
      </c>
      <c r="D34" s="0" t="n">
        <f aca="false">IF(D14&gt;Residual_Month,0,Inputs!R81+Inputs!R82+IF(SUM(Inputs!R81:R83)=0,0,(Inputs!R81+Inputs!R82)/SUM(Inputs!R81:R83))*(Inputs!R91+Inputs!R96-Inputs!R102-Inputs!R107))</f>
        <v>46162.5</v>
      </c>
      <c r="E34" s="0" t="n">
        <f aca="false">IF(E14&gt;Residual_Month,0,Inputs!S81+Inputs!S82+IF(SUM(Inputs!S81:S83)=0,0,(Inputs!S81+Inputs!S82)/SUM(Inputs!S81:S83))*(Inputs!S91+Inputs!S96-Inputs!S102-Inputs!S107))</f>
        <v>46162.5</v>
      </c>
      <c r="F34" s="0" t="n">
        <f aca="false">IF(F14&gt;Residual_Month,0,Inputs!T81+Inputs!T82+IF(SUM(Inputs!T81:T83)=0,0,(Inputs!T81+Inputs!T82)/SUM(Inputs!T81:T83))*(Inputs!T91+Inputs!T96-Inputs!T102-Inputs!T107))</f>
        <v>46162.5</v>
      </c>
      <c r="G34" s="0" t="n">
        <f aca="false">IF(G14&gt;Residual_Month,0,Inputs!U81+Inputs!U82+IF(SUM(Inputs!U81:U83)=0,0,(Inputs!U81+Inputs!U82)/SUM(Inputs!U81:U83))*(Inputs!U91+Inputs!U96-Inputs!U102-Inputs!U107))</f>
        <v>46162.5</v>
      </c>
      <c r="H34" s="0" t="n">
        <f aca="false">IF(H14&gt;Residual_Month,0,Inputs!V81+Inputs!V82+IF(SUM(Inputs!V81:V83)=0,0,(Inputs!V81+Inputs!V82)/SUM(Inputs!V81:V83))*(Inputs!V91+Inputs!V96-Inputs!V102-Inputs!V107))</f>
        <v>46162.5</v>
      </c>
      <c r="I34" s="0" t="n">
        <f aca="false">IF(I14&gt;Residual_Month,0,Inputs!W81+Inputs!W82+IF(SUM(Inputs!W81:W83)=0,0,(Inputs!W81+Inputs!W82)/SUM(Inputs!W81:W83))*(Inputs!W91+Inputs!W96-Inputs!W102-Inputs!W107))</f>
        <v>46162.5</v>
      </c>
      <c r="J34" s="0" t="n">
        <f aca="false">IF(J14&gt;Residual_Month,0,Inputs!X81+Inputs!X82+IF(SUM(Inputs!X81:X83)=0,0,(Inputs!X81+Inputs!X82)/SUM(Inputs!X81:X83))*(Inputs!X91+Inputs!X96-Inputs!X102-Inputs!X107))</f>
        <v>46162.5</v>
      </c>
      <c r="K34" s="0" t="n">
        <f aca="false">IF(K14&gt;Residual_Month,0,Inputs!Y81+Inputs!Y82+IF(SUM(Inputs!Y81:Y83)=0,0,(Inputs!Y81+Inputs!Y82)/SUM(Inputs!Y81:Y83))*(Inputs!Y91+Inputs!Y96-Inputs!Y102-Inputs!Y107))</f>
        <v>46162.5</v>
      </c>
      <c r="L34" s="0" t="n">
        <f aca="false">IF(L14&gt;Residual_Month,0,Inputs!Z81+Inputs!Z82+IF(SUM(Inputs!Z81:Z83)=0,0,(Inputs!Z81+Inputs!Z82)/SUM(Inputs!Z81:Z83))*(Inputs!Z91+Inputs!Z96-Inputs!Z102-Inputs!Z107))</f>
        <v>46162.5</v>
      </c>
      <c r="M34" s="0" t="n">
        <f aca="false">IF(M14&gt;Residual_Month,0,Inputs!AA81+Inputs!AA82+IF(SUM(Inputs!AA81:AA83)=0,0,(Inputs!AA81+Inputs!AA82)/SUM(Inputs!AA81:AA83))*(Inputs!AA91+Inputs!AA96-Inputs!AA102-Inputs!AA107))</f>
        <v>46162.5</v>
      </c>
      <c r="N34" s="0" t="n">
        <f aca="false">IF(N14&gt;Residual_Month,0,Inputs!AB81+Inputs!AB82+IF(SUM(Inputs!AB81:AB83)=0,0,(Inputs!AB81+Inputs!AB82)/SUM(Inputs!AB81:AB83))*(Inputs!AB91+Inputs!AB96-Inputs!AB102-Inputs!AB107))</f>
        <v>46162.5</v>
      </c>
      <c r="O34" s="0" t="n">
        <f aca="false">IF(O14&gt;Residual_Month,0,Inputs!AC81+Inputs!AC82+IF(SUM(Inputs!AC81:AC83)=0,0,(Inputs!AC81+Inputs!AC82)/SUM(Inputs!AC81:AC83))*(Inputs!AC91+Inputs!AC96-Inputs!AC102-Inputs!AC107))</f>
        <v>46162.5</v>
      </c>
      <c r="P34" s="0" t="n">
        <f aca="false">IF(P14&gt;Residual_Month,0,Inputs!AD81+Inputs!AD82+IF(SUM(Inputs!AD81:AD83)=0,0,(Inputs!AD81+Inputs!AD82)/SUM(Inputs!AD81:AD83))*(Inputs!AD91+Inputs!AD96-Inputs!AD102-Inputs!AD107))</f>
        <v>47083.3333333333</v>
      </c>
      <c r="Q34" s="0" t="n">
        <f aca="false">IF(Q14&gt;Residual_Month,0,Inputs!AE81+Inputs!AE82+IF(SUM(Inputs!AE81:AE83)=0,0,(Inputs!AE81+Inputs!AE82)/SUM(Inputs!AE81:AE83))*(Inputs!AE91+Inputs!AE96-Inputs!AE102-Inputs!AE107))</f>
        <v>47083.3333333333</v>
      </c>
      <c r="R34" s="0" t="n">
        <f aca="false">IF(R14&gt;Residual_Month,0,Inputs!AF81+Inputs!AF82+IF(SUM(Inputs!AF81:AF83)=0,0,(Inputs!AF81+Inputs!AF82)/SUM(Inputs!AF81:AF83))*(Inputs!AF91+Inputs!AF96-Inputs!AF102-Inputs!AF107))</f>
        <v>47083.3333333333</v>
      </c>
      <c r="S34" s="0" t="n">
        <f aca="false">IF(S14&gt;Residual_Month,0,Inputs!AG81+Inputs!AG82+IF(SUM(Inputs!AG81:AG83)=0,0,(Inputs!AG81+Inputs!AG82)/SUM(Inputs!AG81:AG83))*(Inputs!AG91+Inputs!AG96-Inputs!AG102-Inputs!AG107))</f>
        <v>47083.3333333333</v>
      </c>
      <c r="T34" s="0" t="n">
        <f aca="false">IF(T14&gt;Residual_Month,0,Inputs!AH81+Inputs!AH82+IF(SUM(Inputs!AH81:AH83)=0,0,(Inputs!AH81+Inputs!AH82)/SUM(Inputs!AH81:AH83))*(Inputs!AH91+Inputs!AH96-Inputs!AH102-Inputs!AH107))</f>
        <v>47083.3333333333</v>
      </c>
      <c r="U34" s="0" t="n">
        <f aca="false">IF(U14&gt;Residual_Month,0,Inputs!AI81+Inputs!AI82+IF(SUM(Inputs!AI81:AI83)=0,0,(Inputs!AI81+Inputs!AI82)/SUM(Inputs!AI81:AI83))*(Inputs!AI91+Inputs!AI96-Inputs!AI102-Inputs!AI107))</f>
        <v>47083.3333333333</v>
      </c>
      <c r="V34" s="0" t="n">
        <f aca="false">IF(V14&gt;Residual_Month,0,Inputs!AJ81+Inputs!AJ82+IF(SUM(Inputs!AJ81:AJ83)=0,0,(Inputs!AJ81+Inputs!AJ82)/SUM(Inputs!AJ81:AJ83))*(Inputs!AJ91+Inputs!AJ96-Inputs!AJ102-Inputs!AJ107))</f>
        <v>47083.3333333333</v>
      </c>
      <c r="W34" s="0" t="n">
        <f aca="false">IF(W14&gt;Residual_Month,0,Inputs!AK81+Inputs!AK82+IF(SUM(Inputs!AK81:AK83)=0,0,(Inputs!AK81+Inputs!AK82)/SUM(Inputs!AK81:AK83))*(Inputs!AK91+Inputs!AK96-Inputs!AK102-Inputs!AK107))</f>
        <v>47083.3333333333</v>
      </c>
      <c r="X34" s="0" t="n">
        <f aca="false">IF(X14&gt;Residual_Month,0,Inputs!AL81+Inputs!AL82+IF(SUM(Inputs!AL81:AL83)=0,0,(Inputs!AL81+Inputs!AL82)/SUM(Inputs!AL81:AL83))*(Inputs!AL91+Inputs!AL96-Inputs!AL102-Inputs!AL107))</f>
        <v>47083.3333333333</v>
      </c>
      <c r="Y34" s="0" t="n">
        <f aca="false">IF(Y14&gt;Residual_Month,0,Inputs!AM81+Inputs!AM82+IF(SUM(Inputs!AM81:AM83)=0,0,(Inputs!AM81+Inputs!AM82)/SUM(Inputs!AM81:AM83))*(Inputs!AM91+Inputs!AM96-Inputs!AM102-Inputs!AM107))</f>
        <v>47083.3333333333</v>
      </c>
      <c r="Z34" s="0" t="n">
        <f aca="false">IF(Z14&gt;Residual_Month,0,Inputs!AN81+Inputs!AN82+IF(SUM(Inputs!AN81:AN83)=0,0,(Inputs!AN81+Inputs!AN82)/SUM(Inputs!AN81:AN83))*(Inputs!AN91+Inputs!AN96-Inputs!AN102-Inputs!AN107))</f>
        <v>47083.3333333333</v>
      </c>
      <c r="AA34" s="0" t="n">
        <f aca="false">IF(AA14&gt;Residual_Month,0,Inputs!AO81+Inputs!AO82+IF(SUM(Inputs!AO81:AO83)=0,0,(Inputs!AO81+Inputs!AO82)/SUM(Inputs!AO81:AO83))*(Inputs!AO91+Inputs!AO96-Inputs!AO102-Inputs!AO107))</f>
        <v>47083.3333333333</v>
      </c>
      <c r="AB34" s="0" t="n">
        <f aca="false">IF(AB14&gt;Residual_Month,0,Inputs!AP81+Inputs!AP82+IF(SUM(Inputs!AP81:AP83)=0,0,(Inputs!AP81+Inputs!AP82)/SUM(Inputs!AP81:AP83))*(Inputs!AP91+Inputs!AP96-Inputs!AP102-Inputs!AP107))</f>
        <v>48022.5229166667</v>
      </c>
      <c r="AC34" s="0" t="n">
        <f aca="false">IF(AC14&gt;Residual_Month,0,Inputs!AQ81+Inputs!AQ82+IF(SUM(Inputs!AQ81:AQ83)=0,0,(Inputs!AQ81+Inputs!AQ82)/SUM(Inputs!AQ81:AQ83))*(Inputs!AQ91+Inputs!AQ96-Inputs!AQ102-Inputs!AQ107))</f>
        <v>48022.5229166667</v>
      </c>
      <c r="AD34" s="0" t="n">
        <f aca="false">IF(AD14&gt;Residual_Month,0,Inputs!AR81+Inputs!AR82+IF(SUM(Inputs!AR81:AR83)=0,0,(Inputs!AR81+Inputs!AR82)/SUM(Inputs!AR81:AR83))*(Inputs!AR91+Inputs!AR96-Inputs!AR102-Inputs!AR107))</f>
        <v>48022.5229166667</v>
      </c>
      <c r="AE34" s="0" t="n">
        <f aca="false">IF(AE14&gt;Residual_Month,0,Inputs!AS81+Inputs!AS82+IF(SUM(Inputs!AS81:AS83)=0,0,(Inputs!AS81+Inputs!AS82)/SUM(Inputs!AS81:AS83))*(Inputs!AS91+Inputs!AS96-Inputs!AS102-Inputs!AS107))</f>
        <v>48022.5229166667</v>
      </c>
      <c r="AF34" s="0" t="n">
        <f aca="false">IF(AF14&gt;Residual_Month,0,Inputs!AT81+Inputs!AT82+IF(SUM(Inputs!AT81:AT83)=0,0,(Inputs!AT81+Inputs!AT82)/SUM(Inputs!AT81:AT83))*(Inputs!AT91+Inputs!AT96-Inputs!AT102-Inputs!AT107))</f>
        <v>48022.5229166667</v>
      </c>
      <c r="AG34" s="0" t="n">
        <f aca="false">IF(AG14&gt;Residual_Month,0,Inputs!AU81+Inputs!AU82+IF(SUM(Inputs!AU81:AU83)=0,0,(Inputs!AU81+Inputs!AU82)/SUM(Inputs!AU81:AU83))*(Inputs!AU91+Inputs!AU96-Inputs!AU102-Inputs!AU107))</f>
        <v>48022.5229166667</v>
      </c>
      <c r="AH34" s="0" t="n">
        <f aca="false">IF(AH14&gt;Residual_Month,0,Inputs!AV81+Inputs!AV82+IF(SUM(Inputs!AV81:AV83)=0,0,(Inputs!AV81+Inputs!AV82)/SUM(Inputs!AV81:AV83))*(Inputs!AV91+Inputs!AV96-Inputs!AV102-Inputs!AV107))</f>
        <v>48022.5229166667</v>
      </c>
      <c r="AI34" s="0" t="n">
        <f aca="false">IF(AI14&gt;Residual_Month,0,Inputs!AW81+Inputs!AW82+IF(SUM(Inputs!AW81:AW83)=0,0,(Inputs!AW81+Inputs!AW82)/SUM(Inputs!AW81:AW83))*(Inputs!AW91+Inputs!AW96-Inputs!AW102-Inputs!AW107))</f>
        <v>48022.5229166667</v>
      </c>
      <c r="AJ34" s="0" t="n">
        <f aca="false">IF(AJ14&gt;Residual_Month,0,Inputs!AX81+Inputs!AX82+IF(SUM(Inputs!AX81:AX83)=0,0,(Inputs!AX81+Inputs!AX82)/SUM(Inputs!AX81:AX83))*(Inputs!AX91+Inputs!AX96-Inputs!AX102-Inputs!AX107))</f>
        <v>48022.5229166667</v>
      </c>
      <c r="AK34" s="0" t="n">
        <f aca="false">IF(AK14&gt;Residual_Month,0,Inputs!AY81+Inputs!AY82+IF(SUM(Inputs!AY81:AY83)=0,0,(Inputs!AY81+Inputs!AY82)/SUM(Inputs!AY81:AY83))*(Inputs!AY91+Inputs!AY96-Inputs!AY102-Inputs!AY107))</f>
        <v>48022.5229166667</v>
      </c>
      <c r="AL34" s="0" t="n">
        <f aca="false">IF(AL14&gt;Residual_Month,0,Inputs!AZ81+Inputs!AZ82+IF(SUM(Inputs!AZ81:AZ83)=0,0,(Inputs!AZ81+Inputs!AZ82)/SUM(Inputs!AZ81:AZ83))*(Inputs!AZ91+Inputs!AZ96-Inputs!AZ102-Inputs!AZ107))</f>
        <v>48022.5229166667</v>
      </c>
      <c r="AM34" s="0" t="n">
        <f aca="false">IF(AM14&gt;Residual_Month,0,Inputs!BA81+Inputs!BA82+IF(SUM(Inputs!BA81:BA83)=0,0,(Inputs!BA81+Inputs!BA82)/SUM(Inputs!BA81:BA83))*(Inputs!BA91+Inputs!BA96-Inputs!BA102-Inputs!BA107))</f>
        <v>48022.5229166667</v>
      </c>
      <c r="AN34" s="0" t="n">
        <f aca="false">IF(AN14&gt;Residual_Month,0,Inputs!BB81+Inputs!BB82+IF(SUM(Inputs!BB81:BB83)=0,0,(Inputs!BB81+Inputs!BB82)/SUM(Inputs!BB81:BB83))*(Inputs!BB91+Inputs!BB96-Inputs!BB102-Inputs!BB107))</f>
        <v>48980.4343645833</v>
      </c>
      <c r="AO34" s="0" t="n">
        <f aca="false">IF(AO14&gt;Residual_Month,0,Inputs!BC81+Inputs!BC82+IF(SUM(Inputs!BC81:BC83)=0,0,(Inputs!BC81+Inputs!BC82)/SUM(Inputs!BC81:BC83))*(Inputs!BC91+Inputs!BC96-Inputs!BC102-Inputs!BC107))</f>
        <v>48980.4343645833</v>
      </c>
      <c r="AP34" s="0" t="n">
        <f aca="false">IF(AP14&gt;Residual_Month,0,Inputs!BD81+Inputs!BD82+IF(SUM(Inputs!BD81:BD83)=0,0,(Inputs!BD81+Inputs!BD82)/SUM(Inputs!BD81:BD83))*(Inputs!BD91+Inputs!BD96-Inputs!BD102-Inputs!BD107))</f>
        <v>48980.4343645833</v>
      </c>
      <c r="AQ34" s="0" t="n">
        <f aca="false">IF(AQ14&gt;Residual_Month,0,Inputs!BE81+Inputs!BE82+IF(SUM(Inputs!BE81:BE83)=0,0,(Inputs!BE81+Inputs!BE82)/SUM(Inputs!BE81:BE83))*(Inputs!BE91+Inputs!BE96-Inputs!BE102-Inputs!BE107))</f>
        <v>48980.4343645833</v>
      </c>
      <c r="AR34" s="0" t="n">
        <f aca="false">IF(AR14&gt;Residual_Month,0,Inputs!BF81+Inputs!BF82+IF(SUM(Inputs!BF81:BF83)=0,0,(Inputs!BF81+Inputs!BF82)/SUM(Inputs!BF81:BF83))*(Inputs!BF91+Inputs!BF96-Inputs!BF102-Inputs!BF107))</f>
        <v>48980.4343645833</v>
      </c>
      <c r="AS34" s="0" t="n">
        <f aca="false">IF(AS14&gt;Residual_Month,0,Inputs!BG81+Inputs!BG82+IF(SUM(Inputs!BG81:BG83)=0,0,(Inputs!BG81+Inputs!BG82)/SUM(Inputs!BG81:BG83))*(Inputs!BG91+Inputs!BG96-Inputs!BG102-Inputs!BG107))</f>
        <v>48980.4343645833</v>
      </c>
      <c r="AT34" s="0" t="n">
        <f aca="false">IF(AT14&gt;Residual_Month,0,Inputs!BH81+Inputs!BH82+IF(SUM(Inputs!BH81:BH83)=0,0,(Inputs!BH81+Inputs!BH82)/SUM(Inputs!BH81:BH83))*(Inputs!BH91+Inputs!BH96-Inputs!BH102-Inputs!BH107))</f>
        <v>48980.4343645833</v>
      </c>
      <c r="AU34" s="0" t="n">
        <f aca="false">IF(AU14&gt;Residual_Month,0,Inputs!BI81+Inputs!BI82+IF(SUM(Inputs!BI81:BI83)=0,0,(Inputs!BI81+Inputs!BI82)/SUM(Inputs!BI81:BI83))*(Inputs!BI91+Inputs!BI96-Inputs!BI102-Inputs!BI107))</f>
        <v>48980.4343645833</v>
      </c>
      <c r="AV34" s="0" t="n">
        <f aca="false">IF(AV14&gt;Residual_Month,0,Inputs!BJ81+Inputs!BJ82+IF(SUM(Inputs!BJ81:BJ83)=0,0,(Inputs!BJ81+Inputs!BJ82)/SUM(Inputs!BJ81:BJ83))*(Inputs!BJ91+Inputs!BJ96-Inputs!BJ102-Inputs!BJ107))</f>
        <v>48980.4343645833</v>
      </c>
      <c r="AW34" s="0" t="n">
        <f aca="false">IF(AW14&gt;Residual_Month,0,Inputs!BK81+Inputs!BK82+IF(SUM(Inputs!BK81:BK83)=0,0,(Inputs!BK81+Inputs!BK82)/SUM(Inputs!BK81:BK83))*(Inputs!BK91+Inputs!BK96-Inputs!BK102-Inputs!BK107))</f>
        <v>48980.4343645833</v>
      </c>
      <c r="AX34" s="0" t="n">
        <f aca="false">IF(AX14&gt;Residual_Month,0,Inputs!BL81+Inputs!BL82+IF(SUM(Inputs!BL81:BL83)=0,0,(Inputs!BL81+Inputs!BL82)/SUM(Inputs!BL81:BL83))*(Inputs!BL91+Inputs!BL96-Inputs!BL102-Inputs!BL107))</f>
        <v>48980.4343645833</v>
      </c>
      <c r="AY34" s="0" t="n">
        <f aca="false">IF(AY14&gt;Residual_Month,0,Inputs!BM81+Inputs!BM82+IF(SUM(Inputs!BM81:BM83)=0,0,(Inputs!BM81+Inputs!BM82)/SUM(Inputs!BM81:BM83))*(Inputs!BM91+Inputs!BM96-Inputs!BM102-Inputs!BM107))</f>
        <v>48980.4343645833</v>
      </c>
      <c r="AZ34" s="0" t="n">
        <f aca="false">IF(AZ14&gt;Residual_Month,0,Inputs!BN81+Inputs!BN82+IF(SUM(Inputs!BN81:BN83)=0,0,(Inputs!BN81+Inputs!BN82)/SUM(Inputs!BN81:BN83))*(Inputs!BN91+Inputs!BN96-Inputs!BN102-Inputs!BN107))</f>
        <v>49957.4405661979</v>
      </c>
      <c r="BA34" s="0" t="n">
        <f aca="false">IF(BA14&gt;Residual_Month,0,Inputs!BO81+Inputs!BO82+IF(SUM(Inputs!BO81:BO83)=0,0,(Inputs!BO81+Inputs!BO82)/SUM(Inputs!BO81:BO83))*(Inputs!BO91+Inputs!BO96-Inputs!BO102-Inputs!BO107))</f>
        <v>49957.4405661979</v>
      </c>
      <c r="BB34" s="0" t="n">
        <f aca="false">IF(BB14&gt;Residual_Month,0,Inputs!BP81+Inputs!BP82+IF(SUM(Inputs!BP81:BP83)=0,0,(Inputs!BP81+Inputs!BP82)/SUM(Inputs!BP81:BP83))*(Inputs!BP91+Inputs!BP96-Inputs!BP102-Inputs!BP107))</f>
        <v>49957.4405661979</v>
      </c>
      <c r="BC34" s="0" t="n">
        <f aca="false">IF(BC14&gt;Residual_Month,0,Inputs!BQ81+Inputs!BQ82+IF(SUM(Inputs!BQ81:BQ83)=0,0,(Inputs!BQ81+Inputs!BQ82)/SUM(Inputs!BQ81:BQ83))*(Inputs!BQ91+Inputs!BQ96-Inputs!BQ102-Inputs!BQ107))</f>
        <v>49957.4405661979</v>
      </c>
      <c r="BD34" s="0" t="n">
        <f aca="false">IF(BD14&gt;Residual_Month,0,Inputs!BR81+Inputs!BR82+IF(SUM(Inputs!BR81:BR83)=0,0,(Inputs!BR81+Inputs!BR82)/SUM(Inputs!BR81:BR83))*(Inputs!BR91+Inputs!BR96-Inputs!BR102-Inputs!BR107))</f>
        <v>49957.4405661979</v>
      </c>
      <c r="BE34" s="0" t="n">
        <f aca="false">IF(BE14&gt;Residual_Month,0,Inputs!BS81+Inputs!BS82+IF(SUM(Inputs!BS81:BS83)=0,0,(Inputs!BS81+Inputs!BS82)/SUM(Inputs!BS81:BS83))*(Inputs!BS91+Inputs!BS96-Inputs!BS102-Inputs!BS107))</f>
        <v>49957.4405661979</v>
      </c>
      <c r="BF34" s="0" t="n">
        <f aca="false">IF(BF14&gt;Residual_Month,0,Inputs!BT81+Inputs!BT82+IF(SUM(Inputs!BT81:BT83)=0,0,(Inputs!BT81+Inputs!BT82)/SUM(Inputs!BT81:BT83))*(Inputs!BT91+Inputs!BT96-Inputs!BT102-Inputs!BT107))</f>
        <v>49957.4405661979</v>
      </c>
      <c r="BG34" s="0" t="n">
        <f aca="false">IF(BG14&gt;Residual_Month,0,Inputs!BU81+Inputs!BU82+IF(SUM(Inputs!BU81:BU83)=0,0,(Inputs!BU81+Inputs!BU82)/SUM(Inputs!BU81:BU83))*(Inputs!BU91+Inputs!BU96-Inputs!BU102-Inputs!BU107))</f>
        <v>49957.4405661979</v>
      </c>
      <c r="BH34" s="0" t="n">
        <f aca="false">IF(BH14&gt;Residual_Month,0,Inputs!BV81+Inputs!BV82+IF(SUM(Inputs!BV81:BV83)=0,0,(Inputs!BV81+Inputs!BV82)/SUM(Inputs!BV81:BV83))*(Inputs!BV91+Inputs!BV96-Inputs!BV102-Inputs!BV107))</f>
        <v>49957.4405661979</v>
      </c>
      <c r="BI34" s="0" t="n">
        <f aca="false">IF(BI14&gt;Residual_Month,0,Inputs!BW81+Inputs!BW82+IF(SUM(Inputs!BW81:BW83)=0,0,(Inputs!BW81+Inputs!BW82)/SUM(Inputs!BW81:BW83))*(Inputs!BW91+Inputs!BW96-Inputs!BW102-Inputs!BW107))</f>
        <v>49957.4405661979</v>
      </c>
      <c r="BJ34" s="0" t="n">
        <f aca="false">IF(BJ14&gt;Residual_Month,0,Inputs!BX81+Inputs!BX82+IF(SUM(Inputs!BX81:BX83)=0,0,(Inputs!BX81+Inputs!BX82)/SUM(Inputs!BX81:BX83))*(Inputs!BX91+Inputs!BX96-Inputs!BX102-Inputs!BX107))</f>
        <v>49957.4405661979</v>
      </c>
      <c r="BK34" s="0" t="n">
        <f aca="false">IF(BK14&gt;Residual_Month,0,Inputs!BY81+Inputs!BY82+IF(SUM(Inputs!BY81:BY83)=0,0,(Inputs!BY81+Inputs!BY82)/SUM(Inputs!BY81:BY83))*(Inputs!BY91+Inputs!BY96-Inputs!BY102-Inputs!BY107))</f>
        <v>49957.4405661979</v>
      </c>
      <c r="BL34" s="0" t="n">
        <f aca="false">IF(BL14&gt;Residual_Month,0,Inputs!BZ81+Inputs!BZ82+IF(SUM(Inputs!BZ81:BZ83)=0,0,(Inputs!BZ81+Inputs!BZ82)/SUM(Inputs!BZ81:BZ83))*(Inputs!BZ91+Inputs!BZ96-Inputs!BZ102-Inputs!BZ107))</f>
        <v>50953.9218297029</v>
      </c>
      <c r="BM34" s="0" t="n">
        <f aca="false">IF(BM14&gt;Residual_Month,0,Inputs!CA81+Inputs!CA82+IF(SUM(Inputs!CA81:CA83)=0,0,(Inputs!CA81+Inputs!CA82)/SUM(Inputs!CA81:CA83))*(Inputs!CA91+Inputs!CA96-Inputs!CA102-Inputs!CA107))</f>
        <v>50953.9218297029</v>
      </c>
      <c r="BN34" s="0" t="n">
        <f aca="false">IF(BN14&gt;Residual_Month,0,Inputs!CB81+Inputs!CB82+IF(SUM(Inputs!CB81:CB83)=0,0,(Inputs!CB81+Inputs!CB82)/SUM(Inputs!CB81:CB83))*(Inputs!CB91+Inputs!CB96-Inputs!CB102-Inputs!CB107))</f>
        <v>50953.9218297029</v>
      </c>
      <c r="BO34" s="0" t="n">
        <f aca="false">IF(BO14&gt;Residual_Month,0,Inputs!CC81+Inputs!CC82+IF(SUM(Inputs!CC81:CC83)=0,0,(Inputs!CC81+Inputs!CC82)/SUM(Inputs!CC81:CC83))*(Inputs!CC91+Inputs!CC96-Inputs!CC102-Inputs!CC107))</f>
        <v>50953.9218297029</v>
      </c>
      <c r="BP34" s="0" t="n">
        <f aca="false">IF(BP14&gt;Residual_Month,0,Inputs!CD81+Inputs!CD82+IF(SUM(Inputs!CD81:CD83)=0,0,(Inputs!CD81+Inputs!CD82)/SUM(Inputs!CD81:CD83))*(Inputs!CD91+Inputs!CD96-Inputs!CD102-Inputs!CD107))</f>
        <v>50953.9218297029</v>
      </c>
      <c r="BQ34" s="0" t="n">
        <f aca="false">IF(BQ14&gt;Residual_Month,0,Inputs!CE81+Inputs!CE82+IF(SUM(Inputs!CE81:CE83)=0,0,(Inputs!CE81+Inputs!CE82)/SUM(Inputs!CE81:CE83))*(Inputs!CE91+Inputs!CE96-Inputs!CE102-Inputs!CE107))</f>
        <v>50953.9218297029</v>
      </c>
      <c r="BR34" s="0" t="n">
        <f aca="false">IF(BR14&gt;Residual_Month,0,Inputs!CF81+Inputs!CF82+IF(SUM(Inputs!CF81:CF83)=0,0,(Inputs!CF81+Inputs!CF82)/SUM(Inputs!CF81:CF83))*(Inputs!CF91+Inputs!CF96-Inputs!CF102-Inputs!CF107))</f>
        <v>50953.9218297029</v>
      </c>
      <c r="BS34" s="0" t="n">
        <f aca="false">IF(BS14&gt;Residual_Month,0,Inputs!CG81+Inputs!CG82+IF(SUM(Inputs!CG81:CG83)=0,0,(Inputs!CG81+Inputs!CG82)/SUM(Inputs!CG81:CG83))*(Inputs!CG91+Inputs!CG96-Inputs!CG102-Inputs!CG107))</f>
        <v>50953.9218297029</v>
      </c>
      <c r="BT34" s="0" t="n">
        <f aca="false">IF(BT14&gt;Residual_Month,0,Inputs!CH81+Inputs!CH82+IF(SUM(Inputs!CH81:CH83)=0,0,(Inputs!CH81+Inputs!CH82)/SUM(Inputs!CH81:CH83))*(Inputs!CH91+Inputs!CH96-Inputs!CH102-Inputs!CH107))</f>
        <v>50953.9218297029</v>
      </c>
      <c r="BU34" s="0" t="n">
        <f aca="false">IF(BU14&gt;Residual_Month,0,Inputs!CI81+Inputs!CI82+IF(SUM(Inputs!CI81:CI83)=0,0,(Inputs!CI81+Inputs!CI82)/SUM(Inputs!CI81:CI83))*(Inputs!CI91+Inputs!CI96-Inputs!CI102-Inputs!CI107))</f>
        <v>50953.9218297029</v>
      </c>
      <c r="BV34" s="0" t="n">
        <f aca="false">IF(BV14&gt;Residual_Month,0,Inputs!CJ81+Inputs!CJ82+IF(SUM(Inputs!CJ81:CJ83)=0,0,(Inputs!CJ81+Inputs!CJ82)/SUM(Inputs!CJ81:CJ83))*(Inputs!CJ91+Inputs!CJ96-Inputs!CJ102-Inputs!CJ107))</f>
        <v>50953.9218297029</v>
      </c>
      <c r="BW34" s="0" t="n">
        <f aca="false">IF(BW14&gt;Residual_Month,0,Inputs!CK81+Inputs!CK82+IF(SUM(Inputs!CK81:CK83)=0,0,(Inputs!CK81+Inputs!CK82)/SUM(Inputs!CK81:CK83))*(Inputs!CK91+Inputs!CK96-Inputs!CK102-Inputs!CK107))</f>
        <v>50953.9218297029</v>
      </c>
      <c r="BX34" s="0" t="n">
        <f aca="false">IF(BX14&gt;Residual_Month,0,Inputs!CL81+Inputs!CL82+IF(SUM(Inputs!CL81:CL83)=0,0,(Inputs!CL81+Inputs!CL82)/SUM(Inputs!CL81:CL83))*(Inputs!CL91+Inputs!CL96-Inputs!CL102-Inputs!CL107))</f>
        <v>51970.2660297824</v>
      </c>
      <c r="BY34" s="0" t="n">
        <f aca="false">IF(BY14&gt;Residual_Month,0,Inputs!CM81+Inputs!CM82+IF(SUM(Inputs!CM81:CM83)=0,0,(Inputs!CM81+Inputs!CM82)/SUM(Inputs!CM81:CM83))*(Inputs!CM91+Inputs!CM96-Inputs!CM102-Inputs!CM107))</f>
        <v>51970.2660297824</v>
      </c>
      <c r="BZ34" s="0" t="n">
        <f aca="false">IF(BZ14&gt;Residual_Month,0,Inputs!CN81+Inputs!CN82+IF(SUM(Inputs!CN81:CN83)=0,0,(Inputs!CN81+Inputs!CN82)/SUM(Inputs!CN81:CN83))*(Inputs!CN91+Inputs!CN96-Inputs!CN102-Inputs!CN107))</f>
        <v>51970.2660297824</v>
      </c>
      <c r="CA34" s="0" t="n">
        <f aca="false">IF(CA14&gt;Residual_Month,0,Inputs!CO81+Inputs!CO82+IF(SUM(Inputs!CO81:CO83)=0,0,(Inputs!CO81+Inputs!CO82)/SUM(Inputs!CO81:CO83))*(Inputs!CO91+Inputs!CO96-Inputs!CO102-Inputs!CO107))</f>
        <v>51970.2660297824</v>
      </c>
      <c r="CB34" s="0" t="n">
        <f aca="false">IF(CB14&gt;Residual_Month,0,Inputs!CP81+Inputs!CP82+IF(SUM(Inputs!CP81:CP83)=0,0,(Inputs!CP81+Inputs!CP82)/SUM(Inputs!CP81:CP83))*(Inputs!CP91+Inputs!CP96-Inputs!CP102-Inputs!CP107))</f>
        <v>51970.2660297824</v>
      </c>
      <c r="CC34" s="0" t="n">
        <f aca="false">IF(CC14&gt;Residual_Month,0,Inputs!CQ81+Inputs!CQ82+IF(SUM(Inputs!CQ81:CQ83)=0,0,(Inputs!CQ81+Inputs!CQ82)/SUM(Inputs!CQ81:CQ83))*(Inputs!CQ91+Inputs!CQ96-Inputs!CQ102-Inputs!CQ107))</f>
        <v>51970.2660297824</v>
      </c>
      <c r="CD34" s="0" t="n">
        <f aca="false">IF(CD14&gt;Residual_Month,0,Inputs!CR81+Inputs!CR82+IF(SUM(Inputs!CR81:CR83)=0,0,(Inputs!CR81+Inputs!CR82)/SUM(Inputs!CR81:CR83))*(Inputs!CR91+Inputs!CR96-Inputs!CR102-Inputs!CR107))</f>
        <v>51970.2660297824</v>
      </c>
      <c r="CE34" s="0" t="n">
        <f aca="false">IF(CE14&gt;Residual_Month,0,Inputs!CS81+Inputs!CS82+IF(SUM(Inputs!CS81:CS83)=0,0,(Inputs!CS81+Inputs!CS82)/SUM(Inputs!CS81:CS83))*(Inputs!CS91+Inputs!CS96-Inputs!CS102-Inputs!CS107))</f>
        <v>51970.2660297824</v>
      </c>
      <c r="CF34" s="0" t="n">
        <f aca="false">IF(CF14&gt;Residual_Month,0,Inputs!CT81+Inputs!CT82+IF(SUM(Inputs!CT81:CT83)=0,0,(Inputs!CT81+Inputs!CT82)/SUM(Inputs!CT81:CT83))*(Inputs!CT91+Inputs!CT96-Inputs!CT102-Inputs!CT107))</f>
        <v>51970.2660297824</v>
      </c>
      <c r="CG34" s="0" t="n">
        <f aca="false">IF(CG14&gt;Residual_Month,0,Inputs!CU81+Inputs!CU82+IF(SUM(Inputs!CU81:CU83)=0,0,(Inputs!CU81+Inputs!CU82)/SUM(Inputs!CU81:CU83))*(Inputs!CU91+Inputs!CU96-Inputs!CU102-Inputs!CU107))</f>
        <v>51970.2660297824</v>
      </c>
      <c r="CH34" s="0" t="n">
        <f aca="false">IF(CH14&gt;Residual_Month,0,Inputs!CV81+Inputs!CV82+IF(SUM(Inputs!CV81:CV83)=0,0,(Inputs!CV81+Inputs!CV82)/SUM(Inputs!CV81:CV83))*(Inputs!CV91+Inputs!CV96-Inputs!CV102-Inputs!CV107))</f>
        <v>51970.2660297824</v>
      </c>
      <c r="CI34" s="0" t="n">
        <f aca="false">IF(CI14&gt;Residual_Month,0,Inputs!CW81+Inputs!CW82+IF(SUM(Inputs!CW81:CW83)=0,0,(Inputs!CW81+Inputs!CW82)/SUM(Inputs!CW81:CW83))*(Inputs!CW91+Inputs!CW96-Inputs!CW102-Inputs!CW107))</f>
        <v>51970.2660297824</v>
      </c>
      <c r="CJ34" s="0" t="n">
        <f aca="false">IF(CJ14&gt;Residual_Month,0,Inputs!CX81+Inputs!CX82+IF(SUM(Inputs!CX81:CX83)=0,0,(Inputs!CX81+Inputs!CX82)/SUM(Inputs!CX81:CX83))*(Inputs!CX91+Inputs!CX96-Inputs!CX102-Inputs!CX107))</f>
        <v>53006.8687579507</v>
      </c>
      <c r="CK34" s="0" t="n">
        <f aca="false">IF(CK14&gt;Residual_Month,0,Inputs!CY81+Inputs!CY82+IF(SUM(Inputs!CY81:CY83)=0,0,(Inputs!CY81+Inputs!CY82)/SUM(Inputs!CY81:CY83))*(Inputs!CY91+Inputs!CY96-Inputs!CY102-Inputs!CY107))</f>
        <v>53006.8687579507</v>
      </c>
      <c r="CL34" s="0" t="n">
        <f aca="false">IF(CL14&gt;Residual_Month,0,Inputs!CZ81+Inputs!CZ82+IF(SUM(Inputs!CZ81:CZ83)=0,0,(Inputs!CZ81+Inputs!CZ82)/SUM(Inputs!CZ81:CZ83))*(Inputs!CZ91+Inputs!CZ96-Inputs!CZ102-Inputs!CZ107))</f>
        <v>53006.8687579507</v>
      </c>
      <c r="CM34" s="0" t="n">
        <f aca="false">IF(CM14&gt;Residual_Month,0,Inputs!DA81+Inputs!DA82+IF(SUM(Inputs!DA81:DA83)=0,0,(Inputs!DA81+Inputs!DA82)/SUM(Inputs!DA81:DA83))*(Inputs!DA91+Inputs!DA96-Inputs!DA102-Inputs!DA107))</f>
        <v>53006.8687579507</v>
      </c>
      <c r="CN34" s="0" t="n">
        <f aca="false">IF(CN14&gt;Residual_Month,0,Inputs!DB81+Inputs!DB82+IF(SUM(Inputs!DB81:DB83)=0,0,(Inputs!DB81+Inputs!DB82)/SUM(Inputs!DB81:DB83))*(Inputs!DB91+Inputs!DB96-Inputs!DB102-Inputs!DB107))</f>
        <v>53006.8687579507</v>
      </c>
      <c r="CO34" s="0" t="n">
        <f aca="false">IF(CO14&gt;Residual_Month,0,Inputs!DC81+Inputs!DC82+IF(SUM(Inputs!DC81:DC83)=0,0,(Inputs!DC81+Inputs!DC82)/SUM(Inputs!DC81:DC83))*(Inputs!DC91+Inputs!DC96-Inputs!DC102-Inputs!DC107))</f>
        <v>53006.8687579507</v>
      </c>
      <c r="CP34" s="0" t="n">
        <f aca="false">IF(CP14&gt;Residual_Month,0,Inputs!DD81+Inputs!DD82+IF(SUM(Inputs!DD81:DD83)=0,0,(Inputs!DD81+Inputs!DD82)/SUM(Inputs!DD81:DD83))*(Inputs!DD91+Inputs!DD96-Inputs!DD102-Inputs!DD107))</f>
        <v>53006.8687579507</v>
      </c>
      <c r="CQ34" s="0" t="n">
        <f aca="false">IF(CQ14&gt;Residual_Month,0,Inputs!DE81+Inputs!DE82+IF(SUM(Inputs!DE81:DE83)=0,0,(Inputs!DE81+Inputs!DE82)/SUM(Inputs!DE81:DE83))*(Inputs!DE91+Inputs!DE96-Inputs!DE102-Inputs!DE107))</f>
        <v>53006.8687579507</v>
      </c>
      <c r="CR34" s="0" t="n">
        <f aca="false">IF(CR14&gt;Residual_Month,0,Inputs!DF81+Inputs!DF82+IF(SUM(Inputs!DF81:DF83)=0,0,(Inputs!DF81+Inputs!DF82)/SUM(Inputs!DF81:DF83))*(Inputs!DF91+Inputs!DF96-Inputs!DF102-Inputs!DF107))</f>
        <v>53006.8687579507</v>
      </c>
      <c r="CS34" s="0" t="n">
        <f aca="false">IF(CS14&gt;Residual_Month,0,Inputs!DG81+Inputs!DG82+IF(SUM(Inputs!DG81:DG83)=0,0,(Inputs!DG81+Inputs!DG82)/SUM(Inputs!DG81:DG83))*(Inputs!DG91+Inputs!DG96-Inputs!DG102-Inputs!DG107))</f>
        <v>53006.8687579507</v>
      </c>
      <c r="CT34" s="0" t="n">
        <f aca="false">IF(CT14&gt;Residual_Month,0,Inputs!DH81+Inputs!DH82+IF(SUM(Inputs!DH81:DH83)=0,0,(Inputs!DH81+Inputs!DH82)/SUM(Inputs!DH81:DH83))*(Inputs!DH91+Inputs!DH96-Inputs!DH102-Inputs!DH107))</f>
        <v>53006.8687579507</v>
      </c>
      <c r="CU34" s="0" t="n">
        <f aca="false">IF(CU14&gt;Residual_Month,0,Inputs!DI81+Inputs!DI82+IF(SUM(Inputs!DI81:DI83)=0,0,(Inputs!DI81+Inputs!DI82)/SUM(Inputs!DI81:DI83))*(Inputs!DI91+Inputs!DI96-Inputs!DI102-Inputs!DI107))</f>
        <v>53006.8687579507</v>
      </c>
      <c r="CV34" s="0" t="n">
        <f aca="false">IF(CV14&gt;Residual_Month,0,Inputs!DJ81+Inputs!DJ82+IF(SUM(Inputs!DJ81:DJ83)=0,0,(Inputs!DJ81+Inputs!DJ82)/SUM(Inputs!DJ81:DJ83))*(Inputs!DJ91+Inputs!DJ96-Inputs!DJ102-Inputs!DJ107))</f>
        <v>37712.1622397589</v>
      </c>
      <c r="CW34" s="0" t="n">
        <f aca="false">IF(CW14&gt;Residual_Month,0,Inputs!DK81+Inputs!DK82+IF(SUM(Inputs!DK81:DK83)=0,0,(Inputs!DK81+Inputs!DK82)/SUM(Inputs!DK81:DK83))*(Inputs!DK91+Inputs!DK96-Inputs!DK102-Inputs!DK107))</f>
        <v>37712.1622397589</v>
      </c>
      <c r="CX34" s="0" t="n">
        <f aca="false">IF(CX14&gt;Residual_Month,0,Inputs!DL81+Inputs!DL82+IF(SUM(Inputs!DL81:DL83)=0,0,(Inputs!DL81+Inputs!DL82)/SUM(Inputs!DL81:DL83))*(Inputs!DL91+Inputs!DL96-Inputs!DL102-Inputs!DL107))</f>
        <v>37712.1622397589</v>
      </c>
      <c r="CY34" s="0" t="n">
        <f aca="false">IF(CY14&gt;Residual_Month,0,Inputs!DM81+Inputs!DM82+IF(SUM(Inputs!DM81:DM83)=0,0,(Inputs!DM81+Inputs!DM82)/SUM(Inputs!DM81:DM83))*(Inputs!DM91+Inputs!DM96-Inputs!DM102-Inputs!DM107))</f>
        <v>37712.1622397589</v>
      </c>
      <c r="CZ34" s="0" t="n">
        <f aca="false">IF(CZ14&gt;Residual_Month,0,Inputs!DN81+Inputs!DN82+IF(SUM(Inputs!DN81:DN83)=0,0,(Inputs!DN81+Inputs!DN82)/SUM(Inputs!DN81:DN83))*(Inputs!DN91+Inputs!DN96-Inputs!DN102-Inputs!DN107))</f>
        <v>37712.1622397589</v>
      </c>
      <c r="DA34" s="0" t="n">
        <f aca="false">IF(DA14&gt;Residual_Month,0,Inputs!DO81+Inputs!DO82+IF(SUM(Inputs!DO81:DO83)=0,0,(Inputs!DO81+Inputs!DO82)/SUM(Inputs!DO81:DO83))*(Inputs!DO91+Inputs!DO96-Inputs!DO102-Inputs!DO107))</f>
        <v>37712.1622397589</v>
      </c>
      <c r="DB34" s="0" t="n">
        <f aca="false">IF(DB14&gt;Residual_Month,0,Inputs!DP81+Inputs!DP82+IF(SUM(Inputs!DP81:DP83)=0,0,(Inputs!DP81+Inputs!DP82)/SUM(Inputs!DP81:DP83))*(Inputs!DP91+Inputs!DP96-Inputs!DP102-Inputs!DP107))</f>
        <v>37712.1622397589</v>
      </c>
      <c r="DC34" s="0" t="n">
        <f aca="false">IF(DC14&gt;Residual_Month,0,Inputs!DQ81+Inputs!DQ82+IF(SUM(Inputs!DQ81:DQ83)=0,0,(Inputs!DQ81+Inputs!DQ82)/SUM(Inputs!DQ81:DQ83))*(Inputs!DQ91+Inputs!DQ96-Inputs!DQ102-Inputs!DQ107))</f>
        <v>37712.1622397589</v>
      </c>
      <c r="DD34" s="0" t="n">
        <f aca="false">IF(DD14&gt;Residual_Month,0,Inputs!DR81+Inputs!DR82+IF(SUM(Inputs!DR81:DR83)=0,0,(Inputs!DR81+Inputs!DR82)/SUM(Inputs!DR81:DR83))*(Inputs!DR91+Inputs!DR96-Inputs!DR102-Inputs!DR107))</f>
        <v>37712.1622397589</v>
      </c>
      <c r="DE34" s="0" t="n">
        <f aca="false">IF(DE14&gt;Residual_Month,0,Inputs!DS81+Inputs!DS82+IF(SUM(Inputs!DS81:DS83)=0,0,(Inputs!DS81+Inputs!DS82)/SUM(Inputs!DS81:DS83))*(Inputs!DS91+Inputs!DS96-Inputs!DS102-Inputs!DS107))</f>
        <v>37824.9217762345</v>
      </c>
      <c r="DF34" s="0" t="n">
        <f aca="false">IF(DF14&gt;Residual_Month,0,Inputs!DT81+Inputs!DT82+IF(SUM(Inputs!DT81:DT83)=0,0,(Inputs!DT81+Inputs!DT82)/SUM(Inputs!DT81:DT83))*(Inputs!DT91+Inputs!DT96-Inputs!DT102-Inputs!DT107))</f>
        <v>37824.9217762345</v>
      </c>
      <c r="DG34" s="0" t="n">
        <f aca="false">IF(DG14&gt;Residual_Month,0,Inputs!DU81+Inputs!DU82+IF(SUM(Inputs!DU81:DU83)=0,0,(Inputs!DU81+Inputs!DU82)/SUM(Inputs!DU81:DU83))*(Inputs!DU91+Inputs!DU96-Inputs!DU102-Inputs!DU107))</f>
        <v>37824.9217762345</v>
      </c>
      <c r="DH34" s="0" t="n">
        <f aca="false">IF(DH14&gt;Residual_Month,0,Inputs!DV81+Inputs!DV82+IF(SUM(Inputs!DV81:DV83)=0,0,(Inputs!DV81+Inputs!DV82)/SUM(Inputs!DV81:DV83))*(Inputs!DV91+Inputs!DV96-Inputs!DV102-Inputs!DV107))</f>
        <v>37816.134175387</v>
      </c>
      <c r="DI34" s="0" t="n">
        <f aca="false">IF(DI14&gt;Residual_Month,0,Inputs!DW81+Inputs!DW82+IF(SUM(Inputs!DW81:DW83)=0,0,(Inputs!DW81+Inputs!DW82)/SUM(Inputs!DW81:DW83))*(Inputs!DW91+Inputs!DW96-Inputs!DW102-Inputs!DW107))</f>
        <v>37816.134175387</v>
      </c>
      <c r="DJ34" s="0" t="n">
        <f aca="false">IF(DJ14&gt;Residual_Month,0,Inputs!DX81+Inputs!DX82+IF(SUM(Inputs!DX81:DX83)=0,0,(Inputs!DX81+Inputs!DX82)/SUM(Inputs!DX81:DX83))*(Inputs!DX91+Inputs!DX96-Inputs!DX102-Inputs!DX107))</f>
        <v>37816.134175387</v>
      </c>
      <c r="DK34" s="0" t="n">
        <f aca="false">IF(DK14&gt;Residual_Month,0,Inputs!DY81+Inputs!DY82+IF(SUM(Inputs!DY81:DY83)=0,0,(Inputs!DY81+Inputs!DY82)/SUM(Inputs!DY81:DY83))*(Inputs!DY91+Inputs!DY96-Inputs!DY102-Inputs!DY107))</f>
        <v>37816.134175387</v>
      </c>
      <c r="DL34" s="0" t="n">
        <f aca="false">IF(DL14&gt;Residual_Month,0,Inputs!DZ81+Inputs!DZ82+IF(SUM(Inputs!DZ81:DZ83)=0,0,(Inputs!DZ81+Inputs!DZ82)/SUM(Inputs!DZ81:DZ83))*(Inputs!DZ91+Inputs!DZ96-Inputs!DZ102-Inputs!DZ107))</f>
        <v>37816.134175387</v>
      </c>
      <c r="DM34" s="0" t="n">
        <f aca="false">IF(DM14&gt;Residual_Month,0,Inputs!EA81+Inputs!EA82+IF(SUM(Inputs!EA81:EA83)=0,0,(Inputs!EA81+Inputs!EA82)/SUM(Inputs!EA81:EA83))*(Inputs!EA91+Inputs!EA96-Inputs!EA102-Inputs!EA107))</f>
        <v>37816.134175387</v>
      </c>
      <c r="DN34" s="0" t="n">
        <f aca="false">IF(DN14&gt;Residual_Month,0,Inputs!EB81+Inputs!EB82+IF(SUM(Inputs!EB81:EB83)=0,0,(Inputs!EB81+Inputs!EB82)/SUM(Inputs!EB81:EB83))*(Inputs!EB91+Inputs!EB96-Inputs!EB102-Inputs!EB107))</f>
        <v>37816.134175387</v>
      </c>
      <c r="DO34" s="0" t="n">
        <f aca="false">IF(DO14&gt;Residual_Month,0,Inputs!EC81+Inputs!EC82+IF(SUM(Inputs!EC81:EC83)=0,0,(Inputs!EC81+Inputs!EC82)/SUM(Inputs!EC81:EC83))*(Inputs!EC91+Inputs!EC96-Inputs!EC102-Inputs!EC107))</f>
        <v>37816.134175387</v>
      </c>
      <c r="DP34" s="0" t="n">
        <f aca="false">IF(DP14&gt;Residual_Month,0,Inputs!ED81+Inputs!ED82+IF(SUM(Inputs!ED81:ED83)=0,0,(Inputs!ED81+Inputs!ED82)/SUM(Inputs!ED81:ED83))*(Inputs!ED91+Inputs!ED96-Inputs!ED102-Inputs!ED107))</f>
        <v>37816.134175387</v>
      </c>
      <c r="DQ34" s="0" t="n">
        <f aca="false">IF(DQ14&gt;Residual_Month,0,Inputs!EE81+Inputs!EE82+IF(SUM(Inputs!EE81:EE83)=0,0,(Inputs!EE81+Inputs!EE82)/SUM(Inputs!EE81:EE83))*(Inputs!EE91+Inputs!EE96-Inputs!EE102-Inputs!EE107))</f>
        <v>37816.134175387</v>
      </c>
      <c r="DR34" s="0" t="n">
        <f aca="false">IF(DR14&gt;Residual_Month,0,Inputs!EF81+Inputs!EF82+IF(SUM(Inputs!EF81:EF83)=0,0,(Inputs!EF81+Inputs!EF82)/SUM(Inputs!EF81:EF83))*(Inputs!EF91+Inputs!EF96-Inputs!EF102-Inputs!EF107))</f>
        <v>37816.134175387</v>
      </c>
      <c r="DS34" s="0" t="n">
        <f aca="false">IF(DS14&gt;Residual_Month,0,Inputs!EG81+Inputs!EG82+IF(SUM(Inputs!EG81:EG83)=0,0,(Inputs!EG81+Inputs!EG82)/SUM(Inputs!EG81:EG83))*(Inputs!EG91+Inputs!EG96-Inputs!EG102-Inputs!EG107))</f>
        <v>37816.134175387</v>
      </c>
      <c r="DT34" s="0" t="n">
        <f aca="false">IF(DT14&gt;Residual_Month,0,Inputs!EH81+Inputs!EH82+IF(SUM(Inputs!EH81:EH83)=0,0,(Inputs!EH81+Inputs!EH82)/SUM(Inputs!EH81:EH83))*(Inputs!EH91+Inputs!EH96-Inputs!EH102-Inputs!EH107))</f>
        <v>37807.1159713887</v>
      </c>
      <c r="DU34" s="0" t="n">
        <f aca="false">IF(DU14&gt;Residual_Month,0,Inputs!EI81+Inputs!EI82+IF(SUM(Inputs!EI81:EI83)=0,0,(Inputs!EI81+Inputs!EI82)/SUM(Inputs!EI81:EI83))*(Inputs!EI91+Inputs!EI96-Inputs!EI102-Inputs!EI107))</f>
        <v>37807.1159713887</v>
      </c>
      <c r="DV34" s="0" t="n">
        <f aca="false">IF(DV14&gt;Residual_Month,0,Inputs!EJ81+Inputs!EJ82+IF(SUM(Inputs!EJ81:EJ83)=0,0,(Inputs!EJ81+Inputs!EJ82)/SUM(Inputs!EJ81:EJ83))*(Inputs!EJ91+Inputs!EJ96-Inputs!EJ102-Inputs!EJ107))</f>
        <v>37807.1159713887</v>
      </c>
      <c r="DW34" s="0" t="n">
        <f aca="false">IF(DW14&gt;Residual_Month,0,Inputs!EK81+Inputs!EK82+IF(SUM(Inputs!EK81:EK83)=0,0,(Inputs!EK81+Inputs!EK82)/SUM(Inputs!EK81:EK83))*(Inputs!EK91+Inputs!EK96-Inputs!EK102-Inputs!EK107))</f>
        <v>37807.1159713887</v>
      </c>
      <c r="DX34" s="0" t="n">
        <f aca="false">IF(DX14&gt;Residual_Month,0,Inputs!EL81+Inputs!EL82+IF(SUM(Inputs!EL81:EL83)=0,0,(Inputs!EL81+Inputs!EL82)/SUM(Inputs!EL81:EL83))*(Inputs!EL91+Inputs!EL96-Inputs!EL102-Inputs!EL107))</f>
        <v>37807.1159713887</v>
      </c>
      <c r="DY34" s="0" t="n">
        <f aca="false">IF(DY14&gt;Residual_Month,0,Inputs!EM81+Inputs!EM82+IF(SUM(Inputs!EM81:EM83)=0,0,(Inputs!EM81+Inputs!EM82)/SUM(Inputs!EM81:EM83))*(Inputs!EM91+Inputs!EM96-Inputs!EM102-Inputs!EM107))</f>
        <v>37807.1159713887</v>
      </c>
      <c r="DZ34" s="0" t="n">
        <f aca="false">IF(DZ14&gt;Residual_Month,0,Inputs!EN81+Inputs!EN82+IF(SUM(Inputs!EN81:EN83)=0,0,(Inputs!EN81+Inputs!EN82)/SUM(Inputs!EN81:EN83))*(Inputs!EN91+Inputs!EN96-Inputs!EN102-Inputs!EN107))</f>
        <v>37807.1159713887</v>
      </c>
      <c r="EA34" s="0" t="n">
        <f aca="false">IF(EA14&gt;Residual_Month,0,Inputs!EO81+Inputs!EO82+IF(SUM(Inputs!EO81:EO83)=0,0,(Inputs!EO81+Inputs!EO82)/SUM(Inputs!EO81:EO83))*(Inputs!EO91+Inputs!EO96-Inputs!EO102-Inputs!EO107))</f>
        <v>37807.1159713887</v>
      </c>
      <c r="EB34" s="0" t="n">
        <f aca="false">IF(EB14&gt;Residual_Month,0,Inputs!EP81+Inputs!EP82+IF(SUM(Inputs!EP81:EP83)=0,0,(Inputs!EP81+Inputs!EP82)/SUM(Inputs!EP81:EP83))*(Inputs!EP91+Inputs!EP96-Inputs!EP102-Inputs!EP107))</f>
        <v>37807.1159713887</v>
      </c>
      <c r="EC34" s="0" t="n">
        <f aca="false">IF(EC14&gt;Residual_Month,0,Inputs!EQ81+Inputs!EQ82+IF(SUM(Inputs!EQ81:EQ83)=0,0,(Inputs!EQ81+Inputs!EQ82)/SUM(Inputs!EQ81:EQ83))*(Inputs!EQ91+Inputs!EQ96-Inputs!EQ102-Inputs!EQ107))</f>
        <v>37807.1159713887</v>
      </c>
      <c r="ED34" s="0" t="n">
        <f aca="false">IF(ED14&gt;Residual_Month,0,Inputs!ER81+Inputs!ER82+IF(SUM(Inputs!ER81:ER83)=0,0,(Inputs!ER81+Inputs!ER82)/SUM(Inputs!ER81:ER83))*(Inputs!ER91+Inputs!ER96-Inputs!ER102-Inputs!ER107))</f>
        <v>37807.1159713887</v>
      </c>
      <c r="EE34" s="0" t="n">
        <f aca="false">IF(EE14&gt;Residual_Month,0,Inputs!ES81+Inputs!ES82+IF(SUM(Inputs!ES81:ES83)=0,0,(Inputs!ES81+Inputs!ES82)/SUM(Inputs!ES81:ES83))*(Inputs!ES91+Inputs!ES96-Inputs!ES102-Inputs!ES107))</f>
        <v>37807.1159713887</v>
      </c>
      <c r="EF34" s="0" t="n">
        <f aca="false">IF(EF14&gt;Residual_Month,0,Inputs!ET81+Inputs!ET82+IF(SUM(Inputs!ET81:ET83)=0,0,(Inputs!ET81+Inputs!ET82)/SUM(Inputs!ET81:ET83))*(Inputs!ET91+Inputs!ET96-Inputs!ET102-Inputs!ET107))</f>
        <v>37797.8611808982</v>
      </c>
      <c r="EG34" s="0" t="n">
        <f aca="false">IF(EG14&gt;Residual_Month,0,Inputs!EU81+Inputs!EU82+IF(SUM(Inputs!EU81:EU83)=0,0,(Inputs!EU81+Inputs!EU82)/SUM(Inputs!EU81:EU83))*(Inputs!EU91+Inputs!EU96-Inputs!EU102-Inputs!EU107))</f>
        <v>37797.8611808982</v>
      </c>
      <c r="EH34" s="0" t="n">
        <f aca="false">IF(EH14&gt;Residual_Month,0,Inputs!EV81+Inputs!EV82+IF(SUM(Inputs!EV81:EV83)=0,0,(Inputs!EV81+Inputs!EV82)/SUM(Inputs!EV81:EV83))*(Inputs!EV91+Inputs!EV96-Inputs!EV102-Inputs!EV107))</f>
        <v>37797.8611808982</v>
      </c>
      <c r="EI34" s="0" t="n">
        <f aca="false">IF(EI14&gt;Residual_Month,0,Inputs!EW81+Inputs!EW82+IF(SUM(Inputs!EW81:EW83)=0,0,(Inputs!EW81+Inputs!EW82)/SUM(Inputs!EW81:EW83))*(Inputs!EW91+Inputs!EW96-Inputs!EW102-Inputs!EW107))</f>
        <v>37797.8611808982</v>
      </c>
      <c r="EJ34" s="0" t="n">
        <f aca="false">IF(EJ14&gt;Residual_Month,0,Inputs!EX81+Inputs!EX82+IF(SUM(Inputs!EX81:EX83)=0,0,(Inputs!EX81+Inputs!EX82)/SUM(Inputs!EX81:EX83))*(Inputs!EX91+Inputs!EX96-Inputs!EX102-Inputs!EX107))</f>
        <v>37797.8611808982</v>
      </c>
      <c r="EK34" s="0" t="n">
        <f aca="false">IF(EK14&gt;Residual_Month,0,Inputs!EY81+Inputs!EY82+IF(SUM(Inputs!EY81:EY83)=0,0,(Inputs!EY81+Inputs!EY82)/SUM(Inputs!EY81:EY83))*(Inputs!EY91+Inputs!EY96-Inputs!EY102-Inputs!EY107))</f>
        <v>37797.8611808982</v>
      </c>
      <c r="EL34" s="0" t="n">
        <f aca="false">IF(EL14&gt;Residual_Month,0,Inputs!EZ81+Inputs!EZ82+IF(SUM(Inputs!EZ81:EZ83)=0,0,(Inputs!EZ81+Inputs!EZ82)/SUM(Inputs!EZ81:EZ83))*(Inputs!EZ91+Inputs!EZ96-Inputs!EZ102-Inputs!EZ107))</f>
        <v>37797.8611808982</v>
      </c>
      <c r="EM34" s="0" t="n">
        <f aca="false">IF(EM14&gt;Residual_Month,0,Inputs!FA81+Inputs!FA82+IF(SUM(Inputs!FA81:FA83)=0,0,(Inputs!FA81+Inputs!FA82)/SUM(Inputs!FA81:FA83))*(Inputs!FA91+Inputs!FA96-Inputs!FA102-Inputs!FA107))</f>
        <v>37797.8611808982</v>
      </c>
      <c r="EN34" s="0" t="n">
        <f aca="false">IF(EN14&gt;Residual_Month,0,Inputs!FB81+Inputs!FB82+IF(SUM(Inputs!FB81:FB83)=0,0,(Inputs!FB81+Inputs!FB82)/SUM(Inputs!FB81:FB83))*(Inputs!FB91+Inputs!FB96-Inputs!FB102-Inputs!FB107))</f>
        <v>37797.8611808982</v>
      </c>
      <c r="EO34" s="0" t="n">
        <f aca="false">IF(EO14&gt;Residual_Month,0,Inputs!FC81+Inputs!FC82+IF(SUM(Inputs!FC81:FC83)=0,0,(Inputs!FC81+Inputs!FC82)/SUM(Inputs!FC81:FC83))*(Inputs!FC91+Inputs!FC96-Inputs!FC102-Inputs!FC107))</f>
        <v>37797.8611808982</v>
      </c>
      <c r="EP34" s="0" t="n">
        <f aca="false">IF(EP14&gt;Residual_Month,0,Inputs!FD81+Inputs!FD82+IF(SUM(Inputs!FD81:FD83)=0,0,(Inputs!FD81+Inputs!FD82)/SUM(Inputs!FD81:FD83))*(Inputs!FD91+Inputs!FD96-Inputs!FD102-Inputs!FD107))</f>
        <v>37797.8611808982</v>
      </c>
      <c r="EQ34" s="0" t="n">
        <f aca="false">IF(EQ14&gt;Residual_Month,0,Inputs!FE81+Inputs!FE82+IF(SUM(Inputs!FE81:FE83)=0,0,(Inputs!FE81+Inputs!FE82)/SUM(Inputs!FE81:FE83))*(Inputs!FE91+Inputs!FE96-Inputs!FE102-Inputs!FE107))</f>
        <v>37797.8611808982</v>
      </c>
      <c r="ER34" s="0" t="n">
        <f aca="false">IF(ER14&gt;Residual_Month,0,Inputs!FF81+Inputs!FF82+IF(SUM(Inputs!FF81:FF83)=0,0,(Inputs!FF81+Inputs!FF82)/SUM(Inputs!FF81:FF83))*(Inputs!FF91+Inputs!FF96-Inputs!FF102-Inputs!FF107))</f>
        <v>37788.3636666254</v>
      </c>
      <c r="ES34" s="0" t="n">
        <f aca="false">IF(ES14&gt;Residual_Month,0,Inputs!FG81+Inputs!FG82+IF(SUM(Inputs!FG81:FG83)=0,0,(Inputs!FG81+Inputs!FG82)/SUM(Inputs!FG81:FG83))*(Inputs!FG91+Inputs!FG96-Inputs!FG102-Inputs!FG107))</f>
        <v>37788.3636666254</v>
      </c>
      <c r="ET34" s="0" t="n">
        <f aca="false">IF(ET14&gt;Residual_Month,0,Inputs!FH81+Inputs!FH82+IF(SUM(Inputs!FH81:FH83)=0,0,(Inputs!FH81+Inputs!FH82)/SUM(Inputs!FH81:FH83))*(Inputs!FH91+Inputs!FH96-Inputs!FH102-Inputs!FH107))</f>
        <v>37788.3636666254</v>
      </c>
      <c r="EU34" s="0" t="n">
        <f aca="false">IF(EU14&gt;Residual_Month,0,Inputs!FI81+Inputs!FI82+IF(SUM(Inputs!FI81:FI83)=0,0,(Inputs!FI81+Inputs!FI82)/SUM(Inputs!FI81:FI83))*(Inputs!FI91+Inputs!FI96-Inputs!FI102-Inputs!FI107))</f>
        <v>37788.3636666254</v>
      </c>
      <c r="EV34" s="0" t="n">
        <f aca="false">IF(EV14&gt;Residual_Month,0,Inputs!FJ81+Inputs!FJ82+IF(SUM(Inputs!FJ81:FJ83)=0,0,(Inputs!FJ81+Inputs!FJ82)/SUM(Inputs!FJ81:FJ83))*(Inputs!FJ91+Inputs!FJ96-Inputs!FJ102-Inputs!FJ107))</f>
        <v>37788.3636666254</v>
      </c>
      <c r="EW34" s="0" t="n">
        <f aca="false">IF(EW14&gt;Residual_Month,0,Inputs!FK81+Inputs!FK82+IF(SUM(Inputs!FK81:FK83)=0,0,(Inputs!FK81+Inputs!FK82)/SUM(Inputs!FK81:FK83))*(Inputs!FK91+Inputs!FK96-Inputs!FK102-Inputs!FK107))</f>
        <v>37788.3636666254</v>
      </c>
      <c r="EX34" s="0" t="n">
        <f aca="false">IF(EX14&gt;Residual_Month,0,Inputs!FL81+Inputs!FL82+IF(SUM(Inputs!FL81:FL83)=0,0,(Inputs!FL81+Inputs!FL82)/SUM(Inputs!FL81:FL83))*(Inputs!FL91+Inputs!FL96-Inputs!FL102-Inputs!FL107))</f>
        <v>37788.3636666254</v>
      </c>
      <c r="EY34" s="0" t="n">
        <f aca="false">IF(EY14&gt;Residual_Month,0,Inputs!FM81+Inputs!FM82+IF(SUM(Inputs!FM81:FM83)=0,0,(Inputs!FM81+Inputs!FM82)/SUM(Inputs!FM81:FM83))*(Inputs!FM91+Inputs!FM96-Inputs!FM102-Inputs!FM107))</f>
        <v>37788.3636666254</v>
      </c>
      <c r="EZ34" s="0" t="n">
        <f aca="false">IF(EZ14&gt;Residual_Month,0,Inputs!FN81+Inputs!FN82+IF(SUM(Inputs!FN81:FN83)=0,0,(Inputs!FN81+Inputs!FN82)/SUM(Inputs!FN81:FN83))*(Inputs!FN91+Inputs!FN96-Inputs!FN102-Inputs!FN107))</f>
        <v>37788.3636666254</v>
      </c>
      <c r="FA34" s="0" t="n">
        <f aca="false">IF(FA14&gt;Residual_Month,0,Inputs!FO81+Inputs!FO82+IF(SUM(Inputs!FO81:FO83)=0,0,(Inputs!FO81+Inputs!FO82)/SUM(Inputs!FO81:FO83))*(Inputs!FO91+Inputs!FO96-Inputs!FO102-Inputs!FO107))</f>
        <v>37788.3636666254</v>
      </c>
      <c r="FB34" s="0" t="n">
        <f aca="false">IF(FB14&gt;Residual_Month,0,Inputs!FP81+Inputs!FP82+IF(SUM(Inputs!FP81:FP83)=0,0,(Inputs!FP81+Inputs!FP82)/SUM(Inputs!FP81:FP83))*(Inputs!FP91+Inputs!FP96-Inputs!FP102-Inputs!FP107))</f>
        <v>37788.3636666254</v>
      </c>
      <c r="FC34" s="0" t="n">
        <f aca="false">IF(FC14&gt;Residual_Month,0,Inputs!FQ81+Inputs!FQ82+IF(SUM(Inputs!FQ81:FQ83)=0,0,(Inputs!FQ81+Inputs!FQ82)/SUM(Inputs!FQ81:FQ83))*(Inputs!FQ91+Inputs!FQ96-Inputs!FQ102-Inputs!FQ107))</f>
        <v>37788.3636666254</v>
      </c>
      <c r="FD34" s="0" t="n">
        <f aca="false">IF(FD14&gt;Residual_Month,0,Inputs!FR81+Inputs!FR82+IF(SUM(Inputs!FR81:FR83)=0,0,(Inputs!FR81+Inputs!FR82)/SUM(Inputs!FR81:FR83))*(Inputs!FR91+Inputs!FR96-Inputs!FR102-Inputs!FR107))</f>
        <v>0</v>
      </c>
      <c r="FE34" s="0" t="n">
        <f aca="false">IF(FE14&gt;Residual_Month,0,Inputs!FS81+Inputs!FS82+IF(SUM(Inputs!FS81:FS83)=0,0,(Inputs!FS81+Inputs!FS82)/SUM(Inputs!FS81:FS83))*(Inputs!FS91+Inputs!FS96-Inputs!FS102-Inputs!FS107))</f>
        <v>0</v>
      </c>
      <c r="FF34" s="0" t="n">
        <f aca="false">IF(FF14&gt;Residual_Month,0,Inputs!FT81+Inputs!FT82+IF(SUM(Inputs!FT81:FT83)=0,0,(Inputs!FT81+Inputs!FT82)/SUM(Inputs!FT81:FT83))*(Inputs!FT91+Inputs!FT96-Inputs!FT102-Inputs!FT107))</f>
        <v>0</v>
      </c>
      <c r="FG34" s="0" t="n">
        <f aca="false">IF(FG14&gt;Residual_Month,0,Inputs!FU81+Inputs!FU82+IF(SUM(Inputs!FU81:FU83)=0,0,(Inputs!FU81+Inputs!FU82)/SUM(Inputs!FU81:FU83))*(Inputs!FU91+Inputs!FU96-Inputs!FU102-Inputs!FU107))</f>
        <v>0</v>
      </c>
      <c r="FH34" s="0" t="n">
        <f aca="false">IF(FH14&gt;Residual_Month,0,Inputs!FV81+Inputs!FV82+IF(SUM(Inputs!FV81:FV83)=0,0,(Inputs!FV81+Inputs!FV82)/SUM(Inputs!FV81:FV83))*(Inputs!FV91+Inputs!FV96-Inputs!FV102-Inputs!FV107))</f>
        <v>0</v>
      </c>
      <c r="FI34" s="0" t="n">
        <f aca="false">IF(FI14&gt;Residual_Month,0,Inputs!FW81+Inputs!FW82+IF(SUM(Inputs!FW81:FW83)=0,0,(Inputs!FW81+Inputs!FW82)/SUM(Inputs!FW81:FW83))*(Inputs!FW91+Inputs!FW96-Inputs!FW102-Inputs!FW107))</f>
        <v>0</v>
      </c>
      <c r="FJ34" s="0" t="n">
        <f aca="false">IF(FJ14&gt;Residual_Month,0,Inputs!FX81+Inputs!FX82+IF(SUM(Inputs!FX81:FX83)=0,0,(Inputs!FX81+Inputs!FX82)/SUM(Inputs!FX81:FX83))*(Inputs!FX91+Inputs!FX96-Inputs!FX102-Inputs!FX107))</f>
        <v>0</v>
      </c>
      <c r="FK34" s="0" t="n">
        <f aca="false">IF(FK14&gt;Residual_Month,0,Inputs!FY81+Inputs!FY82+IF(SUM(Inputs!FY81:FY83)=0,0,(Inputs!FY81+Inputs!FY82)/SUM(Inputs!FY81:FY83))*(Inputs!FY91+Inputs!FY96-Inputs!FY102-Inputs!FY107))</f>
        <v>0</v>
      </c>
      <c r="FL34" s="0" t="n">
        <f aca="false">IF(FL14&gt;Residual_Month,0,Inputs!FZ81+Inputs!FZ82+IF(SUM(Inputs!FZ81:FZ83)=0,0,(Inputs!FZ81+Inputs!FZ82)/SUM(Inputs!FZ81:FZ83))*(Inputs!FZ91+Inputs!FZ96-Inputs!FZ102-Inputs!FZ107))</f>
        <v>0</v>
      </c>
      <c r="FM34" s="0" t="n">
        <f aca="false">IF(FM14&gt;Residual_Month,0,Inputs!GA81+Inputs!GA82+IF(SUM(Inputs!GA81:GA83)=0,0,(Inputs!GA81+Inputs!GA82)/SUM(Inputs!GA81:GA83))*(Inputs!GA91+Inputs!GA96-Inputs!GA102-Inputs!GA107))</f>
        <v>0</v>
      </c>
      <c r="FN34" s="0" t="n">
        <f aca="false">IF(FN14&gt;Residual_Month,0,Inputs!GB81+Inputs!GB82+IF(SUM(Inputs!GB81:GB83)=0,0,(Inputs!GB81+Inputs!GB82)/SUM(Inputs!GB81:GB83))*(Inputs!GB91+Inputs!GB96-Inputs!GB102-Inputs!GB107))</f>
        <v>0</v>
      </c>
      <c r="FO34" s="0" t="n">
        <f aca="false">IF(FO14&gt;Residual_Month,0,Inputs!GC81+Inputs!GC82+IF(SUM(Inputs!GC81:GC83)=0,0,(Inputs!GC81+Inputs!GC82)/SUM(Inputs!GC81:GC83))*(Inputs!GC91+Inputs!GC96-Inputs!GC102-Inputs!GC107))</f>
        <v>0</v>
      </c>
      <c r="FP34" s="0" t="n">
        <f aca="false">IF(FP14&gt;Residual_Month,0,Inputs!GD81+Inputs!GD82+IF(SUM(Inputs!GD81:GD83)=0,0,(Inputs!GD81+Inputs!GD82)/SUM(Inputs!GD81:GD83))*(Inputs!GD91+Inputs!GD96-Inputs!GD102-Inputs!GD107))</f>
        <v>0</v>
      </c>
      <c r="FQ34" s="0" t="n">
        <f aca="false">IF(FQ14&gt;Residual_Month,0,Inputs!GE81+Inputs!GE82+IF(SUM(Inputs!GE81:GE83)=0,0,(Inputs!GE81+Inputs!GE82)/SUM(Inputs!GE81:GE83))*(Inputs!GE91+Inputs!GE96-Inputs!GE102-Inputs!GE107))</f>
        <v>0</v>
      </c>
      <c r="FR34" s="0" t="n">
        <f aca="false">IF(FR14&gt;Residual_Month,0,Inputs!GF81+Inputs!GF82+IF(SUM(Inputs!GF81:GF83)=0,0,(Inputs!GF81+Inputs!GF82)/SUM(Inputs!GF81:GF83))*(Inputs!GF91+Inputs!GF96-Inputs!GF102-Inputs!GF107))</f>
        <v>0</v>
      </c>
      <c r="FS34" s="0" t="n">
        <f aca="false">IF(FS14&gt;Residual_Month,0,Inputs!GG81+Inputs!GG82+IF(SUM(Inputs!GG81:GG83)=0,0,(Inputs!GG81+Inputs!GG82)/SUM(Inputs!GG81:GG83))*(Inputs!GG91+Inputs!GG96-Inputs!GG102-Inputs!GG107))</f>
        <v>0</v>
      </c>
      <c r="FT34" s="0" t="n">
        <f aca="false">IF(FT14&gt;Residual_Month,0,Inputs!GH81+Inputs!GH82+IF(SUM(Inputs!GH81:GH83)=0,0,(Inputs!GH81+Inputs!GH82)/SUM(Inputs!GH81:GH83))*(Inputs!GH91+Inputs!GH96-Inputs!GH102-Inputs!GH107))</f>
        <v>0</v>
      </c>
      <c r="FU34" s="0" t="n">
        <f aca="false">IF(FU14&gt;Residual_Month,0,Inputs!GI81+Inputs!GI82+IF(SUM(Inputs!GI81:GI83)=0,0,(Inputs!GI81+Inputs!GI82)/SUM(Inputs!GI81:GI83))*(Inputs!GI91+Inputs!GI96-Inputs!GI102-Inputs!GI107))</f>
        <v>0</v>
      </c>
      <c r="FV34" s="0" t="n">
        <f aca="false">IF(FV14&gt;Residual_Month,0,Inputs!GJ81+Inputs!GJ82+IF(SUM(Inputs!GJ81:GJ83)=0,0,(Inputs!GJ81+Inputs!GJ82)/SUM(Inputs!GJ81:GJ83))*(Inputs!GJ91+Inputs!GJ96-Inputs!GJ102-Inputs!GJ107))</f>
        <v>0</v>
      </c>
      <c r="FW34" s="0" t="n">
        <f aca="false">IF(FW14&gt;Residual_Month,0,Inputs!GK81+Inputs!GK82+IF(SUM(Inputs!GK81:GK83)=0,0,(Inputs!GK81+Inputs!GK82)/SUM(Inputs!GK81:GK83))*(Inputs!GK91+Inputs!GK96-Inputs!GK102-Inputs!GK107))</f>
        <v>0</v>
      </c>
      <c r="FX34" s="0" t="n">
        <f aca="false">IF(FX14&gt;Residual_Month,0,Inputs!GL81+Inputs!GL82+IF(SUM(Inputs!GL81:GL83)=0,0,(Inputs!GL81+Inputs!GL82)/SUM(Inputs!GL81:GL83))*(Inputs!GL91+Inputs!GL96-Inputs!GL102-Inputs!GL107))</f>
        <v>0</v>
      </c>
      <c r="FY34" s="0" t="n">
        <f aca="false">IF(FY14&gt;Residual_Month,0,Inputs!GM81+Inputs!GM82+IF(SUM(Inputs!GM81:GM83)=0,0,(Inputs!GM81+Inputs!GM82)/SUM(Inputs!GM81:GM83))*(Inputs!GM91+Inputs!GM96-Inputs!GM102-Inputs!GM107))</f>
        <v>0</v>
      </c>
      <c r="FZ34" s="0" t="n">
        <f aca="false">IF(FZ14&gt;Residual_Month,0,Inputs!GN81+Inputs!GN82+IF(SUM(Inputs!GN81:GN83)=0,0,(Inputs!GN81+Inputs!GN82)/SUM(Inputs!GN81:GN83))*(Inputs!GN91+Inputs!GN96-Inputs!GN102-Inputs!GN107))</f>
        <v>0</v>
      </c>
      <c r="GA34" s="0" t="n">
        <f aca="false">IF(GA14&gt;Residual_Month,0,Inputs!GO81+Inputs!GO82+IF(SUM(Inputs!GO81:GO83)=0,0,(Inputs!GO81+Inputs!GO82)/SUM(Inputs!GO81:GO83))*(Inputs!GO91+Inputs!GO96-Inputs!GO102-Inputs!GO107))</f>
        <v>0</v>
      </c>
      <c r="GB34" s="0" t="n">
        <f aca="false">IF(GB14&gt;Residual_Month,0,Inputs!GP81+Inputs!GP82+IF(SUM(Inputs!GP81:GP83)=0,0,(Inputs!GP81+Inputs!GP82)/SUM(Inputs!GP81:GP83))*(Inputs!GP91+Inputs!GP96-Inputs!GP102-Inputs!GP107))</f>
        <v>0</v>
      </c>
      <c r="GC34" s="0" t="n">
        <f aca="false">IF(GC14&gt;Residual_Month,0,Inputs!GQ81+Inputs!GQ82+IF(SUM(Inputs!GQ81:GQ83)=0,0,(Inputs!GQ81+Inputs!GQ82)/SUM(Inputs!GQ81:GQ83))*(Inputs!GQ91+Inputs!GQ96-Inputs!GQ102-Inputs!GQ107))</f>
        <v>0</v>
      </c>
      <c r="GD34" s="0" t="n">
        <f aca="false">IF(GD14&gt;Residual_Month,0,Inputs!GR81+Inputs!GR82+IF(SUM(Inputs!GR81:GR83)=0,0,(Inputs!GR81+Inputs!GR82)/SUM(Inputs!GR81:GR83))*(Inputs!GR91+Inputs!GR96-Inputs!GR102-Inputs!GR107))</f>
        <v>0</v>
      </c>
      <c r="GE34" s="0" t="n">
        <f aca="false">IF(GE14&gt;Residual_Month,0,Inputs!GS81+Inputs!GS82+IF(SUM(Inputs!GS81:GS83)=0,0,(Inputs!GS81+Inputs!GS82)/SUM(Inputs!GS81:GS83))*(Inputs!GS91+Inputs!GS96-Inputs!GS102-Inputs!GS107))</f>
        <v>0</v>
      </c>
      <c r="GF34" s="0" t="n">
        <f aca="false">IF(GF14&gt;Residual_Month,0,Inputs!GT81+Inputs!GT82+IF(SUM(Inputs!GT81:GT83)=0,0,(Inputs!GT81+Inputs!GT82)/SUM(Inputs!GT81:GT83))*(Inputs!GT91+Inputs!GT96-Inputs!GT102-Inputs!GT107))</f>
        <v>0</v>
      </c>
      <c r="GG34" s="0" t="n">
        <f aca="false">IF(GG14&gt;Residual_Month,0,Inputs!GU81+Inputs!GU82+IF(SUM(Inputs!GU81:GU83)=0,0,(Inputs!GU81+Inputs!GU82)/SUM(Inputs!GU81:GU83))*(Inputs!GU91+Inputs!GU96-Inputs!GU102-Inputs!GU107))</f>
        <v>0</v>
      </c>
      <c r="GH34" s="0" t="n">
        <f aca="false">IF(GH14&gt;Residual_Month,0,Inputs!GV81+Inputs!GV82+IF(SUM(Inputs!GV81:GV83)=0,0,(Inputs!GV81+Inputs!GV82)/SUM(Inputs!GV81:GV83))*(Inputs!GV91+Inputs!GV96-Inputs!GV102-Inputs!GV107))</f>
        <v>0</v>
      </c>
      <c r="GI34" s="0" t="n">
        <f aca="false">IF(GI14&gt;Residual_Month,0,Inputs!GW81+Inputs!GW82+IF(SUM(Inputs!GW81:GW83)=0,0,(Inputs!GW81+Inputs!GW82)/SUM(Inputs!GW81:GW83))*(Inputs!GW91+Inputs!GW96-Inputs!GW102-Inputs!GW107))</f>
        <v>0</v>
      </c>
      <c r="GJ34" s="0" t="n">
        <f aca="false">IF(GJ14&gt;Residual_Month,0,Inputs!GX81+Inputs!GX82+IF(SUM(Inputs!GX81:GX83)=0,0,(Inputs!GX81+Inputs!GX82)/SUM(Inputs!GX81:GX83))*(Inputs!GX91+Inputs!GX96-Inputs!GX102-Inputs!GX107))</f>
        <v>0</v>
      </c>
      <c r="GK34" s="0" t="n">
        <f aca="false">IF(GK14&gt;Residual_Month,0,Inputs!GY81+Inputs!GY82+IF(SUM(Inputs!GY81:GY83)=0,0,(Inputs!GY81+Inputs!GY82)/SUM(Inputs!GY81:GY83))*(Inputs!GY91+Inputs!GY96-Inputs!GY102-Inputs!GY107))</f>
        <v>0</v>
      </c>
      <c r="GL34" s="0" t="n">
        <f aca="false">IF(GL14&gt;Residual_Month,0,Inputs!GZ81+Inputs!GZ82+IF(SUM(Inputs!GZ81:GZ83)=0,0,(Inputs!GZ81+Inputs!GZ82)/SUM(Inputs!GZ81:GZ83))*(Inputs!GZ91+Inputs!GZ96-Inputs!GZ102-Inputs!GZ107))</f>
        <v>0</v>
      </c>
      <c r="GM34" s="0" t="n">
        <f aca="false">IF(GM14&gt;Residual_Month,0,Inputs!HA81+Inputs!HA82+IF(SUM(Inputs!HA81:HA83)=0,0,(Inputs!HA81+Inputs!HA82)/SUM(Inputs!HA81:HA83))*(Inputs!HA91+Inputs!HA96-Inputs!HA102-Inputs!HA107))</f>
        <v>0</v>
      </c>
      <c r="GN34" s="0" t="n">
        <f aca="false">IF(GN14&gt;Residual_Month,0,Inputs!HB81+Inputs!HB82+IF(SUM(Inputs!HB81:HB83)=0,0,(Inputs!HB81+Inputs!HB82)/SUM(Inputs!HB81:HB83))*(Inputs!HB91+Inputs!HB96-Inputs!HB102-Inputs!HB107))</f>
        <v>0</v>
      </c>
      <c r="GO34" s="0" t="n">
        <f aca="false">IF(GO14&gt;Residual_Month,0,Inputs!HC81+Inputs!HC82+IF(SUM(Inputs!HC81:HC83)=0,0,(Inputs!HC81+Inputs!HC82)/SUM(Inputs!HC81:HC83))*(Inputs!HC91+Inputs!HC96-Inputs!HC102-Inputs!HC107))</f>
        <v>0</v>
      </c>
      <c r="GP34" s="0" t="n">
        <f aca="false">IF(GP14&gt;Residual_Month,0,Inputs!HD81+Inputs!HD82+IF(SUM(Inputs!HD81:HD83)=0,0,(Inputs!HD81+Inputs!HD82)/SUM(Inputs!HD81:HD83))*(Inputs!HD91+Inputs!HD96-Inputs!HD102-Inputs!HD107))</f>
        <v>0</v>
      </c>
      <c r="GQ34" s="0" t="n">
        <f aca="false">IF(GQ14&gt;Residual_Month,0,Inputs!HE81+Inputs!HE82+IF(SUM(Inputs!HE81:HE83)=0,0,(Inputs!HE81+Inputs!HE82)/SUM(Inputs!HE81:HE83))*(Inputs!HE91+Inputs!HE96-Inputs!HE102-Inputs!HE107))</f>
        <v>0</v>
      </c>
      <c r="GR34" s="0" t="n">
        <f aca="false">IF(GR14&gt;Residual_Month,0,Inputs!HF81+Inputs!HF82+IF(SUM(Inputs!HF81:HF83)=0,0,(Inputs!HF81+Inputs!HF82)/SUM(Inputs!HF81:HF83))*(Inputs!HF91+Inputs!HF96-Inputs!HF102-Inputs!HF107))</f>
        <v>0</v>
      </c>
      <c r="GS34" s="0" t="n">
        <f aca="false">IF(GS14&gt;Residual_Month,0,Inputs!HG81+Inputs!HG82+IF(SUM(Inputs!HG81:HG83)=0,0,(Inputs!HG81+Inputs!HG82)/SUM(Inputs!HG81:HG83))*(Inputs!HG91+Inputs!HG96-Inputs!HG102-Inputs!HG107))</f>
        <v>0</v>
      </c>
      <c r="GT34" s="0" t="n">
        <f aca="false">IF(GT14&gt;Residual_Month,0,Inputs!HH81+Inputs!HH82+IF(SUM(Inputs!HH81:HH83)=0,0,(Inputs!HH81+Inputs!HH82)/SUM(Inputs!HH81:HH83))*(Inputs!HH91+Inputs!HH96-Inputs!HH102-Inputs!HH107))</f>
        <v>0</v>
      </c>
      <c r="GU34" s="0" t="n">
        <f aca="false">IF(GU14&gt;Residual_Month,0,Inputs!HI81+Inputs!HI82+IF(SUM(Inputs!HI81:HI83)=0,0,(Inputs!HI81+Inputs!HI82)/SUM(Inputs!HI81:HI83))*(Inputs!HI91+Inputs!HI96-Inputs!HI102-Inputs!HI107))</f>
        <v>0</v>
      </c>
      <c r="GV34" s="0" t="n">
        <f aca="false">IF(GV14&gt;Residual_Month,0,Inputs!HJ81+Inputs!HJ82+IF(SUM(Inputs!HJ81:HJ83)=0,0,(Inputs!HJ81+Inputs!HJ82)/SUM(Inputs!HJ81:HJ83))*(Inputs!HJ91+Inputs!HJ96-Inputs!HJ102-Inputs!HJ107))</f>
        <v>0</v>
      </c>
      <c r="GW34" s="0" t="n">
        <f aca="false">IF(GW14&gt;Residual_Month,0,Inputs!HK81+Inputs!HK82+IF(SUM(Inputs!HK81:HK83)=0,0,(Inputs!HK81+Inputs!HK82)/SUM(Inputs!HK81:HK83))*(Inputs!HK91+Inputs!HK96-Inputs!HK102-Inputs!HK107))</f>
        <v>0</v>
      </c>
      <c r="GX34" s="0" t="n">
        <f aca="false">IF(GX14&gt;Residual_Month,0,Inputs!HL81+Inputs!HL82+IF(SUM(Inputs!HL81:HL83)=0,0,(Inputs!HL81+Inputs!HL82)/SUM(Inputs!HL81:HL83))*(Inputs!HL91+Inputs!HL96-Inputs!HL102-Inputs!HL107))</f>
        <v>0</v>
      </c>
      <c r="GY34" s="0" t="n">
        <f aca="false">IF(GY14&gt;Residual_Month,0,Inputs!HM81+Inputs!HM82+IF(SUM(Inputs!HM81:HM83)=0,0,(Inputs!HM81+Inputs!HM82)/SUM(Inputs!HM81:HM83))*(Inputs!HM91+Inputs!HM96-Inputs!HM102-Inputs!HM107))</f>
        <v>0</v>
      </c>
      <c r="GZ34" s="0" t="n">
        <f aca="false">IF(GZ14&gt;Residual_Month,0,Inputs!HN81+Inputs!HN82+IF(SUM(Inputs!HN81:HN83)=0,0,(Inputs!HN81+Inputs!HN82)/SUM(Inputs!HN81:HN83))*(Inputs!HN91+Inputs!HN96-Inputs!HN102-Inputs!HN107))</f>
        <v>0</v>
      </c>
      <c r="HA34" s="0" t="n">
        <f aca="false">IF(HA14&gt;Residual_Month,0,Inputs!HO81+Inputs!HO82+IF(SUM(Inputs!HO81:HO83)=0,0,(Inputs!HO81+Inputs!HO82)/SUM(Inputs!HO81:HO83))*(Inputs!HO91+Inputs!HO96-Inputs!HO102-Inputs!HO107))</f>
        <v>0</v>
      </c>
      <c r="HB34" s="0" t="n">
        <f aca="false">IF(HB14&gt;Residual_Month,0,Inputs!HP81+Inputs!HP82+IF(SUM(Inputs!HP81:HP83)=0,0,(Inputs!HP81+Inputs!HP82)/SUM(Inputs!HP81:HP83))*(Inputs!HP91+Inputs!HP96-Inputs!HP102-Inputs!HP107))</f>
        <v>0</v>
      </c>
      <c r="HC34" s="0" t="n">
        <f aca="false">IF(HC14&gt;Residual_Month,0,Inputs!HQ81+Inputs!HQ82+IF(SUM(Inputs!HQ81:HQ83)=0,0,(Inputs!HQ81+Inputs!HQ82)/SUM(Inputs!HQ81:HQ83))*(Inputs!HQ91+Inputs!HQ96-Inputs!HQ102-Inputs!HQ107))</f>
        <v>0</v>
      </c>
      <c r="HD34" s="0" t="n">
        <f aca="false">IF(HD14&gt;Residual_Month,0,Inputs!HR81+Inputs!HR82+IF(SUM(Inputs!HR81:HR83)=0,0,(Inputs!HR81+Inputs!HR82)/SUM(Inputs!HR81:HR83))*(Inputs!HR91+Inputs!HR96-Inputs!HR102-Inputs!HR107))</f>
        <v>0</v>
      </c>
      <c r="HE34" s="0" t="n">
        <f aca="false">IF(HE14&gt;Residual_Month,0,Inputs!HS81+Inputs!HS82+IF(SUM(Inputs!HS81:HS83)=0,0,(Inputs!HS81+Inputs!HS82)/SUM(Inputs!HS81:HS83))*(Inputs!HS91+Inputs!HS96-Inputs!HS102-Inputs!HS107))</f>
        <v>0</v>
      </c>
      <c r="HF34" s="0" t="n">
        <f aca="false">IF(HF14&gt;Residual_Month,0,Inputs!HT81+Inputs!HT82+IF(SUM(Inputs!HT81:HT83)=0,0,(Inputs!HT81+Inputs!HT82)/SUM(Inputs!HT81:HT83))*(Inputs!HT91+Inputs!HT96-Inputs!HT102-Inputs!HT107))</f>
        <v>0</v>
      </c>
      <c r="HG34" s="0" t="n">
        <f aca="false">IF(HG14&gt;Residual_Month,0,Inputs!HU81+Inputs!HU82+IF(SUM(Inputs!HU81:HU83)=0,0,(Inputs!HU81+Inputs!HU82)/SUM(Inputs!HU81:HU83))*(Inputs!HU91+Inputs!HU96-Inputs!HU102-Inputs!HU107))</f>
        <v>0</v>
      </c>
      <c r="HH34" s="0" t="n">
        <f aca="false">IF(HH14&gt;Residual_Month,0,Inputs!HV81+Inputs!HV82+IF(SUM(Inputs!HV81:HV83)=0,0,(Inputs!HV81+Inputs!HV82)/SUM(Inputs!HV81:HV83))*(Inputs!HV91+Inputs!HV96-Inputs!HV102-Inputs!HV107))</f>
        <v>0</v>
      </c>
      <c r="HI34" s="0" t="n">
        <f aca="false">IF(HI14&gt;Residual_Month,0,Inputs!HW81+Inputs!HW82+IF(SUM(Inputs!HW81:HW83)=0,0,(Inputs!HW81+Inputs!HW82)/SUM(Inputs!HW81:HW83))*(Inputs!HW91+Inputs!HW96-Inputs!HW102-Inputs!HW107))</f>
        <v>0</v>
      </c>
      <c r="HJ34" s="0" t="n">
        <f aca="false">IF(HJ14&gt;Residual_Month,0,Inputs!HX81+Inputs!HX82+IF(SUM(Inputs!HX81:HX83)=0,0,(Inputs!HX81+Inputs!HX82)/SUM(Inputs!HX81:HX83))*(Inputs!HX91+Inputs!HX96-Inputs!HX102-Inputs!HX107))</f>
        <v>0</v>
      </c>
      <c r="HK34" s="0" t="n">
        <f aca="false">IF(HK14&gt;Residual_Month,0,Inputs!HY81+Inputs!HY82+IF(SUM(Inputs!HY81:HY83)=0,0,(Inputs!HY81+Inputs!HY82)/SUM(Inputs!HY81:HY83))*(Inputs!HY91+Inputs!HY96-Inputs!HY102-Inputs!HY107))</f>
        <v>0</v>
      </c>
      <c r="HL34" s="0" t="n">
        <f aca="false">IF(HL14&gt;Residual_Month,0,Inputs!HZ81+Inputs!HZ82+IF(SUM(Inputs!HZ81:HZ83)=0,0,(Inputs!HZ81+Inputs!HZ82)/SUM(Inputs!HZ81:HZ83))*(Inputs!HZ91+Inputs!HZ96-Inputs!HZ102-Inputs!HZ107))</f>
        <v>0</v>
      </c>
      <c r="HM34" s="0" t="n">
        <f aca="false">IF(HM14&gt;Residual_Month,0,Inputs!IA81+Inputs!IA82+IF(SUM(Inputs!IA81:IA83)=0,0,(Inputs!IA81+Inputs!IA82)/SUM(Inputs!IA81:IA83))*(Inputs!IA91+Inputs!IA96-Inputs!IA102-Inputs!IA107))</f>
        <v>0</v>
      </c>
      <c r="HN34" s="0" t="n">
        <f aca="false">IF(HN14&gt;Residual_Month,0,Inputs!IB81+Inputs!IB82+IF(SUM(Inputs!IB81:IB83)=0,0,(Inputs!IB81+Inputs!IB82)/SUM(Inputs!IB81:IB83))*(Inputs!IB91+Inputs!IB96-Inputs!IB102-Inputs!IB107))</f>
        <v>0</v>
      </c>
      <c r="HO34" s="0" t="n">
        <f aca="false">IF(HO14&gt;Residual_Month,0,Inputs!IC81+Inputs!IC82+IF(SUM(Inputs!IC81:IC83)=0,0,(Inputs!IC81+Inputs!IC82)/SUM(Inputs!IC81:IC83))*(Inputs!IC91+Inputs!IC96-Inputs!IC102-Inputs!IC107))</f>
        <v>0</v>
      </c>
      <c r="HP34" s="0" t="n">
        <f aca="false">IF(HP14&gt;Residual_Month,0,Inputs!ID81+Inputs!ID82+IF(SUM(Inputs!ID81:ID83)=0,0,(Inputs!ID81+Inputs!ID82)/SUM(Inputs!ID81:ID83))*(Inputs!ID91+Inputs!ID96-Inputs!ID102-Inputs!ID107))</f>
        <v>0</v>
      </c>
      <c r="HQ34" s="0" t="n">
        <f aca="false">IF(HQ14&gt;Residual_Month,0,Inputs!IE81+Inputs!IE82+IF(SUM(Inputs!IE81:IE83)=0,0,(Inputs!IE81+Inputs!IE82)/SUM(Inputs!IE81:IE83))*(Inputs!IE91+Inputs!IE96-Inputs!IE102-Inputs!IE107))</f>
        <v>0</v>
      </c>
      <c r="HR34" s="0" t="n">
        <f aca="false">IF(HR14&gt;Residual_Month,0,Inputs!IF81+Inputs!IF82+IF(SUM(Inputs!IF81:IF83)=0,0,(Inputs!IF81+Inputs!IF82)/SUM(Inputs!IF81:IF83))*(Inputs!IF91+Inputs!IF96-Inputs!IF102-Inputs!IF107))</f>
        <v>0</v>
      </c>
      <c r="HS34" s="0" t="n">
        <f aca="false">IF(HS14&gt;Residual_Month,0,Inputs!IG81+Inputs!IG82+IF(SUM(Inputs!IG81:IG83)=0,0,(Inputs!IG81+Inputs!IG82)/SUM(Inputs!IG81:IG83))*(Inputs!IG91+Inputs!IG96-Inputs!IG102-Inputs!IG107))</f>
        <v>0</v>
      </c>
      <c r="HT34" s="0" t="n">
        <f aca="false">IF(HT14&gt;Residual_Month,0,Inputs!IH81+Inputs!IH82+IF(SUM(Inputs!IH81:IH83)=0,0,(Inputs!IH81+Inputs!IH82)/SUM(Inputs!IH81:IH83))*(Inputs!IH91+Inputs!IH96-Inputs!IH102-Inputs!IH107))</f>
        <v>0</v>
      </c>
      <c r="HU34" s="0" t="n">
        <f aca="false">IF(HU14&gt;Residual_Month,0,Inputs!II81+Inputs!II82+IF(SUM(Inputs!II81:II83)=0,0,(Inputs!II81+Inputs!II82)/SUM(Inputs!II81:II83))*(Inputs!II91+Inputs!II96-Inputs!II102-Inputs!II107))</f>
        <v>0</v>
      </c>
      <c r="HV34" s="0" t="n">
        <f aca="false">IF(HV14&gt;Residual_Month,0,Inputs!IJ81+Inputs!IJ82+IF(SUM(Inputs!IJ81:IJ83)=0,0,(Inputs!IJ81+Inputs!IJ82)/SUM(Inputs!IJ81:IJ83))*(Inputs!IJ91+Inputs!IJ96-Inputs!IJ102-Inputs!IJ107))</f>
        <v>0</v>
      </c>
      <c r="HW34" s="0" t="n">
        <f aca="false">IF(HW14&gt;Residual_Month,0,Inputs!IK81+Inputs!IK82+IF(SUM(Inputs!IK81:IK83)=0,0,(Inputs!IK81+Inputs!IK82)/SUM(Inputs!IK81:IK83))*(Inputs!IK91+Inputs!IK96-Inputs!IK102-Inputs!IK107))</f>
        <v>0</v>
      </c>
      <c r="HX34" s="0" t="n">
        <f aca="false">IF(HX14&gt;Residual_Month,0,Inputs!IL81+Inputs!IL82+IF(SUM(Inputs!IL81:IL83)=0,0,(Inputs!IL81+Inputs!IL82)/SUM(Inputs!IL81:IL83))*(Inputs!IL91+Inputs!IL96-Inputs!IL102-Inputs!IL107))</f>
        <v>0</v>
      </c>
      <c r="HY34" s="0" t="n">
        <f aca="false">IF(HY14&gt;Residual_Month,0,Inputs!IM81+Inputs!IM82+IF(SUM(Inputs!IM81:IM83)=0,0,(Inputs!IM81+Inputs!IM82)/SUM(Inputs!IM81:IM83))*(Inputs!IM91+Inputs!IM96-Inputs!IM102-Inputs!IM107))</f>
        <v>0</v>
      </c>
      <c r="HZ34" s="0" t="n">
        <f aca="false">IF(HZ14&gt;Residual_Month,0,Inputs!IN81+Inputs!IN82+IF(SUM(Inputs!IN81:IN83)=0,0,(Inputs!IN81+Inputs!IN82)/SUM(Inputs!IN81:IN83))*(Inputs!IN91+Inputs!IN96-Inputs!IN102-Inputs!IN107))</f>
        <v>0</v>
      </c>
      <c r="IA34" s="0" t="n">
        <f aca="false">IF(IA14&gt;Residual_Month,0,Inputs!IO81+Inputs!IO82+IF(SUM(Inputs!IO81:IO83)=0,0,(Inputs!IO81+Inputs!IO82)/SUM(Inputs!IO81:IO83))*(Inputs!IO91+Inputs!IO96-Inputs!IO102-Inputs!IO107))</f>
        <v>0</v>
      </c>
      <c r="IB34" s="0" t="n">
        <f aca="false">IF(IB14&gt;Residual_Month,0,Inputs!IP81+Inputs!IP82+IF(SUM(Inputs!IP81:IP83)=0,0,(Inputs!IP81+Inputs!IP82)/SUM(Inputs!IP81:IP83))*(Inputs!IP91+Inputs!IP96-Inputs!IP102-Inputs!IP107))</f>
        <v>0</v>
      </c>
      <c r="IC34" s="0" t="n">
        <f aca="false">IF(IC14&gt;Residual_Month,0,Inputs!IQ81+Inputs!IQ82+IF(SUM(Inputs!IQ81:IQ83)=0,0,(Inputs!IQ81+Inputs!IQ82)/SUM(Inputs!IQ81:IQ83))*(Inputs!IQ91+Inputs!IQ96-Inputs!IQ102-Inputs!IQ107))</f>
        <v>0</v>
      </c>
      <c r="ID34" s="0" t="n">
        <f aca="false">IF(ID14&gt;Residual_Month,0,Inputs!IR81+Inputs!IR82+IF(SUM(Inputs!IR81:IR83)=0,0,(Inputs!IR81+Inputs!IR82)/SUM(Inputs!IR81:IR83))*(Inputs!IR91+Inputs!IR96-Inputs!IR102-Inputs!IR107))</f>
        <v>0</v>
      </c>
      <c r="IE34" s="0" t="n">
        <f aca="false">IF(IE14&gt;Residual_Month,0,Inputs!IS81+Inputs!IS82+IF(SUM(Inputs!IS81:IS83)=0,0,(Inputs!IS81+Inputs!IS82)/SUM(Inputs!IS81:IS83))*(Inputs!IS91+Inputs!IS96-Inputs!IS102-Inputs!IS107))</f>
        <v>0</v>
      </c>
      <c r="IF34" s="0" t="n">
        <f aca="false">IF(IF14&gt;Residual_Month,0,Inputs!IT81+Inputs!IT82+IF(SUM(Inputs!IT81:IT83)=0,0,(Inputs!IT81+Inputs!IT82)/SUM(Inputs!IT81:IT83))*(Inputs!IT91+Inputs!IT96-Inputs!IT102-Inputs!IT107))</f>
        <v>0</v>
      </c>
      <c r="IG34" s="0" t="n">
        <f aca="false">IF(IG14&gt;Residual_Month,0,Inputs!IU81+Inputs!IU82+IF(SUM(Inputs!IU81:IU83)=0,0,(Inputs!IU81+Inputs!IU82)/SUM(Inputs!IU81:IU83))*(Inputs!IU91+Inputs!IU96-Inputs!IU102-Inputs!IU107))</f>
        <v>0</v>
      </c>
      <c r="IH34" s="0" t="n">
        <f aca="false">IF(IH14&gt;Residual_Month,0,Inputs!IV81+Inputs!IV82+IF(SUM(Inputs!IV81:IV83)=0,0,(Inputs!IV81+Inputs!IV82)/SUM(Inputs!IV81:IV83))*(Inputs!IV91+Inputs!IV96-Inputs!IV102-Inputs!IV107))</f>
        <v>0</v>
      </c>
      <c r="II34" s="0" t="n">
        <f aca="false">IF(II14&gt;Residual_Month,0,Inputs!IW81+Inputs!IW82+IF(SUM(Inputs!IW81:IW83)=0,0,(Inputs!IW81+Inputs!IW82)/SUM(Inputs!IW81:IW83))*(Inputs!IW91+Inputs!IW96-Inputs!IW102-Inputs!IW107))</f>
        <v>0</v>
      </c>
    </row>
    <row r="35" customFormat="false" ht="15" hidden="false" customHeight="false" outlineLevel="0" collapsed="false">
      <c r="B35" s="0" t="s">
        <v>124</v>
      </c>
      <c r="C35" s="1" t="n">
        <f aca="false">Discount_Rate_Spec</f>
        <v>0.0925</v>
      </c>
      <c r="D35" s="0" t="n">
        <f aca="false">IF(D14&gt;Residual_Month,0,Inputs!R83+IF(SUM(Inputs!R81:R83)=0,0,Inputs!R83/SUM(Inputs!R81:R83))*(Inputs!R91+Inputs!R96-Inputs!R102-Inputs!R107))</f>
        <v>0</v>
      </c>
      <c r="E35" s="0" t="n">
        <f aca="false">IF(E14&gt;Residual_Month,0,Inputs!S83+IF(SUM(Inputs!S81:S83)=0,0,Inputs!S83/SUM(Inputs!S81:S83))*(Inputs!S91+Inputs!S96-Inputs!S102-Inputs!S107))</f>
        <v>0</v>
      </c>
      <c r="F35" s="0" t="n">
        <f aca="false">IF(F14&gt;Residual_Month,0,Inputs!T83+IF(SUM(Inputs!T81:T83)=0,0,Inputs!T83/SUM(Inputs!T81:T83))*(Inputs!T91+Inputs!T96-Inputs!T102-Inputs!T107))</f>
        <v>0</v>
      </c>
      <c r="G35" s="0" t="n">
        <f aca="false">IF(G14&gt;Residual_Month,0,Inputs!U83+IF(SUM(Inputs!U81:U83)=0,0,Inputs!U83/SUM(Inputs!U81:U83))*(Inputs!U91+Inputs!U96-Inputs!U102-Inputs!U107))</f>
        <v>0</v>
      </c>
      <c r="H35" s="0" t="n">
        <f aca="false">IF(H14&gt;Residual_Month,0,Inputs!V83+IF(SUM(Inputs!V81:V83)=0,0,Inputs!V83/SUM(Inputs!V81:V83))*(Inputs!V91+Inputs!V96-Inputs!V102-Inputs!V107))</f>
        <v>0</v>
      </c>
      <c r="I35" s="0" t="n">
        <f aca="false">IF(I14&gt;Residual_Month,0,Inputs!W83+IF(SUM(Inputs!W81:W83)=0,0,Inputs!W83/SUM(Inputs!W81:W83))*(Inputs!W91+Inputs!W96-Inputs!W102-Inputs!W107))</f>
        <v>0</v>
      </c>
      <c r="J35" s="0" t="n">
        <f aca="false">IF(J14&gt;Residual_Month,0,Inputs!X83+IF(SUM(Inputs!X81:X83)=0,0,Inputs!X83/SUM(Inputs!X81:X83))*(Inputs!X91+Inputs!X96-Inputs!X102-Inputs!X107))</f>
        <v>0</v>
      </c>
      <c r="K35" s="0" t="n">
        <f aca="false">IF(K14&gt;Residual_Month,0,Inputs!Y83+IF(SUM(Inputs!Y81:Y83)=0,0,Inputs!Y83/SUM(Inputs!Y81:Y83))*(Inputs!Y91+Inputs!Y96-Inputs!Y102-Inputs!Y107))</f>
        <v>0</v>
      </c>
      <c r="L35" s="0" t="n">
        <f aca="false">IF(L14&gt;Residual_Month,0,Inputs!Z83+IF(SUM(Inputs!Z81:Z83)=0,0,Inputs!Z83/SUM(Inputs!Z81:Z83))*(Inputs!Z91+Inputs!Z96-Inputs!Z102-Inputs!Z107))</f>
        <v>0</v>
      </c>
      <c r="M35" s="0" t="n">
        <f aca="false">IF(M14&gt;Residual_Month,0,Inputs!AA83+IF(SUM(Inputs!AA81:AA83)=0,0,Inputs!AA83/SUM(Inputs!AA81:AA83))*(Inputs!AA91+Inputs!AA96-Inputs!AA102-Inputs!AA107))</f>
        <v>0</v>
      </c>
      <c r="N35" s="0" t="n">
        <f aca="false">IF(N14&gt;Residual_Month,0,Inputs!AB83+IF(SUM(Inputs!AB81:AB83)=0,0,Inputs!AB83/SUM(Inputs!AB81:AB83))*(Inputs!AB91+Inputs!AB96-Inputs!AB102-Inputs!AB107))</f>
        <v>0</v>
      </c>
      <c r="O35" s="0" t="n">
        <f aca="false">IF(O14&gt;Residual_Month,0,Inputs!AC83+IF(SUM(Inputs!AC81:AC83)=0,0,Inputs!AC83/SUM(Inputs!AC81:AC83))*(Inputs!AC91+Inputs!AC96-Inputs!AC102-Inputs!AC107))</f>
        <v>0</v>
      </c>
      <c r="P35" s="0" t="n">
        <f aca="false">IF(P14&gt;Residual_Month,0,Inputs!AD83+IF(SUM(Inputs!AD81:AD83)=0,0,Inputs!AD83/SUM(Inputs!AD81:AD83))*(Inputs!AD91+Inputs!AD96-Inputs!AD102-Inputs!AD107))</f>
        <v>0</v>
      </c>
      <c r="Q35" s="0" t="n">
        <f aca="false">IF(Q14&gt;Residual_Month,0,Inputs!AE83+IF(SUM(Inputs!AE81:AE83)=0,0,Inputs!AE83/SUM(Inputs!AE81:AE83))*(Inputs!AE91+Inputs!AE96-Inputs!AE102-Inputs!AE107))</f>
        <v>0</v>
      </c>
      <c r="R35" s="0" t="n">
        <f aca="false">IF(R14&gt;Residual_Month,0,Inputs!AF83+IF(SUM(Inputs!AF81:AF83)=0,0,Inputs!AF83/SUM(Inputs!AF81:AF83))*(Inputs!AF91+Inputs!AF96-Inputs!AF102-Inputs!AF107))</f>
        <v>0</v>
      </c>
      <c r="S35" s="0" t="n">
        <f aca="false">IF(S14&gt;Residual_Month,0,Inputs!AG83+IF(SUM(Inputs!AG81:AG83)=0,0,Inputs!AG83/SUM(Inputs!AG81:AG83))*(Inputs!AG91+Inputs!AG96-Inputs!AG102-Inputs!AG107))</f>
        <v>0</v>
      </c>
      <c r="T35" s="0" t="n">
        <f aca="false">IF(T14&gt;Residual_Month,0,Inputs!AH83+IF(SUM(Inputs!AH81:AH83)=0,0,Inputs!AH83/SUM(Inputs!AH81:AH83))*(Inputs!AH91+Inputs!AH96-Inputs!AH102-Inputs!AH107))</f>
        <v>0</v>
      </c>
      <c r="U35" s="0" t="n">
        <f aca="false">IF(U14&gt;Residual_Month,0,Inputs!AI83+IF(SUM(Inputs!AI81:AI83)=0,0,Inputs!AI83/SUM(Inputs!AI81:AI83))*(Inputs!AI91+Inputs!AI96-Inputs!AI102-Inputs!AI107))</f>
        <v>0</v>
      </c>
      <c r="V35" s="0" t="n">
        <f aca="false">IF(V14&gt;Residual_Month,0,Inputs!AJ83+IF(SUM(Inputs!AJ81:AJ83)=0,0,Inputs!AJ83/SUM(Inputs!AJ81:AJ83))*(Inputs!AJ91+Inputs!AJ96-Inputs!AJ102-Inputs!AJ107))</f>
        <v>0</v>
      </c>
      <c r="W35" s="0" t="n">
        <f aca="false">IF(W14&gt;Residual_Month,0,Inputs!AK83+IF(SUM(Inputs!AK81:AK83)=0,0,Inputs!AK83/SUM(Inputs!AK81:AK83))*(Inputs!AK91+Inputs!AK96-Inputs!AK102-Inputs!AK107))</f>
        <v>0</v>
      </c>
      <c r="X35" s="0" t="n">
        <f aca="false">IF(X14&gt;Residual_Month,0,Inputs!AL83+IF(SUM(Inputs!AL81:AL83)=0,0,Inputs!AL83/SUM(Inputs!AL81:AL83))*(Inputs!AL91+Inputs!AL96-Inputs!AL102-Inputs!AL107))</f>
        <v>0</v>
      </c>
      <c r="Y35" s="0" t="n">
        <f aca="false">IF(Y14&gt;Residual_Month,0,Inputs!AM83+IF(SUM(Inputs!AM81:AM83)=0,0,Inputs!AM83/SUM(Inputs!AM81:AM83))*(Inputs!AM91+Inputs!AM96-Inputs!AM102-Inputs!AM107))</f>
        <v>0</v>
      </c>
      <c r="Z35" s="0" t="n">
        <f aca="false">IF(Z14&gt;Residual_Month,0,Inputs!AN83+IF(SUM(Inputs!AN81:AN83)=0,0,Inputs!AN83/SUM(Inputs!AN81:AN83))*(Inputs!AN91+Inputs!AN96-Inputs!AN102-Inputs!AN107))</f>
        <v>0</v>
      </c>
      <c r="AA35" s="0" t="n">
        <f aca="false">IF(AA14&gt;Residual_Month,0,Inputs!AO83+IF(SUM(Inputs!AO81:AO83)=0,0,Inputs!AO83/SUM(Inputs!AO81:AO83))*(Inputs!AO91+Inputs!AO96-Inputs!AO102-Inputs!AO107))</f>
        <v>0</v>
      </c>
      <c r="AB35" s="0" t="n">
        <f aca="false">IF(AB14&gt;Residual_Month,0,Inputs!AP83+IF(SUM(Inputs!AP81:AP83)=0,0,Inputs!AP83/SUM(Inputs!AP81:AP83))*(Inputs!AP91+Inputs!AP96-Inputs!AP102-Inputs!AP107))</f>
        <v>0</v>
      </c>
      <c r="AC35" s="0" t="n">
        <f aca="false">IF(AC14&gt;Residual_Month,0,Inputs!AQ83+IF(SUM(Inputs!AQ81:AQ83)=0,0,Inputs!AQ83/SUM(Inputs!AQ81:AQ83))*(Inputs!AQ91+Inputs!AQ96-Inputs!AQ102-Inputs!AQ107))</f>
        <v>0</v>
      </c>
      <c r="AD35" s="0" t="n">
        <f aca="false">IF(AD14&gt;Residual_Month,0,Inputs!AR83+IF(SUM(Inputs!AR81:AR83)=0,0,Inputs!AR83/SUM(Inputs!AR81:AR83))*(Inputs!AR91+Inputs!AR96-Inputs!AR102-Inputs!AR107))</f>
        <v>0</v>
      </c>
      <c r="AE35" s="0" t="n">
        <f aca="false">IF(AE14&gt;Residual_Month,0,Inputs!AS83+IF(SUM(Inputs!AS81:AS83)=0,0,Inputs!AS83/SUM(Inputs!AS81:AS83))*(Inputs!AS91+Inputs!AS96-Inputs!AS102-Inputs!AS107))</f>
        <v>0</v>
      </c>
      <c r="AF35" s="0" t="n">
        <f aca="false">IF(AF14&gt;Residual_Month,0,Inputs!AT83+IF(SUM(Inputs!AT81:AT83)=0,0,Inputs!AT83/SUM(Inputs!AT81:AT83))*(Inputs!AT91+Inputs!AT96-Inputs!AT102-Inputs!AT107))</f>
        <v>0</v>
      </c>
      <c r="AG35" s="0" t="n">
        <f aca="false">IF(AG14&gt;Residual_Month,0,Inputs!AU83+IF(SUM(Inputs!AU81:AU83)=0,0,Inputs!AU83/SUM(Inputs!AU81:AU83))*(Inputs!AU91+Inputs!AU96-Inputs!AU102-Inputs!AU107))</f>
        <v>0</v>
      </c>
      <c r="AH35" s="0" t="n">
        <f aca="false">IF(AH14&gt;Residual_Month,0,Inputs!AV83+IF(SUM(Inputs!AV81:AV83)=0,0,Inputs!AV83/SUM(Inputs!AV81:AV83))*(Inputs!AV91+Inputs!AV96-Inputs!AV102-Inputs!AV107))</f>
        <v>0</v>
      </c>
      <c r="AI35" s="0" t="n">
        <f aca="false">IF(AI14&gt;Residual_Month,0,Inputs!AW83+IF(SUM(Inputs!AW81:AW83)=0,0,Inputs!AW83/SUM(Inputs!AW81:AW83))*(Inputs!AW91+Inputs!AW96-Inputs!AW102-Inputs!AW107))</f>
        <v>0</v>
      </c>
      <c r="AJ35" s="0" t="n">
        <f aca="false">IF(AJ14&gt;Residual_Month,0,Inputs!AX83+IF(SUM(Inputs!AX81:AX83)=0,0,Inputs!AX83/SUM(Inputs!AX81:AX83))*(Inputs!AX91+Inputs!AX96-Inputs!AX102-Inputs!AX107))</f>
        <v>0</v>
      </c>
      <c r="AK35" s="0" t="n">
        <f aca="false">IF(AK14&gt;Residual_Month,0,Inputs!AY83+IF(SUM(Inputs!AY81:AY83)=0,0,Inputs!AY83/SUM(Inputs!AY81:AY83))*(Inputs!AY91+Inputs!AY96-Inputs!AY102-Inputs!AY107))</f>
        <v>0</v>
      </c>
      <c r="AL35" s="0" t="n">
        <f aca="false">IF(AL14&gt;Residual_Month,0,Inputs!AZ83+IF(SUM(Inputs!AZ81:AZ83)=0,0,Inputs!AZ83/SUM(Inputs!AZ81:AZ83))*(Inputs!AZ91+Inputs!AZ96-Inputs!AZ102-Inputs!AZ107))</f>
        <v>0</v>
      </c>
      <c r="AM35" s="0" t="n">
        <f aca="false">IF(AM14&gt;Residual_Month,0,Inputs!BA83+IF(SUM(Inputs!BA81:BA83)=0,0,Inputs!BA83/SUM(Inputs!BA81:BA83))*(Inputs!BA91+Inputs!BA96-Inputs!BA102-Inputs!BA107))</f>
        <v>0</v>
      </c>
      <c r="AN35" s="0" t="n">
        <f aca="false">IF(AN14&gt;Residual_Month,0,Inputs!BB83+IF(SUM(Inputs!BB81:BB83)=0,0,Inputs!BB83/SUM(Inputs!BB81:BB83))*(Inputs!BB91+Inputs!BB96-Inputs!BB102-Inputs!BB107))</f>
        <v>0</v>
      </c>
      <c r="AO35" s="0" t="n">
        <f aca="false">IF(AO14&gt;Residual_Month,0,Inputs!BC83+IF(SUM(Inputs!BC81:BC83)=0,0,Inputs!BC83/SUM(Inputs!BC81:BC83))*(Inputs!BC91+Inputs!BC96-Inputs!BC102-Inputs!BC107))</f>
        <v>0</v>
      </c>
      <c r="AP35" s="0" t="n">
        <f aca="false">IF(AP14&gt;Residual_Month,0,Inputs!BD83+IF(SUM(Inputs!BD81:BD83)=0,0,Inputs!BD83/SUM(Inputs!BD81:BD83))*(Inputs!BD91+Inputs!BD96-Inputs!BD102-Inputs!BD107))</f>
        <v>0</v>
      </c>
      <c r="AQ35" s="0" t="n">
        <f aca="false">IF(AQ14&gt;Residual_Month,0,Inputs!BE83+IF(SUM(Inputs!BE81:BE83)=0,0,Inputs!BE83/SUM(Inputs!BE81:BE83))*(Inputs!BE91+Inputs!BE96-Inputs!BE102-Inputs!BE107))</f>
        <v>0</v>
      </c>
      <c r="AR35" s="0" t="n">
        <f aca="false">IF(AR14&gt;Residual_Month,0,Inputs!BF83+IF(SUM(Inputs!BF81:BF83)=0,0,Inputs!BF83/SUM(Inputs!BF81:BF83))*(Inputs!BF91+Inputs!BF96-Inputs!BF102-Inputs!BF107))</f>
        <v>0</v>
      </c>
      <c r="AS35" s="0" t="n">
        <f aca="false">IF(AS14&gt;Residual_Month,0,Inputs!BG83+IF(SUM(Inputs!BG81:BG83)=0,0,Inputs!BG83/SUM(Inputs!BG81:BG83))*(Inputs!BG91+Inputs!BG96-Inputs!BG102-Inputs!BG107))</f>
        <v>0</v>
      </c>
      <c r="AT35" s="0" t="n">
        <f aca="false">IF(AT14&gt;Residual_Month,0,Inputs!BH83+IF(SUM(Inputs!BH81:BH83)=0,0,Inputs!BH83/SUM(Inputs!BH81:BH83))*(Inputs!BH91+Inputs!BH96-Inputs!BH102-Inputs!BH107))</f>
        <v>0</v>
      </c>
      <c r="AU35" s="0" t="n">
        <f aca="false">IF(AU14&gt;Residual_Month,0,Inputs!BI83+IF(SUM(Inputs!BI81:BI83)=0,0,Inputs!BI83/SUM(Inputs!BI81:BI83))*(Inputs!BI91+Inputs!BI96-Inputs!BI102-Inputs!BI107))</f>
        <v>0</v>
      </c>
      <c r="AV35" s="0" t="n">
        <f aca="false">IF(AV14&gt;Residual_Month,0,Inputs!BJ83+IF(SUM(Inputs!BJ81:BJ83)=0,0,Inputs!BJ83/SUM(Inputs!BJ81:BJ83))*(Inputs!BJ91+Inputs!BJ96-Inputs!BJ102-Inputs!BJ107))</f>
        <v>0</v>
      </c>
      <c r="AW35" s="0" t="n">
        <f aca="false">IF(AW14&gt;Residual_Month,0,Inputs!BK83+IF(SUM(Inputs!BK81:BK83)=0,0,Inputs!BK83/SUM(Inputs!BK81:BK83))*(Inputs!BK91+Inputs!BK96-Inputs!BK102-Inputs!BK107))</f>
        <v>0</v>
      </c>
      <c r="AX35" s="0" t="n">
        <f aca="false">IF(AX14&gt;Residual_Month,0,Inputs!BL83+IF(SUM(Inputs!BL81:BL83)=0,0,Inputs!BL83/SUM(Inputs!BL81:BL83))*(Inputs!BL91+Inputs!BL96-Inputs!BL102-Inputs!BL107))</f>
        <v>0</v>
      </c>
      <c r="AY35" s="0" t="n">
        <f aca="false">IF(AY14&gt;Residual_Month,0,Inputs!BM83+IF(SUM(Inputs!BM81:BM83)=0,0,Inputs!BM83/SUM(Inputs!BM81:BM83))*(Inputs!BM91+Inputs!BM96-Inputs!BM102-Inputs!BM107))</f>
        <v>0</v>
      </c>
      <c r="AZ35" s="0" t="n">
        <f aca="false">IF(AZ14&gt;Residual_Month,0,Inputs!BN83+IF(SUM(Inputs!BN81:BN83)=0,0,Inputs!BN83/SUM(Inputs!BN81:BN83))*(Inputs!BN91+Inputs!BN96-Inputs!BN102-Inputs!BN107))</f>
        <v>0</v>
      </c>
      <c r="BA35" s="0" t="n">
        <f aca="false">IF(BA14&gt;Residual_Month,0,Inputs!BO83+IF(SUM(Inputs!BO81:BO83)=0,0,Inputs!BO83/SUM(Inputs!BO81:BO83))*(Inputs!BO91+Inputs!BO96-Inputs!BO102-Inputs!BO107))</f>
        <v>0</v>
      </c>
      <c r="BB35" s="0" t="n">
        <f aca="false">IF(BB14&gt;Residual_Month,0,Inputs!BP83+IF(SUM(Inputs!BP81:BP83)=0,0,Inputs!BP83/SUM(Inputs!BP81:BP83))*(Inputs!BP91+Inputs!BP96-Inputs!BP102-Inputs!BP107))</f>
        <v>0</v>
      </c>
      <c r="BC35" s="0" t="n">
        <f aca="false">IF(BC14&gt;Residual_Month,0,Inputs!BQ83+IF(SUM(Inputs!BQ81:BQ83)=0,0,Inputs!BQ83/SUM(Inputs!BQ81:BQ83))*(Inputs!BQ91+Inputs!BQ96-Inputs!BQ102-Inputs!BQ107))</f>
        <v>0</v>
      </c>
      <c r="BD35" s="0" t="n">
        <f aca="false">IF(BD14&gt;Residual_Month,0,Inputs!BR83+IF(SUM(Inputs!BR81:BR83)=0,0,Inputs!BR83/SUM(Inputs!BR81:BR83))*(Inputs!BR91+Inputs!BR96-Inputs!BR102-Inputs!BR107))</f>
        <v>0</v>
      </c>
      <c r="BE35" s="0" t="n">
        <f aca="false">IF(BE14&gt;Residual_Month,0,Inputs!BS83+IF(SUM(Inputs!BS81:BS83)=0,0,Inputs!BS83/SUM(Inputs!BS81:BS83))*(Inputs!BS91+Inputs!BS96-Inputs!BS102-Inputs!BS107))</f>
        <v>0</v>
      </c>
      <c r="BF35" s="0" t="n">
        <f aca="false">IF(BF14&gt;Residual_Month,0,Inputs!BT83+IF(SUM(Inputs!BT81:BT83)=0,0,Inputs!BT83/SUM(Inputs!BT81:BT83))*(Inputs!BT91+Inputs!BT96-Inputs!BT102-Inputs!BT107))</f>
        <v>0</v>
      </c>
      <c r="BG35" s="0" t="n">
        <f aca="false">IF(BG14&gt;Residual_Month,0,Inputs!BU83+IF(SUM(Inputs!BU81:BU83)=0,0,Inputs!BU83/SUM(Inputs!BU81:BU83))*(Inputs!BU91+Inputs!BU96-Inputs!BU102-Inputs!BU107))</f>
        <v>0</v>
      </c>
      <c r="BH35" s="0" t="n">
        <f aca="false">IF(BH14&gt;Residual_Month,0,Inputs!BV83+IF(SUM(Inputs!BV81:BV83)=0,0,Inputs!BV83/SUM(Inputs!BV81:BV83))*(Inputs!BV91+Inputs!BV96-Inputs!BV102-Inputs!BV107))</f>
        <v>0</v>
      </c>
      <c r="BI35" s="0" t="n">
        <f aca="false">IF(BI14&gt;Residual_Month,0,Inputs!BW83+IF(SUM(Inputs!BW81:BW83)=0,0,Inputs!BW83/SUM(Inputs!BW81:BW83))*(Inputs!BW91+Inputs!BW96-Inputs!BW102-Inputs!BW107))</f>
        <v>0</v>
      </c>
      <c r="BJ35" s="0" t="n">
        <f aca="false">IF(BJ14&gt;Residual_Month,0,Inputs!BX83+IF(SUM(Inputs!BX81:BX83)=0,0,Inputs!BX83/SUM(Inputs!BX81:BX83))*(Inputs!BX91+Inputs!BX96-Inputs!BX102-Inputs!BX107))</f>
        <v>0</v>
      </c>
      <c r="BK35" s="0" t="n">
        <f aca="false">IF(BK14&gt;Residual_Month,0,Inputs!BY83+IF(SUM(Inputs!BY81:BY83)=0,0,Inputs!BY83/SUM(Inputs!BY81:BY83))*(Inputs!BY91+Inputs!BY96-Inputs!BY102-Inputs!BY107))</f>
        <v>0</v>
      </c>
      <c r="BL35" s="0" t="n">
        <f aca="false">IF(BL14&gt;Residual_Month,0,Inputs!BZ83+IF(SUM(Inputs!BZ81:BZ83)=0,0,Inputs!BZ83/SUM(Inputs!BZ81:BZ83))*(Inputs!BZ91+Inputs!BZ96-Inputs!BZ102-Inputs!BZ107))</f>
        <v>0</v>
      </c>
      <c r="BM35" s="0" t="n">
        <f aca="false">IF(BM14&gt;Residual_Month,0,Inputs!CA83+IF(SUM(Inputs!CA81:CA83)=0,0,Inputs!CA83/SUM(Inputs!CA81:CA83))*(Inputs!CA91+Inputs!CA96-Inputs!CA102-Inputs!CA107))</f>
        <v>0</v>
      </c>
      <c r="BN35" s="0" t="n">
        <f aca="false">IF(BN14&gt;Residual_Month,0,Inputs!CB83+IF(SUM(Inputs!CB81:CB83)=0,0,Inputs!CB83/SUM(Inputs!CB81:CB83))*(Inputs!CB91+Inputs!CB96-Inputs!CB102-Inputs!CB107))</f>
        <v>0</v>
      </c>
      <c r="BO35" s="0" t="n">
        <f aca="false">IF(BO14&gt;Residual_Month,0,Inputs!CC83+IF(SUM(Inputs!CC81:CC83)=0,0,Inputs!CC83/SUM(Inputs!CC81:CC83))*(Inputs!CC91+Inputs!CC96-Inputs!CC102-Inputs!CC107))</f>
        <v>0</v>
      </c>
      <c r="BP35" s="0" t="n">
        <f aca="false">IF(BP14&gt;Residual_Month,0,Inputs!CD83+IF(SUM(Inputs!CD81:CD83)=0,0,Inputs!CD83/SUM(Inputs!CD81:CD83))*(Inputs!CD91+Inputs!CD96-Inputs!CD102-Inputs!CD107))</f>
        <v>0</v>
      </c>
      <c r="BQ35" s="0" t="n">
        <f aca="false">IF(BQ14&gt;Residual_Month,0,Inputs!CE83+IF(SUM(Inputs!CE81:CE83)=0,0,Inputs!CE83/SUM(Inputs!CE81:CE83))*(Inputs!CE91+Inputs!CE96-Inputs!CE102-Inputs!CE107))</f>
        <v>0</v>
      </c>
      <c r="BR35" s="0" t="n">
        <f aca="false">IF(BR14&gt;Residual_Month,0,Inputs!CF83+IF(SUM(Inputs!CF81:CF83)=0,0,Inputs!CF83/SUM(Inputs!CF81:CF83))*(Inputs!CF91+Inputs!CF96-Inputs!CF102-Inputs!CF107))</f>
        <v>0</v>
      </c>
      <c r="BS35" s="0" t="n">
        <f aca="false">IF(BS14&gt;Residual_Month,0,Inputs!CG83+IF(SUM(Inputs!CG81:CG83)=0,0,Inputs!CG83/SUM(Inputs!CG81:CG83))*(Inputs!CG91+Inputs!CG96-Inputs!CG102-Inputs!CG107))</f>
        <v>0</v>
      </c>
      <c r="BT35" s="0" t="n">
        <f aca="false">IF(BT14&gt;Residual_Month,0,Inputs!CH83+IF(SUM(Inputs!CH81:CH83)=0,0,Inputs!CH83/SUM(Inputs!CH81:CH83))*(Inputs!CH91+Inputs!CH96-Inputs!CH102-Inputs!CH107))</f>
        <v>0</v>
      </c>
      <c r="BU35" s="0" t="n">
        <f aca="false">IF(BU14&gt;Residual_Month,0,Inputs!CI83+IF(SUM(Inputs!CI81:CI83)=0,0,Inputs!CI83/SUM(Inputs!CI81:CI83))*(Inputs!CI91+Inputs!CI96-Inputs!CI102-Inputs!CI107))</f>
        <v>0</v>
      </c>
      <c r="BV35" s="0" t="n">
        <f aca="false">IF(BV14&gt;Residual_Month,0,Inputs!CJ83+IF(SUM(Inputs!CJ81:CJ83)=0,0,Inputs!CJ83/SUM(Inputs!CJ81:CJ83))*(Inputs!CJ91+Inputs!CJ96-Inputs!CJ102-Inputs!CJ107))</f>
        <v>0</v>
      </c>
      <c r="BW35" s="0" t="n">
        <f aca="false">IF(BW14&gt;Residual_Month,0,Inputs!CK83+IF(SUM(Inputs!CK81:CK83)=0,0,Inputs!CK83/SUM(Inputs!CK81:CK83))*(Inputs!CK91+Inputs!CK96-Inputs!CK102-Inputs!CK107))</f>
        <v>0</v>
      </c>
      <c r="BX35" s="0" t="n">
        <f aca="false">IF(BX14&gt;Residual_Month,0,Inputs!CL83+IF(SUM(Inputs!CL81:CL83)=0,0,Inputs!CL83/SUM(Inputs!CL81:CL83))*(Inputs!CL91+Inputs!CL96-Inputs!CL102-Inputs!CL107))</f>
        <v>0</v>
      </c>
      <c r="BY35" s="0" t="n">
        <f aca="false">IF(BY14&gt;Residual_Month,0,Inputs!CM83+IF(SUM(Inputs!CM81:CM83)=0,0,Inputs!CM83/SUM(Inputs!CM81:CM83))*(Inputs!CM91+Inputs!CM96-Inputs!CM102-Inputs!CM107))</f>
        <v>0</v>
      </c>
      <c r="BZ35" s="0" t="n">
        <f aca="false">IF(BZ14&gt;Residual_Month,0,Inputs!CN83+IF(SUM(Inputs!CN81:CN83)=0,0,Inputs!CN83/SUM(Inputs!CN81:CN83))*(Inputs!CN91+Inputs!CN96-Inputs!CN102-Inputs!CN107))</f>
        <v>0</v>
      </c>
      <c r="CA35" s="0" t="n">
        <f aca="false">IF(CA14&gt;Residual_Month,0,Inputs!CO83+IF(SUM(Inputs!CO81:CO83)=0,0,Inputs!CO83/SUM(Inputs!CO81:CO83))*(Inputs!CO91+Inputs!CO96-Inputs!CO102-Inputs!CO107))</f>
        <v>0</v>
      </c>
      <c r="CB35" s="0" t="n">
        <f aca="false">IF(CB14&gt;Residual_Month,0,Inputs!CP83+IF(SUM(Inputs!CP81:CP83)=0,0,Inputs!CP83/SUM(Inputs!CP81:CP83))*(Inputs!CP91+Inputs!CP96-Inputs!CP102-Inputs!CP107))</f>
        <v>0</v>
      </c>
      <c r="CC35" s="0" t="n">
        <f aca="false">IF(CC14&gt;Residual_Month,0,Inputs!CQ83+IF(SUM(Inputs!CQ81:CQ83)=0,0,Inputs!CQ83/SUM(Inputs!CQ81:CQ83))*(Inputs!CQ91+Inputs!CQ96-Inputs!CQ102-Inputs!CQ107))</f>
        <v>0</v>
      </c>
      <c r="CD35" s="0" t="n">
        <f aca="false">IF(CD14&gt;Residual_Month,0,Inputs!CR83+IF(SUM(Inputs!CR81:CR83)=0,0,Inputs!CR83/SUM(Inputs!CR81:CR83))*(Inputs!CR91+Inputs!CR96-Inputs!CR102-Inputs!CR107))</f>
        <v>0</v>
      </c>
      <c r="CE35" s="0" t="n">
        <f aca="false">IF(CE14&gt;Residual_Month,0,Inputs!CS83+IF(SUM(Inputs!CS81:CS83)=0,0,Inputs!CS83/SUM(Inputs!CS81:CS83))*(Inputs!CS91+Inputs!CS96-Inputs!CS102-Inputs!CS107))</f>
        <v>0</v>
      </c>
      <c r="CF35" s="0" t="n">
        <f aca="false">IF(CF14&gt;Residual_Month,0,Inputs!CT83+IF(SUM(Inputs!CT81:CT83)=0,0,Inputs!CT83/SUM(Inputs!CT81:CT83))*(Inputs!CT91+Inputs!CT96-Inputs!CT102-Inputs!CT107))</f>
        <v>0</v>
      </c>
      <c r="CG35" s="0" t="n">
        <f aca="false">IF(CG14&gt;Residual_Month,0,Inputs!CU83+IF(SUM(Inputs!CU81:CU83)=0,0,Inputs!CU83/SUM(Inputs!CU81:CU83))*(Inputs!CU91+Inputs!CU96-Inputs!CU102-Inputs!CU107))</f>
        <v>0</v>
      </c>
      <c r="CH35" s="0" t="n">
        <f aca="false">IF(CH14&gt;Residual_Month,0,Inputs!CV83+IF(SUM(Inputs!CV81:CV83)=0,0,Inputs!CV83/SUM(Inputs!CV81:CV83))*(Inputs!CV91+Inputs!CV96-Inputs!CV102-Inputs!CV107))</f>
        <v>0</v>
      </c>
      <c r="CI35" s="0" t="n">
        <f aca="false">IF(CI14&gt;Residual_Month,0,Inputs!CW83+IF(SUM(Inputs!CW81:CW83)=0,0,Inputs!CW83/SUM(Inputs!CW81:CW83))*(Inputs!CW91+Inputs!CW96-Inputs!CW102-Inputs!CW107))</f>
        <v>0</v>
      </c>
      <c r="CJ35" s="0" t="n">
        <f aca="false">IF(CJ14&gt;Residual_Month,0,Inputs!CX83+IF(SUM(Inputs!CX81:CX83)=0,0,Inputs!CX83/SUM(Inputs!CX81:CX83))*(Inputs!CX91+Inputs!CX96-Inputs!CX102-Inputs!CX107))</f>
        <v>0</v>
      </c>
      <c r="CK35" s="0" t="n">
        <f aca="false">IF(CK14&gt;Residual_Month,0,Inputs!CY83+IF(SUM(Inputs!CY81:CY83)=0,0,Inputs!CY83/SUM(Inputs!CY81:CY83))*(Inputs!CY91+Inputs!CY96-Inputs!CY102-Inputs!CY107))</f>
        <v>0</v>
      </c>
      <c r="CL35" s="0" t="n">
        <f aca="false">IF(CL14&gt;Residual_Month,0,Inputs!CZ83+IF(SUM(Inputs!CZ81:CZ83)=0,0,Inputs!CZ83/SUM(Inputs!CZ81:CZ83))*(Inputs!CZ91+Inputs!CZ96-Inputs!CZ102-Inputs!CZ107))</f>
        <v>0</v>
      </c>
      <c r="CM35" s="0" t="n">
        <f aca="false">IF(CM14&gt;Residual_Month,0,Inputs!DA83+IF(SUM(Inputs!DA81:DA83)=0,0,Inputs!DA83/SUM(Inputs!DA81:DA83))*(Inputs!DA91+Inputs!DA96-Inputs!DA102-Inputs!DA107))</f>
        <v>0</v>
      </c>
      <c r="CN35" s="0" t="n">
        <f aca="false">IF(CN14&gt;Residual_Month,0,Inputs!DB83+IF(SUM(Inputs!DB81:DB83)=0,0,Inputs!DB83/SUM(Inputs!DB81:DB83))*(Inputs!DB91+Inputs!DB96-Inputs!DB102-Inputs!DB107))</f>
        <v>0</v>
      </c>
      <c r="CO35" s="0" t="n">
        <f aca="false">IF(CO14&gt;Residual_Month,0,Inputs!DC83+IF(SUM(Inputs!DC81:DC83)=0,0,Inputs!DC83/SUM(Inputs!DC81:DC83))*(Inputs!DC91+Inputs!DC96-Inputs!DC102-Inputs!DC107))</f>
        <v>0</v>
      </c>
      <c r="CP35" s="0" t="n">
        <f aca="false">IF(CP14&gt;Residual_Month,0,Inputs!DD83+IF(SUM(Inputs!DD81:DD83)=0,0,Inputs!DD83/SUM(Inputs!DD81:DD83))*(Inputs!DD91+Inputs!DD96-Inputs!DD102-Inputs!DD107))</f>
        <v>0</v>
      </c>
      <c r="CQ35" s="0" t="n">
        <f aca="false">IF(CQ14&gt;Residual_Month,0,Inputs!DE83+IF(SUM(Inputs!DE81:DE83)=0,0,Inputs!DE83/SUM(Inputs!DE81:DE83))*(Inputs!DE91+Inputs!DE96-Inputs!DE102-Inputs!DE107))</f>
        <v>0</v>
      </c>
      <c r="CR35" s="0" t="n">
        <f aca="false">IF(CR14&gt;Residual_Month,0,Inputs!DF83+IF(SUM(Inputs!DF81:DF83)=0,0,Inputs!DF83/SUM(Inputs!DF81:DF83))*(Inputs!DF91+Inputs!DF96-Inputs!DF102-Inputs!DF107))</f>
        <v>0</v>
      </c>
      <c r="CS35" s="0" t="n">
        <f aca="false">IF(CS14&gt;Residual_Month,0,Inputs!DG83+IF(SUM(Inputs!DG81:DG83)=0,0,Inputs!DG83/SUM(Inputs!DG81:DG83))*(Inputs!DG91+Inputs!DG96-Inputs!DG102-Inputs!DG107))</f>
        <v>0</v>
      </c>
      <c r="CT35" s="0" t="n">
        <f aca="false">IF(CT14&gt;Residual_Month,0,Inputs!DH83+IF(SUM(Inputs!DH81:DH83)=0,0,Inputs!DH83/SUM(Inputs!DH81:DH83))*(Inputs!DH91+Inputs!DH96-Inputs!DH102-Inputs!DH107))</f>
        <v>0</v>
      </c>
      <c r="CU35" s="0" t="n">
        <f aca="false">IF(CU14&gt;Residual_Month,0,Inputs!DI83+IF(SUM(Inputs!DI81:DI83)=0,0,Inputs!DI83/SUM(Inputs!DI81:DI83))*(Inputs!DI91+Inputs!DI96-Inputs!DI102-Inputs!DI107))</f>
        <v>0</v>
      </c>
      <c r="CV35" s="0" t="n">
        <f aca="false">IF(CV14&gt;Residual_Month,0,Inputs!DJ83+IF(SUM(Inputs!DJ81:DJ83)=0,0,Inputs!DJ83/SUM(Inputs!DJ81:DJ83))*(Inputs!DJ91+Inputs!DJ96-Inputs!DJ102-Inputs!DJ107))</f>
        <v>0</v>
      </c>
      <c r="CW35" s="0" t="n">
        <f aca="false">IF(CW14&gt;Residual_Month,0,Inputs!DK83+IF(SUM(Inputs!DK81:DK83)=0,0,Inputs!DK83/SUM(Inputs!DK81:DK83))*(Inputs!DK91+Inputs!DK96-Inputs!DK102-Inputs!DK107))</f>
        <v>0</v>
      </c>
      <c r="CX35" s="0" t="n">
        <f aca="false">IF(CX14&gt;Residual_Month,0,Inputs!DL83+IF(SUM(Inputs!DL81:DL83)=0,0,Inputs!DL83/SUM(Inputs!DL81:DL83))*(Inputs!DL91+Inputs!DL96-Inputs!DL102-Inputs!DL107))</f>
        <v>0</v>
      </c>
      <c r="CY35" s="0" t="n">
        <f aca="false">IF(CY14&gt;Residual_Month,0,Inputs!DM83+IF(SUM(Inputs!DM81:DM83)=0,0,Inputs!DM83/SUM(Inputs!DM81:DM83))*(Inputs!DM91+Inputs!DM96-Inputs!DM102-Inputs!DM107))</f>
        <v>0</v>
      </c>
      <c r="CZ35" s="0" t="n">
        <f aca="false">IF(CZ14&gt;Residual_Month,0,Inputs!DN83+IF(SUM(Inputs!DN81:DN83)=0,0,Inputs!DN83/SUM(Inputs!DN81:DN83))*(Inputs!DN91+Inputs!DN96-Inputs!DN102-Inputs!DN107))</f>
        <v>0</v>
      </c>
      <c r="DA35" s="0" t="n">
        <f aca="false">IF(DA14&gt;Residual_Month,0,Inputs!DO83+IF(SUM(Inputs!DO81:DO83)=0,0,Inputs!DO83/SUM(Inputs!DO81:DO83))*(Inputs!DO91+Inputs!DO96-Inputs!DO102-Inputs!DO107))</f>
        <v>0</v>
      </c>
      <c r="DB35" s="0" t="n">
        <f aca="false">IF(DB14&gt;Residual_Month,0,Inputs!DP83+IF(SUM(Inputs!DP81:DP83)=0,0,Inputs!DP83/SUM(Inputs!DP81:DP83))*(Inputs!DP91+Inputs!DP96-Inputs!DP102-Inputs!DP107))</f>
        <v>0</v>
      </c>
      <c r="DC35" s="0" t="n">
        <f aca="false">IF(DC14&gt;Residual_Month,0,Inputs!DQ83+IF(SUM(Inputs!DQ81:DQ83)=0,0,Inputs!DQ83/SUM(Inputs!DQ81:DQ83))*(Inputs!DQ91+Inputs!DQ96-Inputs!DQ102-Inputs!DQ107))</f>
        <v>0</v>
      </c>
      <c r="DD35" s="0" t="n">
        <f aca="false">IF(DD14&gt;Residual_Month,0,Inputs!DR83+IF(SUM(Inputs!DR81:DR83)=0,0,Inputs!DR83/SUM(Inputs!DR81:DR83))*(Inputs!DR91+Inputs!DR96-Inputs!DR102-Inputs!DR107))</f>
        <v>0</v>
      </c>
      <c r="DE35" s="0" t="n">
        <f aca="false">IF(DE14&gt;Residual_Month,0,Inputs!DS83+IF(SUM(Inputs!DS81:DS83)=0,0,Inputs!DS83/SUM(Inputs!DS81:DS83))*(Inputs!DS91+Inputs!DS96-Inputs!DS102-Inputs!DS107))</f>
        <v>12937.2404635244</v>
      </c>
      <c r="DF35" s="0" t="n">
        <f aca="false">IF(DF14&gt;Residual_Month,0,Inputs!DT83+IF(SUM(Inputs!DT81:DT83)=0,0,Inputs!DT83/SUM(Inputs!DT81:DT83))*(Inputs!DT91+Inputs!DT96-Inputs!DT102-Inputs!DT107))</f>
        <v>12937.2404635244</v>
      </c>
      <c r="DG35" s="0" t="n">
        <f aca="false">IF(DG14&gt;Residual_Month,0,Inputs!DU83+IF(SUM(Inputs!DU81:DU83)=0,0,Inputs!DU83/SUM(Inputs!DU81:DU83))*(Inputs!DU91+Inputs!DU96-Inputs!DU102-Inputs!DU107))</f>
        <v>12937.2404635244</v>
      </c>
      <c r="DH35" s="0" t="n">
        <f aca="false">IF(DH14&gt;Residual_Month,0,Inputs!DV83+IF(SUM(Inputs!DV81:DV83)=0,0,Inputs!DV83/SUM(Inputs!DV81:DV83))*(Inputs!DV91+Inputs!DV96-Inputs!DV102-Inputs!DV107))</f>
        <v>12934.2348444795</v>
      </c>
      <c r="DI35" s="0" t="n">
        <f aca="false">IF(DI14&gt;Residual_Month,0,Inputs!DW83+IF(SUM(Inputs!DW81:DW83)=0,0,Inputs!DW83/SUM(Inputs!DW81:DW83))*(Inputs!DW91+Inputs!DW96-Inputs!DW102-Inputs!DW107))</f>
        <v>12934.2348444795</v>
      </c>
      <c r="DJ35" s="0" t="n">
        <f aca="false">IF(DJ14&gt;Residual_Month,0,Inputs!DX83+IF(SUM(Inputs!DX81:DX83)=0,0,Inputs!DX83/SUM(Inputs!DX81:DX83))*(Inputs!DX91+Inputs!DX96-Inputs!DX102-Inputs!DX107))</f>
        <v>12934.2348444795</v>
      </c>
      <c r="DK35" s="0" t="n">
        <f aca="false">IF(DK14&gt;Residual_Month,0,Inputs!DY83+IF(SUM(Inputs!DY81:DY83)=0,0,Inputs!DY83/SUM(Inputs!DY81:DY83))*(Inputs!DY91+Inputs!DY96-Inputs!DY102-Inputs!DY107))</f>
        <v>12934.2348444795</v>
      </c>
      <c r="DL35" s="0" t="n">
        <f aca="false">IF(DL14&gt;Residual_Month,0,Inputs!DZ83+IF(SUM(Inputs!DZ81:DZ83)=0,0,Inputs!DZ83/SUM(Inputs!DZ81:DZ83))*(Inputs!DZ91+Inputs!DZ96-Inputs!DZ102-Inputs!DZ107))</f>
        <v>12934.2348444795</v>
      </c>
      <c r="DM35" s="0" t="n">
        <f aca="false">IF(DM14&gt;Residual_Month,0,Inputs!EA83+IF(SUM(Inputs!EA81:EA83)=0,0,Inputs!EA83/SUM(Inputs!EA81:EA83))*(Inputs!EA91+Inputs!EA96-Inputs!EA102-Inputs!EA107))</f>
        <v>12934.2348444795</v>
      </c>
      <c r="DN35" s="0" t="n">
        <f aca="false">IF(DN14&gt;Residual_Month,0,Inputs!EB83+IF(SUM(Inputs!EB81:EB83)=0,0,Inputs!EB83/SUM(Inputs!EB81:EB83))*(Inputs!EB91+Inputs!EB96-Inputs!EB102-Inputs!EB107))</f>
        <v>12934.2348444795</v>
      </c>
      <c r="DO35" s="0" t="n">
        <f aca="false">IF(DO14&gt;Residual_Month,0,Inputs!EC83+IF(SUM(Inputs!EC81:EC83)=0,0,Inputs!EC83/SUM(Inputs!EC81:EC83))*(Inputs!EC91+Inputs!EC96-Inputs!EC102-Inputs!EC107))</f>
        <v>12934.2348444795</v>
      </c>
      <c r="DP35" s="0" t="n">
        <f aca="false">IF(DP14&gt;Residual_Month,0,Inputs!ED83+IF(SUM(Inputs!ED81:ED83)=0,0,Inputs!ED83/SUM(Inputs!ED81:ED83))*(Inputs!ED91+Inputs!ED96-Inputs!ED102-Inputs!ED107))</f>
        <v>12934.2348444795</v>
      </c>
      <c r="DQ35" s="0" t="n">
        <f aca="false">IF(DQ14&gt;Residual_Month,0,Inputs!EE83+IF(SUM(Inputs!EE81:EE83)=0,0,Inputs!EE83/SUM(Inputs!EE81:EE83))*(Inputs!EE91+Inputs!EE96-Inputs!EE102-Inputs!EE107))</f>
        <v>12934.2348444795</v>
      </c>
      <c r="DR35" s="0" t="n">
        <f aca="false">IF(DR14&gt;Residual_Month,0,Inputs!EF83+IF(SUM(Inputs!EF81:EF83)=0,0,Inputs!EF83/SUM(Inputs!EF81:EF83))*(Inputs!EF91+Inputs!EF96-Inputs!EF102-Inputs!EF107))</f>
        <v>12934.2348444795</v>
      </c>
      <c r="DS35" s="0" t="n">
        <f aca="false">IF(DS14&gt;Residual_Month,0,Inputs!EG83+IF(SUM(Inputs!EG81:EG83)=0,0,Inputs!EG83/SUM(Inputs!EG81:EG83))*(Inputs!EG91+Inputs!EG96-Inputs!EG102-Inputs!EG107))</f>
        <v>12934.2348444795</v>
      </c>
      <c r="DT35" s="0" t="n">
        <f aca="false">IF(DT14&gt;Residual_Month,0,Inputs!EH83+IF(SUM(Inputs!EH81:EH83)=0,0,Inputs!EH83/SUM(Inputs!EH81:EH83))*(Inputs!EH91+Inputs!EH96-Inputs!EH102-Inputs!EH107))</f>
        <v>12931.1503523458</v>
      </c>
      <c r="DU35" s="0" t="n">
        <f aca="false">IF(DU14&gt;Residual_Month,0,Inputs!EI83+IF(SUM(Inputs!EI81:EI83)=0,0,Inputs!EI83/SUM(Inputs!EI81:EI83))*(Inputs!EI91+Inputs!EI96-Inputs!EI102-Inputs!EI107))</f>
        <v>12931.1503523458</v>
      </c>
      <c r="DV35" s="0" t="n">
        <f aca="false">IF(DV14&gt;Residual_Month,0,Inputs!EJ83+IF(SUM(Inputs!EJ81:EJ83)=0,0,Inputs!EJ83/SUM(Inputs!EJ81:EJ83))*(Inputs!EJ91+Inputs!EJ96-Inputs!EJ102-Inputs!EJ107))</f>
        <v>12931.1503523458</v>
      </c>
      <c r="DW35" s="0" t="n">
        <f aca="false">IF(DW14&gt;Residual_Month,0,Inputs!EK83+IF(SUM(Inputs!EK81:EK83)=0,0,Inputs!EK83/SUM(Inputs!EK81:EK83))*(Inputs!EK91+Inputs!EK96-Inputs!EK102-Inputs!EK107))</f>
        <v>12931.1503523458</v>
      </c>
      <c r="DX35" s="0" t="n">
        <f aca="false">IF(DX14&gt;Residual_Month,0,Inputs!EL83+IF(SUM(Inputs!EL81:EL83)=0,0,Inputs!EL83/SUM(Inputs!EL81:EL83))*(Inputs!EL91+Inputs!EL96-Inputs!EL102-Inputs!EL107))</f>
        <v>12931.1503523458</v>
      </c>
      <c r="DY35" s="0" t="n">
        <f aca="false">IF(DY14&gt;Residual_Month,0,Inputs!EM83+IF(SUM(Inputs!EM81:EM83)=0,0,Inputs!EM83/SUM(Inputs!EM81:EM83))*(Inputs!EM91+Inputs!EM96-Inputs!EM102-Inputs!EM107))</f>
        <v>12931.1503523458</v>
      </c>
      <c r="DZ35" s="0" t="n">
        <f aca="false">IF(DZ14&gt;Residual_Month,0,Inputs!EN83+IF(SUM(Inputs!EN81:EN83)=0,0,Inputs!EN83/SUM(Inputs!EN81:EN83))*(Inputs!EN91+Inputs!EN96-Inputs!EN102-Inputs!EN107))</f>
        <v>12931.1503523458</v>
      </c>
      <c r="EA35" s="0" t="n">
        <f aca="false">IF(EA14&gt;Residual_Month,0,Inputs!EO83+IF(SUM(Inputs!EO81:EO83)=0,0,Inputs!EO83/SUM(Inputs!EO81:EO83))*(Inputs!EO91+Inputs!EO96-Inputs!EO102-Inputs!EO107))</f>
        <v>12931.1503523458</v>
      </c>
      <c r="EB35" s="0" t="n">
        <f aca="false">IF(EB14&gt;Residual_Month,0,Inputs!EP83+IF(SUM(Inputs!EP81:EP83)=0,0,Inputs!EP83/SUM(Inputs!EP81:EP83))*(Inputs!EP91+Inputs!EP96-Inputs!EP102-Inputs!EP107))</f>
        <v>12931.1503523458</v>
      </c>
      <c r="EC35" s="0" t="n">
        <f aca="false">IF(EC14&gt;Residual_Month,0,Inputs!EQ83+IF(SUM(Inputs!EQ81:EQ83)=0,0,Inputs!EQ83/SUM(Inputs!EQ81:EQ83))*(Inputs!EQ91+Inputs!EQ96-Inputs!EQ102-Inputs!EQ107))</f>
        <v>12931.1503523458</v>
      </c>
      <c r="ED35" s="0" t="n">
        <f aca="false">IF(ED14&gt;Residual_Month,0,Inputs!ER83+IF(SUM(Inputs!ER81:ER83)=0,0,Inputs!ER83/SUM(Inputs!ER81:ER83))*(Inputs!ER91+Inputs!ER96-Inputs!ER102-Inputs!ER107))</f>
        <v>12931.1503523458</v>
      </c>
      <c r="EE35" s="0" t="n">
        <f aca="false">IF(EE14&gt;Residual_Month,0,Inputs!ES83+IF(SUM(Inputs!ES81:ES83)=0,0,Inputs!ES83/SUM(Inputs!ES81:ES83))*(Inputs!ES91+Inputs!ES96-Inputs!ES102-Inputs!ES107))</f>
        <v>12931.1503523458</v>
      </c>
      <c r="EF35" s="0" t="n">
        <f aca="false">IF(EF14&gt;Residual_Month,0,Inputs!ET83+IF(SUM(Inputs!ET81:ET83)=0,0,Inputs!ET83/SUM(Inputs!ET81:ET83))*(Inputs!ET91+Inputs!ET96-Inputs!ET102-Inputs!ET107))</f>
        <v>12927.9849406439</v>
      </c>
      <c r="EG35" s="0" t="n">
        <f aca="false">IF(EG14&gt;Residual_Month,0,Inputs!EU83+IF(SUM(Inputs!EU81:EU83)=0,0,Inputs!EU83/SUM(Inputs!EU81:EU83))*(Inputs!EU91+Inputs!EU96-Inputs!EU102-Inputs!EU107))</f>
        <v>12927.9849406439</v>
      </c>
      <c r="EH35" s="0" t="n">
        <f aca="false">IF(EH14&gt;Residual_Month,0,Inputs!EV83+IF(SUM(Inputs!EV81:EV83)=0,0,Inputs!EV83/SUM(Inputs!EV81:EV83))*(Inputs!EV91+Inputs!EV96-Inputs!EV102-Inputs!EV107))</f>
        <v>12927.9849406439</v>
      </c>
      <c r="EI35" s="0" t="n">
        <f aca="false">IF(EI14&gt;Residual_Month,0,Inputs!EW83+IF(SUM(Inputs!EW81:EW83)=0,0,Inputs!EW83/SUM(Inputs!EW81:EW83))*(Inputs!EW91+Inputs!EW96-Inputs!EW102-Inputs!EW107))</f>
        <v>12927.9849406439</v>
      </c>
      <c r="EJ35" s="0" t="n">
        <f aca="false">IF(EJ14&gt;Residual_Month,0,Inputs!EX83+IF(SUM(Inputs!EX81:EX83)=0,0,Inputs!EX83/SUM(Inputs!EX81:EX83))*(Inputs!EX91+Inputs!EX96-Inputs!EX102-Inputs!EX107))</f>
        <v>12927.9849406439</v>
      </c>
      <c r="EK35" s="0" t="n">
        <f aca="false">IF(EK14&gt;Residual_Month,0,Inputs!EY83+IF(SUM(Inputs!EY81:EY83)=0,0,Inputs!EY83/SUM(Inputs!EY81:EY83))*(Inputs!EY91+Inputs!EY96-Inputs!EY102-Inputs!EY107))</f>
        <v>12927.9849406439</v>
      </c>
      <c r="EL35" s="0" t="n">
        <f aca="false">IF(EL14&gt;Residual_Month,0,Inputs!EZ83+IF(SUM(Inputs!EZ81:EZ83)=0,0,Inputs!EZ83/SUM(Inputs!EZ81:EZ83))*(Inputs!EZ91+Inputs!EZ96-Inputs!EZ102-Inputs!EZ107))</f>
        <v>12927.9849406439</v>
      </c>
      <c r="EM35" s="0" t="n">
        <f aca="false">IF(EM14&gt;Residual_Month,0,Inputs!FA83+IF(SUM(Inputs!FA81:FA83)=0,0,Inputs!FA83/SUM(Inputs!FA81:FA83))*(Inputs!FA91+Inputs!FA96-Inputs!FA102-Inputs!FA107))</f>
        <v>12927.9849406439</v>
      </c>
      <c r="EN35" s="0" t="n">
        <f aca="false">IF(EN14&gt;Residual_Month,0,Inputs!FB83+IF(SUM(Inputs!FB81:FB83)=0,0,Inputs!FB83/SUM(Inputs!FB81:FB83))*(Inputs!FB91+Inputs!FB96-Inputs!FB102-Inputs!FB107))</f>
        <v>12927.9849406439</v>
      </c>
      <c r="EO35" s="0" t="n">
        <f aca="false">IF(EO14&gt;Residual_Month,0,Inputs!FC83+IF(SUM(Inputs!FC81:FC83)=0,0,Inputs!FC83/SUM(Inputs!FC81:FC83))*(Inputs!FC91+Inputs!FC96-Inputs!FC102-Inputs!FC107))</f>
        <v>12927.9849406439</v>
      </c>
      <c r="EP35" s="0" t="n">
        <f aca="false">IF(EP14&gt;Residual_Month,0,Inputs!FD83+IF(SUM(Inputs!FD81:FD83)=0,0,Inputs!FD83/SUM(Inputs!FD81:FD83))*(Inputs!FD91+Inputs!FD96-Inputs!FD102-Inputs!FD107))</f>
        <v>12927.9849406439</v>
      </c>
      <c r="EQ35" s="0" t="n">
        <f aca="false">IF(EQ14&gt;Residual_Month,0,Inputs!FE83+IF(SUM(Inputs!FE81:FE83)=0,0,Inputs!FE83/SUM(Inputs!FE81:FE83))*(Inputs!FE91+Inputs!FE96-Inputs!FE102-Inputs!FE107))</f>
        <v>12927.9849406439</v>
      </c>
      <c r="ER35" s="0" t="n">
        <f aca="false">IF(ER14&gt;Residual_Month,0,Inputs!FF83+IF(SUM(Inputs!FF81:FF83)=0,0,Inputs!FF83/SUM(Inputs!FF81:FF83))*(Inputs!FF91+Inputs!FF96-Inputs!FF102-Inputs!FF107))</f>
        <v>12924.7365102392</v>
      </c>
      <c r="ES35" s="0" t="n">
        <f aca="false">IF(ES14&gt;Residual_Month,0,Inputs!FG83+IF(SUM(Inputs!FG81:FG83)=0,0,Inputs!FG83/SUM(Inputs!FG81:FG83))*(Inputs!FG91+Inputs!FG96-Inputs!FG102-Inputs!FG107))</f>
        <v>12924.7365102392</v>
      </c>
      <c r="ET35" s="0" t="n">
        <f aca="false">IF(ET14&gt;Residual_Month,0,Inputs!FH83+IF(SUM(Inputs!FH81:FH83)=0,0,Inputs!FH83/SUM(Inputs!FH81:FH83))*(Inputs!FH91+Inputs!FH96-Inputs!FH102-Inputs!FH107))</f>
        <v>12924.7365102392</v>
      </c>
      <c r="EU35" s="0" t="n">
        <f aca="false">IF(EU14&gt;Residual_Month,0,Inputs!FI83+IF(SUM(Inputs!FI81:FI83)=0,0,Inputs!FI83/SUM(Inputs!FI81:FI83))*(Inputs!FI91+Inputs!FI96-Inputs!FI102-Inputs!FI107))</f>
        <v>12924.7365102392</v>
      </c>
      <c r="EV35" s="0" t="n">
        <f aca="false">IF(EV14&gt;Residual_Month,0,Inputs!FJ83+IF(SUM(Inputs!FJ81:FJ83)=0,0,Inputs!FJ83/SUM(Inputs!FJ81:FJ83))*(Inputs!FJ91+Inputs!FJ96-Inputs!FJ102-Inputs!FJ107))</f>
        <v>12924.7365102392</v>
      </c>
      <c r="EW35" s="0" t="n">
        <f aca="false">IF(EW14&gt;Residual_Month,0,Inputs!FK83+IF(SUM(Inputs!FK81:FK83)=0,0,Inputs!FK83/SUM(Inputs!FK81:FK83))*(Inputs!FK91+Inputs!FK96-Inputs!FK102-Inputs!FK107))</f>
        <v>12924.7365102392</v>
      </c>
      <c r="EX35" s="0" t="n">
        <f aca="false">IF(EX14&gt;Residual_Month,0,Inputs!FL83+IF(SUM(Inputs!FL81:FL83)=0,0,Inputs!FL83/SUM(Inputs!FL81:FL83))*(Inputs!FL91+Inputs!FL96-Inputs!FL102-Inputs!FL107))</f>
        <v>12924.7365102392</v>
      </c>
      <c r="EY35" s="0" t="n">
        <f aca="false">IF(EY14&gt;Residual_Month,0,Inputs!FM83+IF(SUM(Inputs!FM81:FM83)=0,0,Inputs!FM83/SUM(Inputs!FM81:FM83))*(Inputs!FM91+Inputs!FM96-Inputs!FM102-Inputs!FM107))</f>
        <v>12924.7365102392</v>
      </c>
      <c r="EZ35" s="0" t="n">
        <f aca="false">IF(EZ14&gt;Residual_Month,0,Inputs!FN83+IF(SUM(Inputs!FN81:FN83)=0,0,Inputs!FN83/SUM(Inputs!FN81:FN83))*(Inputs!FN91+Inputs!FN96-Inputs!FN102-Inputs!FN107))</f>
        <v>12924.7365102392</v>
      </c>
      <c r="FA35" s="0" t="n">
        <f aca="false">IF(FA14&gt;Residual_Month,0,Inputs!FO83+IF(SUM(Inputs!FO81:FO83)=0,0,Inputs!FO83/SUM(Inputs!FO81:FO83))*(Inputs!FO91+Inputs!FO96-Inputs!FO102-Inputs!FO107))</f>
        <v>12924.7365102392</v>
      </c>
      <c r="FB35" s="0" t="n">
        <f aca="false">IF(FB14&gt;Residual_Month,0,Inputs!FP83+IF(SUM(Inputs!FP81:FP83)=0,0,Inputs!FP83/SUM(Inputs!FP81:FP83))*(Inputs!FP91+Inputs!FP96-Inputs!FP102-Inputs!FP107))</f>
        <v>12924.7365102392</v>
      </c>
      <c r="FC35" s="0" t="n">
        <f aca="false">IF(FC14&gt;Residual_Month,0,Inputs!FQ83+IF(SUM(Inputs!FQ81:FQ83)=0,0,Inputs!FQ83/SUM(Inputs!FQ81:FQ83))*(Inputs!FQ91+Inputs!FQ96-Inputs!FQ102-Inputs!FQ107))</f>
        <v>12924.7365102392</v>
      </c>
      <c r="FD35" s="0" t="n">
        <f aca="false">IF(FD14&gt;Residual_Month,0,Inputs!FR83+IF(SUM(Inputs!FR81:FR83)=0,0,Inputs!FR83/SUM(Inputs!FR81:FR83))*(Inputs!FR91+Inputs!FR96-Inputs!FR102-Inputs!FR107))</f>
        <v>0</v>
      </c>
      <c r="FE35" s="0" t="n">
        <f aca="false">IF(FE14&gt;Residual_Month,0,Inputs!FS83+IF(SUM(Inputs!FS81:FS83)=0,0,Inputs!FS83/SUM(Inputs!FS81:FS83))*(Inputs!FS91+Inputs!FS96-Inputs!FS102-Inputs!FS107))</f>
        <v>0</v>
      </c>
      <c r="FF35" s="0" t="n">
        <f aca="false">IF(FF14&gt;Residual_Month,0,Inputs!FT83+IF(SUM(Inputs!FT81:FT83)=0,0,Inputs!FT83/SUM(Inputs!FT81:FT83))*(Inputs!FT91+Inputs!FT96-Inputs!FT102-Inputs!FT107))</f>
        <v>0</v>
      </c>
      <c r="FG35" s="0" t="n">
        <f aca="false">IF(FG14&gt;Residual_Month,0,Inputs!FU83+IF(SUM(Inputs!FU81:FU83)=0,0,Inputs!FU83/SUM(Inputs!FU81:FU83))*(Inputs!FU91+Inputs!FU96-Inputs!FU102-Inputs!FU107))</f>
        <v>0</v>
      </c>
      <c r="FH35" s="0" t="n">
        <f aca="false">IF(FH14&gt;Residual_Month,0,Inputs!FV83+IF(SUM(Inputs!FV81:FV83)=0,0,Inputs!FV83/SUM(Inputs!FV81:FV83))*(Inputs!FV91+Inputs!FV96-Inputs!FV102-Inputs!FV107))</f>
        <v>0</v>
      </c>
      <c r="FI35" s="0" t="n">
        <f aca="false">IF(FI14&gt;Residual_Month,0,Inputs!FW83+IF(SUM(Inputs!FW81:FW83)=0,0,Inputs!FW83/SUM(Inputs!FW81:FW83))*(Inputs!FW91+Inputs!FW96-Inputs!FW102-Inputs!FW107))</f>
        <v>0</v>
      </c>
      <c r="FJ35" s="0" t="n">
        <f aca="false">IF(FJ14&gt;Residual_Month,0,Inputs!FX83+IF(SUM(Inputs!FX81:FX83)=0,0,Inputs!FX83/SUM(Inputs!FX81:FX83))*(Inputs!FX91+Inputs!FX96-Inputs!FX102-Inputs!FX107))</f>
        <v>0</v>
      </c>
      <c r="FK35" s="0" t="n">
        <f aca="false">IF(FK14&gt;Residual_Month,0,Inputs!FY83+IF(SUM(Inputs!FY81:FY83)=0,0,Inputs!FY83/SUM(Inputs!FY81:FY83))*(Inputs!FY91+Inputs!FY96-Inputs!FY102-Inputs!FY107))</f>
        <v>0</v>
      </c>
      <c r="FL35" s="0" t="n">
        <f aca="false">IF(FL14&gt;Residual_Month,0,Inputs!FZ83+IF(SUM(Inputs!FZ81:FZ83)=0,0,Inputs!FZ83/SUM(Inputs!FZ81:FZ83))*(Inputs!FZ91+Inputs!FZ96-Inputs!FZ102-Inputs!FZ107))</f>
        <v>0</v>
      </c>
      <c r="FM35" s="0" t="n">
        <f aca="false">IF(FM14&gt;Residual_Month,0,Inputs!GA83+IF(SUM(Inputs!GA81:GA83)=0,0,Inputs!GA83/SUM(Inputs!GA81:GA83))*(Inputs!GA91+Inputs!GA96-Inputs!GA102-Inputs!GA107))</f>
        <v>0</v>
      </c>
      <c r="FN35" s="0" t="n">
        <f aca="false">IF(FN14&gt;Residual_Month,0,Inputs!GB83+IF(SUM(Inputs!GB81:GB83)=0,0,Inputs!GB83/SUM(Inputs!GB81:GB83))*(Inputs!GB91+Inputs!GB96-Inputs!GB102-Inputs!GB107))</f>
        <v>0</v>
      </c>
      <c r="FO35" s="0" t="n">
        <f aca="false">IF(FO14&gt;Residual_Month,0,Inputs!GC83+IF(SUM(Inputs!GC81:GC83)=0,0,Inputs!GC83/SUM(Inputs!GC81:GC83))*(Inputs!GC91+Inputs!GC96-Inputs!GC102-Inputs!GC107))</f>
        <v>0</v>
      </c>
      <c r="FP35" s="0" t="n">
        <f aca="false">IF(FP14&gt;Residual_Month,0,Inputs!GD83+IF(SUM(Inputs!GD81:GD83)=0,0,Inputs!GD83/SUM(Inputs!GD81:GD83))*(Inputs!GD91+Inputs!GD96-Inputs!GD102-Inputs!GD107))</f>
        <v>0</v>
      </c>
      <c r="FQ35" s="0" t="n">
        <f aca="false">IF(FQ14&gt;Residual_Month,0,Inputs!GE83+IF(SUM(Inputs!GE81:GE83)=0,0,Inputs!GE83/SUM(Inputs!GE81:GE83))*(Inputs!GE91+Inputs!GE96-Inputs!GE102-Inputs!GE107))</f>
        <v>0</v>
      </c>
      <c r="FR35" s="0" t="n">
        <f aca="false">IF(FR14&gt;Residual_Month,0,Inputs!GF83+IF(SUM(Inputs!GF81:GF83)=0,0,Inputs!GF83/SUM(Inputs!GF81:GF83))*(Inputs!GF91+Inputs!GF96-Inputs!GF102-Inputs!GF107))</f>
        <v>0</v>
      </c>
      <c r="FS35" s="0" t="n">
        <f aca="false">IF(FS14&gt;Residual_Month,0,Inputs!GG83+IF(SUM(Inputs!GG81:GG83)=0,0,Inputs!GG83/SUM(Inputs!GG81:GG83))*(Inputs!GG91+Inputs!GG96-Inputs!GG102-Inputs!GG107))</f>
        <v>0</v>
      </c>
      <c r="FT35" s="0" t="n">
        <f aca="false">IF(FT14&gt;Residual_Month,0,Inputs!GH83+IF(SUM(Inputs!GH81:GH83)=0,0,Inputs!GH83/SUM(Inputs!GH81:GH83))*(Inputs!GH91+Inputs!GH96-Inputs!GH102-Inputs!GH107))</f>
        <v>0</v>
      </c>
      <c r="FU35" s="0" t="n">
        <f aca="false">IF(FU14&gt;Residual_Month,0,Inputs!GI83+IF(SUM(Inputs!GI81:GI83)=0,0,Inputs!GI83/SUM(Inputs!GI81:GI83))*(Inputs!GI91+Inputs!GI96-Inputs!GI102-Inputs!GI107))</f>
        <v>0</v>
      </c>
      <c r="FV35" s="0" t="n">
        <f aca="false">IF(FV14&gt;Residual_Month,0,Inputs!GJ83+IF(SUM(Inputs!GJ81:GJ83)=0,0,Inputs!GJ83/SUM(Inputs!GJ81:GJ83))*(Inputs!GJ91+Inputs!GJ96-Inputs!GJ102-Inputs!GJ107))</f>
        <v>0</v>
      </c>
      <c r="FW35" s="0" t="n">
        <f aca="false">IF(FW14&gt;Residual_Month,0,Inputs!GK83+IF(SUM(Inputs!GK81:GK83)=0,0,Inputs!GK83/SUM(Inputs!GK81:GK83))*(Inputs!GK91+Inputs!GK96-Inputs!GK102-Inputs!GK107))</f>
        <v>0</v>
      </c>
      <c r="FX35" s="0" t="n">
        <f aca="false">IF(FX14&gt;Residual_Month,0,Inputs!GL83+IF(SUM(Inputs!GL81:GL83)=0,0,Inputs!GL83/SUM(Inputs!GL81:GL83))*(Inputs!GL91+Inputs!GL96-Inputs!GL102-Inputs!GL107))</f>
        <v>0</v>
      </c>
      <c r="FY35" s="0" t="n">
        <f aca="false">IF(FY14&gt;Residual_Month,0,Inputs!GM83+IF(SUM(Inputs!GM81:GM83)=0,0,Inputs!GM83/SUM(Inputs!GM81:GM83))*(Inputs!GM91+Inputs!GM96-Inputs!GM102-Inputs!GM107))</f>
        <v>0</v>
      </c>
      <c r="FZ35" s="0" t="n">
        <f aca="false">IF(FZ14&gt;Residual_Month,0,Inputs!GN83+IF(SUM(Inputs!GN81:GN83)=0,0,Inputs!GN83/SUM(Inputs!GN81:GN83))*(Inputs!GN91+Inputs!GN96-Inputs!GN102-Inputs!GN107))</f>
        <v>0</v>
      </c>
      <c r="GA35" s="0" t="n">
        <f aca="false">IF(GA14&gt;Residual_Month,0,Inputs!GO83+IF(SUM(Inputs!GO81:GO83)=0,0,Inputs!GO83/SUM(Inputs!GO81:GO83))*(Inputs!GO91+Inputs!GO96-Inputs!GO102-Inputs!GO107))</f>
        <v>0</v>
      </c>
      <c r="GB35" s="0" t="n">
        <f aca="false">IF(GB14&gt;Residual_Month,0,Inputs!GP83+IF(SUM(Inputs!GP81:GP83)=0,0,Inputs!GP83/SUM(Inputs!GP81:GP83))*(Inputs!GP91+Inputs!GP96-Inputs!GP102-Inputs!GP107))</f>
        <v>0</v>
      </c>
      <c r="GC35" s="0" t="n">
        <f aca="false">IF(GC14&gt;Residual_Month,0,Inputs!GQ83+IF(SUM(Inputs!GQ81:GQ83)=0,0,Inputs!GQ83/SUM(Inputs!GQ81:GQ83))*(Inputs!GQ91+Inputs!GQ96-Inputs!GQ102-Inputs!GQ107))</f>
        <v>0</v>
      </c>
      <c r="GD35" s="0" t="n">
        <f aca="false">IF(GD14&gt;Residual_Month,0,Inputs!GR83+IF(SUM(Inputs!GR81:GR83)=0,0,Inputs!GR83/SUM(Inputs!GR81:GR83))*(Inputs!GR91+Inputs!GR96-Inputs!GR102-Inputs!GR107))</f>
        <v>0</v>
      </c>
      <c r="GE35" s="0" t="n">
        <f aca="false">IF(GE14&gt;Residual_Month,0,Inputs!GS83+IF(SUM(Inputs!GS81:GS83)=0,0,Inputs!GS83/SUM(Inputs!GS81:GS83))*(Inputs!GS91+Inputs!GS96-Inputs!GS102-Inputs!GS107))</f>
        <v>0</v>
      </c>
      <c r="GF35" s="0" t="n">
        <f aca="false">IF(GF14&gt;Residual_Month,0,Inputs!GT83+IF(SUM(Inputs!GT81:GT83)=0,0,Inputs!GT83/SUM(Inputs!GT81:GT83))*(Inputs!GT91+Inputs!GT96-Inputs!GT102-Inputs!GT107))</f>
        <v>0</v>
      </c>
      <c r="GG35" s="0" t="n">
        <f aca="false">IF(GG14&gt;Residual_Month,0,Inputs!GU83+IF(SUM(Inputs!GU81:GU83)=0,0,Inputs!GU83/SUM(Inputs!GU81:GU83))*(Inputs!GU91+Inputs!GU96-Inputs!GU102-Inputs!GU107))</f>
        <v>0</v>
      </c>
      <c r="GH35" s="0" t="n">
        <f aca="false">IF(GH14&gt;Residual_Month,0,Inputs!GV83+IF(SUM(Inputs!GV81:GV83)=0,0,Inputs!GV83/SUM(Inputs!GV81:GV83))*(Inputs!GV91+Inputs!GV96-Inputs!GV102-Inputs!GV107))</f>
        <v>0</v>
      </c>
      <c r="GI35" s="0" t="n">
        <f aca="false">IF(GI14&gt;Residual_Month,0,Inputs!GW83+IF(SUM(Inputs!GW81:GW83)=0,0,Inputs!GW83/SUM(Inputs!GW81:GW83))*(Inputs!GW91+Inputs!GW96-Inputs!GW102-Inputs!GW107))</f>
        <v>0</v>
      </c>
      <c r="GJ35" s="0" t="n">
        <f aca="false">IF(GJ14&gt;Residual_Month,0,Inputs!GX83+IF(SUM(Inputs!GX81:GX83)=0,0,Inputs!GX83/SUM(Inputs!GX81:GX83))*(Inputs!GX91+Inputs!GX96-Inputs!GX102-Inputs!GX107))</f>
        <v>0</v>
      </c>
      <c r="GK35" s="0" t="n">
        <f aca="false">IF(GK14&gt;Residual_Month,0,Inputs!GY83+IF(SUM(Inputs!GY81:GY83)=0,0,Inputs!GY83/SUM(Inputs!GY81:GY83))*(Inputs!GY91+Inputs!GY96-Inputs!GY102-Inputs!GY107))</f>
        <v>0</v>
      </c>
      <c r="GL35" s="0" t="n">
        <f aca="false">IF(GL14&gt;Residual_Month,0,Inputs!GZ83+IF(SUM(Inputs!GZ81:GZ83)=0,0,Inputs!GZ83/SUM(Inputs!GZ81:GZ83))*(Inputs!GZ91+Inputs!GZ96-Inputs!GZ102-Inputs!GZ107))</f>
        <v>0</v>
      </c>
      <c r="GM35" s="0" t="n">
        <f aca="false">IF(GM14&gt;Residual_Month,0,Inputs!HA83+IF(SUM(Inputs!HA81:HA83)=0,0,Inputs!HA83/SUM(Inputs!HA81:HA83))*(Inputs!HA91+Inputs!HA96-Inputs!HA102-Inputs!HA107))</f>
        <v>0</v>
      </c>
      <c r="GN35" s="0" t="n">
        <f aca="false">IF(GN14&gt;Residual_Month,0,Inputs!HB83+IF(SUM(Inputs!HB81:HB83)=0,0,Inputs!HB83/SUM(Inputs!HB81:HB83))*(Inputs!HB91+Inputs!HB96-Inputs!HB102-Inputs!HB107))</f>
        <v>0</v>
      </c>
      <c r="GO35" s="0" t="n">
        <f aca="false">IF(GO14&gt;Residual_Month,0,Inputs!HC83+IF(SUM(Inputs!HC81:HC83)=0,0,Inputs!HC83/SUM(Inputs!HC81:HC83))*(Inputs!HC91+Inputs!HC96-Inputs!HC102-Inputs!HC107))</f>
        <v>0</v>
      </c>
      <c r="GP35" s="0" t="n">
        <f aca="false">IF(GP14&gt;Residual_Month,0,Inputs!HD83+IF(SUM(Inputs!HD81:HD83)=0,0,Inputs!HD83/SUM(Inputs!HD81:HD83))*(Inputs!HD91+Inputs!HD96-Inputs!HD102-Inputs!HD107))</f>
        <v>0</v>
      </c>
      <c r="GQ35" s="0" t="n">
        <f aca="false">IF(GQ14&gt;Residual_Month,0,Inputs!HE83+IF(SUM(Inputs!HE81:HE83)=0,0,Inputs!HE83/SUM(Inputs!HE81:HE83))*(Inputs!HE91+Inputs!HE96-Inputs!HE102-Inputs!HE107))</f>
        <v>0</v>
      </c>
      <c r="GR35" s="0" t="n">
        <f aca="false">IF(GR14&gt;Residual_Month,0,Inputs!HF83+IF(SUM(Inputs!HF81:HF83)=0,0,Inputs!HF83/SUM(Inputs!HF81:HF83))*(Inputs!HF91+Inputs!HF96-Inputs!HF102-Inputs!HF107))</f>
        <v>0</v>
      </c>
      <c r="GS35" s="0" t="n">
        <f aca="false">IF(GS14&gt;Residual_Month,0,Inputs!HG83+IF(SUM(Inputs!HG81:HG83)=0,0,Inputs!HG83/SUM(Inputs!HG81:HG83))*(Inputs!HG91+Inputs!HG96-Inputs!HG102-Inputs!HG107))</f>
        <v>0</v>
      </c>
      <c r="GT35" s="0" t="n">
        <f aca="false">IF(GT14&gt;Residual_Month,0,Inputs!HH83+IF(SUM(Inputs!HH81:HH83)=0,0,Inputs!HH83/SUM(Inputs!HH81:HH83))*(Inputs!HH91+Inputs!HH96-Inputs!HH102-Inputs!HH107))</f>
        <v>0</v>
      </c>
      <c r="GU35" s="0" t="n">
        <f aca="false">IF(GU14&gt;Residual_Month,0,Inputs!HI83+IF(SUM(Inputs!HI81:HI83)=0,0,Inputs!HI83/SUM(Inputs!HI81:HI83))*(Inputs!HI91+Inputs!HI96-Inputs!HI102-Inputs!HI107))</f>
        <v>0</v>
      </c>
      <c r="GV35" s="0" t="n">
        <f aca="false">IF(GV14&gt;Residual_Month,0,Inputs!HJ83+IF(SUM(Inputs!HJ81:HJ83)=0,0,Inputs!HJ83/SUM(Inputs!HJ81:HJ83))*(Inputs!HJ91+Inputs!HJ96-Inputs!HJ102-Inputs!HJ107))</f>
        <v>0</v>
      </c>
      <c r="GW35" s="0" t="n">
        <f aca="false">IF(GW14&gt;Residual_Month,0,Inputs!HK83+IF(SUM(Inputs!HK81:HK83)=0,0,Inputs!HK83/SUM(Inputs!HK81:HK83))*(Inputs!HK91+Inputs!HK96-Inputs!HK102-Inputs!HK107))</f>
        <v>0</v>
      </c>
      <c r="GX35" s="0" t="n">
        <f aca="false">IF(GX14&gt;Residual_Month,0,Inputs!HL83+IF(SUM(Inputs!HL81:HL83)=0,0,Inputs!HL83/SUM(Inputs!HL81:HL83))*(Inputs!HL91+Inputs!HL96-Inputs!HL102-Inputs!HL107))</f>
        <v>0</v>
      </c>
      <c r="GY35" s="0" t="n">
        <f aca="false">IF(GY14&gt;Residual_Month,0,Inputs!HM83+IF(SUM(Inputs!HM81:HM83)=0,0,Inputs!HM83/SUM(Inputs!HM81:HM83))*(Inputs!HM91+Inputs!HM96-Inputs!HM102-Inputs!HM107))</f>
        <v>0</v>
      </c>
      <c r="GZ35" s="0" t="n">
        <f aca="false">IF(GZ14&gt;Residual_Month,0,Inputs!HN83+IF(SUM(Inputs!HN81:HN83)=0,0,Inputs!HN83/SUM(Inputs!HN81:HN83))*(Inputs!HN91+Inputs!HN96-Inputs!HN102-Inputs!HN107))</f>
        <v>0</v>
      </c>
      <c r="HA35" s="0" t="n">
        <f aca="false">IF(HA14&gt;Residual_Month,0,Inputs!HO83+IF(SUM(Inputs!HO81:HO83)=0,0,Inputs!HO83/SUM(Inputs!HO81:HO83))*(Inputs!HO91+Inputs!HO96-Inputs!HO102-Inputs!HO107))</f>
        <v>0</v>
      </c>
      <c r="HB35" s="0" t="n">
        <f aca="false">IF(HB14&gt;Residual_Month,0,Inputs!HP83+IF(SUM(Inputs!HP81:HP83)=0,0,Inputs!HP83/SUM(Inputs!HP81:HP83))*(Inputs!HP91+Inputs!HP96-Inputs!HP102-Inputs!HP107))</f>
        <v>0</v>
      </c>
      <c r="HC35" s="0" t="n">
        <f aca="false">IF(HC14&gt;Residual_Month,0,Inputs!HQ83+IF(SUM(Inputs!HQ81:HQ83)=0,0,Inputs!HQ83/SUM(Inputs!HQ81:HQ83))*(Inputs!HQ91+Inputs!HQ96-Inputs!HQ102-Inputs!HQ107))</f>
        <v>0</v>
      </c>
      <c r="HD35" s="0" t="n">
        <f aca="false">IF(HD14&gt;Residual_Month,0,Inputs!HR83+IF(SUM(Inputs!HR81:HR83)=0,0,Inputs!HR83/SUM(Inputs!HR81:HR83))*(Inputs!HR91+Inputs!HR96-Inputs!HR102-Inputs!HR107))</f>
        <v>0</v>
      </c>
      <c r="HE35" s="0" t="n">
        <f aca="false">IF(HE14&gt;Residual_Month,0,Inputs!HS83+IF(SUM(Inputs!HS81:HS83)=0,0,Inputs!HS83/SUM(Inputs!HS81:HS83))*(Inputs!HS91+Inputs!HS96-Inputs!HS102-Inputs!HS107))</f>
        <v>0</v>
      </c>
      <c r="HF35" s="0" t="n">
        <f aca="false">IF(HF14&gt;Residual_Month,0,Inputs!HT83+IF(SUM(Inputs!HT81:HT83)=0,0,Inputs!HT83/SUM(Inputs!HT81:HT83))*(Inputs!HT91+Inputs!HT96-Inputs!HT102-Inputs!HT107))</f>
        <v>0</v>
      </c>
      <c r="HG35" s="0" t="n">
        <f aca="false">IF(HG14&gt;Residual_Month,0,Inputs!HU83+IF(SUM(Inputs!HU81:HU83)=0,0,Inputs!HU83/SUM(Inputs!HU81:HU83))*(Inputs!HU91+Inputs!HU96-Inputs!HU102-Inputs!HU107))</f>
        <v>0</v>
      </c>
      <c r="HH35" s="0" t="n">
        <f aca="false">IF(HH14&gt;Residual_Month,0,Inputs!HV83+IF(SUM(Inputs!HV81:HV83)=0,0,Inputs!HV83/SUM(Inputs!HV81:HV83))*(Inputs!HV91+Inputs!HV96-Inputs!HV102-Inputs!HV107))</f>
        <v>0</v>
      </c>
      <c r="HI35" s="0" t="n">
        <f aca="false">IF(HI14&gt;Residual_Month,0,Inputs!HW83+IF(SUM(Inputs!HW81:HW83)=0,0,Inputs!HW83/SUM(Inputs!HW81:HW83))*(Inputs!HW91+Inputs!HW96-Inputs!HW102-Inputs!HW107))</f>
        <v>0</v>
      </c>
      <c r="HJ35" s="0" t="n">
        <f aca="false">IF(HJ14&gt;Residual_Month,0,Inputs!HX83+IF(SUM(Inputs!HX81:HX83)=0,0,Inputs!HX83/SUM(Inputs!HX81:HX83))*(Inputs!HX91+Inputs!HX96-Inputs!HX102-Inputs!HX107))</f>
        <v>0</v>
      </c>
      <c r="HK35" s="0" t="n">
        <f aca="false">IF(HK14&gt;Residual_Month,0,Inputs!HY83+IF(SUM(Inputs!HY81:HY83)=0,0,Inputs!HY83/SUM(Inputs!HY81:HY83))*(Inputs!HY91+Inputs!HY96-Inputs!HY102-Inputs!HY107))</f>
        <v>0</v>
      </c>
      <c r="HL35" s="0" t="n">
        <f aca="false">IF(HL14&gt;Residual_Month,0,Inputs!HZ83+IF(SUM(Inputs!HZ81:HZ83)=0,0,Inputs!HZ83/SUM(Inputs!HZ81:HZ83))*(Inputs!HZ91+Inputs!HZ96-Inputs!HZ102-Inputs!HZ107))</f>
        <v>0</v>
      </c>
      <c r="HM35" s="0" t="n">
        <f aca="false">IF(HM14&gt;Residual_Month,0,Inputs!IA83+IF(SUM(Inputs!IA81:IA83)=0,0,Inputs!IA83/SUM(Inputs!IA81:IA83))*(Inputs!IA91+Inputs!IA96-Inputs!IA102-Inputs!IA107))</f>
        <v>0</v>
      </c>
      <c r="HN35" s="0" t="n">
        <f aca="false">IF(HN14&gt;Residual_Month,0,Inputs!IB83+IF(SUM(Inputs!IB81:IB83)=0,0,Inputs!IB83/SUM(Inputs!IB81:IB83))*(Inputs!IB91+Inputs!IB96-Inputs!IB102-Inputs!IB107))</f>
        <v>0</v>
      </c>
      <c r="HO35" s="0" t="n">
        <f aca="false">IF(HO14&gt;Residual_Month,0,Inputs!IC83+IF(SUM(Inputs!IC81:IC83)=0,0,Inputs!IC83/SUM(Inputs!IC81:IC83))*(Inputs!IC91+Inputs!IC96-Inputs!IC102-Inputs!IC107))</f>
        <v>0</v>
      </c>
      <c r="HP35" s="0" t="n">
        <f aca="false">IF(HP14&gt;Residual_Month,0,Inputs!ID83+IF(SUM(Inputs!ID81:ID83)=0,0,Inputs!ID83/SUM(Inputs!ID81:ID83))*(Inputs!ID91+Inputs!ID96-Inputs!ID102-Inputs!ID107))</f>
        <v>0</v>
      </c>
      <c r="HQ35" s="0" t="n">
        <f aca="false">IF(HQ14&gt;Residual_Month,0,Inputs!IE83+IF(SUM(Inputs!IE81:IE83)=0,0,Inputs!IE83/SUM(Inputs!IE81:IE83))*(Inputs!IE91+Inputs!IE96-Inputs!IE102-Inputs!IE107))</f>
        <v>0</v>
      </c>
      <c r="HR35" s="0" t="n">
        <f aca="false">IF(HR14&gt;Residual_Month,0,Inputs!IF83+IF(SUM(Inputs!IF81:IF83)=0,0,Inputs!IF83/SUM(Inputs!IF81:IF83))*(Inputs!IF91+Inputs!IF96-Inputs!IF102-Inputs!IF107))</f>
        <v>0</v>
      </c>
      <c r="HS35" s="0" t="n">
        <f aca="false">IF(HS14&gt;Residual_Month,0,Inputs!IG83+IF(SUM(Inputs!IG81:IG83)=0,0,Inputs!IG83/SUM(Inputs!IG81:IG83))*(Inputs!IG91+Inputs!IG96-Inputs!IG102-Inputs!IG107))</f>
        <v>0</v>
      </c>
      <c r="HT35" s="0" t="n">
        <f aca="false">IF(HT14&gt;Residual_Month,0,Inputs!IH83+IF(SUM(Inputs!IH81:IH83)=0,0,Inputs!IH83/SUM(Inputs!IH81:IH83))*(Inputs!IH91+Inputs!IH96-Inputs!IH102-Inputs!IH107))</f>
        <v>0</v>
      </c>
      <c r="HU35" s="0" t="n">
        <f aca="false">IF(HU14&gt;Residual_Month,0,Inputs!II83+IF(SUM(Inputs!II81:II83)=0,0,Inputs!II83/SUM(Inputs!II81:II83))*(Inputs!II91+Inputs!II96-Inputs!II102-Inputs!II107))</f>
        <v>0</v>
      </c>
      <c r="HV35" s="0" t="n">
        <f aca="false">IF(HV14&gt;Residual_Month,0,Inputs!IJ83+IF(SUM(Inputs!IJ81:IJ83)=0,0,Inputs!IJ83/SUM(Inputs!IJ81:IJ83))*(Inputs!IJ91+Inputs!IJ96-Inputs!IJ102-Inputs!IJ107))</f>
        <v>0</v>
      </c>
      <c r="HW35" s="0" t="n">
        <f aca="false">IF(HW14&gt;Residual_Month,0,Inputs!IK83+IF(SUM(Inputs!IK81:IK83)=0,0,Inputs!IK83/SUM(Inputs!IK81:IK83))*(Inputs!IK91+Inputs!IK96-Inputs!IK102-Inputs!IK107))</f>
        <v>0</v>
      </c>
      <c r="HX35" s="0" t="n">
        <f aca="false">IF(HX14&gt;Residual_Month,0,Inputs!IL83+IF(SUM(Inputs!IL81:IL83)=0,0,Inputs!IL83/SUM(Inputs!IL81:IL83))*(Inputs!IL91+Inputs!IL96-Inputs!IL102-Inputs!IL107))</f>
        <v>0</v>
      </c>
      <c r="HY35" s="0" t="n">
        <f aca="false">IF(HY14&gt;Residual_Month,0,Inputs!IM83+IF(SUM(Inputs!IM81:IM83)=0,0,Inputs!IM83/SUM(Inputs!IM81:IM83))*(Inputs!IM91+Inputs!IM96-Inputs!IM102-Inputs!IM107))</f>
        <v>0</v>
      </c>
      <c r="HZ35" s="0" t="n">
        <f aca="false">IF(HZ14&gt;Residual_Month,0,Inputs!IN83+IF(SUM(Inputs!IN81:IN83)=0,0,Inputs!IN83/SUM(Inputs!IN81:IN83))*(Inputs!IN91+Inputs!IN96-Inputs!IN102-Inputs!IN107))</f>
        <v>0</v>
      </c>
      <c r="IA35" s="0" t="n">
        <f aca="false">IF(IA14&gt;Residual_Month,0,Inputs!IO83+IF(SUM(Inputs!IO81:IO83)=0,0,Inputs!IO83/SUM(Inputs!IO81:IO83))*(Inputs!IO91+Inputs!IO96-Inputs!IO102-Inputs!IO107))</f>
        <v>0</v>
      </c>
      <c r="IB35" s="0" t="n">
        <f aca="false">IF(IB14&gt;Residual_Month,0,Inputs!IP83+IF(SUM(Inputs!IP81:IP83)=0,0,Inputs!IP83/SUM(Inputs!IP81:IP83))*(Inputs!IP91+Inputs!IP96-Inputs!IP102-Inputs!IP107))</f>
        <v>0</v>
      </c>
      <c r="IC35" s="0" t="n">
        <f aca="false">IF(IC14&gt;Residual_Month,0,Inputs!IQ83+IF(SUM(Inputs!IQ81:IQ83)=0,0,Inputs!IQ83/SUM(Inputs!IQ81:IQ83))*(Inputs!IQ91+Inputs!IQ96-Inputs!IQ102-Inputs!IQ107))</f>
        <v>0</v>
      </c>
      <c r="ID35" s="0" t="n">
        <f aca="false">IF(ID14&gt;Residual_Month,0,Inputs!IR83+IF(SUM(Inputs!IR81:IR83)=0,0,Inputs!IR83/SUM(Inputs!IR81:IR83))*(Inputs!IR91+Inputs!IR96-Inputs!IR102-Inputs!IR107))</f>
        <v>0</v>
      </c>
      <c r="IE35" s="0" t="n">
        <f aca="false">IF(IE14&gt;Residual_Month,0,Inputs!IS83+IF(SUM(Inputs!IS81:IS83)=0,0,Inputs!IS83/SUM(Inputs!IS81:IS83))*(Inputs!IS91+Inputs!IS96-Inputs!IS102-Inputs!IS107))</f>
        <v>0</v>
      </c>
      <c r="IF35" s="0" t="n">
        <f aca="false">IF(IF14&gt;Residual_Month,0,Inputs!IT83+IF(SUM(Inputs!IT81:IT83)=0,0,Inputs!IT83/SUM(Inputs!IT81:IT83))*(Inputs!IT91+Inputs!IT96-Inputs!IT102-Inputs!IT107))</f>
        <v>0</v>
      </c>
      <c r="IG35" s="0" t="n">
        <f aca="false">IF(IG14&gt;Residual_Month,0,Inputs!IU83+IF(SUM(Inputs!IU81:IU83)=0,0,Inputs!IU83/SUM(Inputs!IU81:IU83))*(Inputs!IU91+Inputs!IU96-Inputs!IU102-Inputs!IU107))</f>
        <v>0</v>
      </c>
      <c r="IH35" s="0" t="n">
        <f aca="false">IF(IH14&gt;Residual_Month,0,Inputs!IV83+IF(SUM(Inputs!IV81:IV83)=0,0,Inputs!IV83/SUM(Inputs!IV81:IV83))*(Inputs!IV91+Inputs!IV96-Inputs!IV102-Inputs!IV107))</f>
        <v>0</v>
      </c>
      <c r="II35" s="0" t="n">
        <f aca="false">IF(II14&gt;Residual_Month,0,Inputs!IW83+IF(SUM(Inputs!IW81:IW83)=0,0,Inputs!IW83/SUM(Inputs!IW81:IW83))*(Inputs!IW91+Inputs!IW96-Inputs!IW102-Inputs!IW107))</f>
        <v>0</v>
      </c>
    </row>
    <row r="36" customFormat="false" ht="15" hidden="false" customHeight="false" outlineLevel="0" collapsed="false">
      <c r="B36" s="0" t="s">
        <v>125</v>
      </c>
      <c r="C36" s="1" t="n">
        <f aca="false">Discount_Rate_Residual</f>
        <v>0.0925</v>
      </c>
      <c r="D36" s="0" t="n">
        <f aca="false">(D14=Residual_Month)*Residual_NetValue</f>
        <v>0</v>
      </c>
      <c r="E36" s="0" t="n">
        <f aca="false">(E14=Residual_Month)*Residual_NetValue</f>
        <v>0</v>
      </c>
      <c r="F36" s="0" t="n">
        <f aca="false">(F14=Residual_Month)*Residual_NetValue</f>
        <v>0</v>
      </c>
      <c r="G36" s="0" t="n">
        <f aca="false">(G14=Residual_Month)*Residual_NetValue</f>
        <v>0</v>
      </c>
      <c r="H36" s="0" t="n">
        <f aca="false">(H14=Residual_Month)*Residual_NetValue</f>
        <v>0</v>
      </c>
      <c r="I36" s="0" t="n">
        <f aca="false">(I14=Residual_Month)*Residual_NetValue</f>
        <v>0</v>
      </c>
      <c r="J36" s="0" t="n">
        <f aca="false">(J14=Residual_Month)*Residual_NetValue</f>
        <v>0</v>
      </c>
      <c r="K36" s="0" t="n">
        <f aca="false">(K14=Residual_Month)*Residual_NetValue</f>
        <v>0</v>
      </c>
      <c r="L36" s="0" t="n">
        <f aca="false">(L14=Residual_Month)*Residual_NetValue</f>
        <v>0</v>
      </c>
      <c r="M36" s="0" t="n">
        <f aca="false">(M14=Residual_Month)*Residual_NetValue</f>
        <v>0</v>
      </c>
      <c r="N36" s="0" t="n">
        <f aca="false">(N14=Residual_Month)*Residual_NetValue</f>
        <v>0</v>
      </c>
      <c r="O36" s="0" t="n">
        <f aca="false">(O14=Residual_Month)*Residual_NetValue</f>
        <v>0</v>
      </c>
      <c r="P36" s="0" t="n">
        <f aca="false">(P14=Residual_Month)*Residual_NetValue</f>
        <v>0</v>
      </c>
      <c r="Q36" s="0" t="n">
        <f aca="false">(Q14=Residual_Month)*Residual_NetValue</f>
        <v>0</v>
      </c>
      <c r="R36" s="0" t="n">
        <f aca="false">(R14=Residual_Month)*Residual_NetValue</f>
        <v>0</v>
      </c>
      <c r="S36" s="0" t="n">
        <f aca="false">(S14=Residual_Month)*Residual_NetValue</f>
        <v>0</v>
      </c>
      <c r="T36" s="0" t="n">
        <f aca="false">(T14=Residual_Month)*Residual_NetValue</f>
        <v>0</v>
      </c>
      <c r="U36" s="0" t="n">
        <f aca="false">(U14=Residual_Month)*Residual_NetValue</f>
        <v>0</v>
      </c>
      <c r="V36" s="0" t="n">
        <f aca="false">(V14=Residual_Month)*Residual_NetValue</f>
        <v>0</v>
      </c>
      <c r="W36" s="0" t="n">
        <f aca="false">(W14=Residual_Month)*Residual_NetValue</f>
        <v>0</v>
      </c>
      <c r="X36" s="0" t="n">
        <f aca="false">(X14=Residual_Month)*Residual_NetValue</f>
        <v>0</v>
      </c>
      <c r="Y36" s="0" t="n">
        <f aca="false">(Y14=Residual_Month)*Residual_NetValue</f>
        <v>0</v>
      </c>
      <c r="Z36" s="0" t="n">
        <f aca="false">(Z14=Residual_Month)*Residual_NetValue</f>
        <v>0</v>
      </c>
      <c r="AA36" s="0" t="n">
        <f aca="false">(AA14=Residual_Month)*Residual_NetValue</f>
        <v>0</v>
      </c>
      <c r="AB36" s="0" t="n">
        <f aca="false">(AB14=Residual_Month)*Residual_NetValue</f>
        <v>0</v>
      </c>
      <c r="AC36" s="0" t="n">
        <f aca="false">(AC14=Residual_Month)*Residual_NetValue</f>
        <v>0</v>
      </c>
      <c r="AD36" s="0" t="n">
        <f aca="false">(AD14=Residual_Month)*Residual_NetValue</f>
        <v>0</v>
      </c>
      <c r="AE36" s="0" t="n">
        <f aca="false">(AE14=Residual_Month)*Residual_NetValue</f>
        <v>0</v>
      </c>
      <c r="AF36" s="0" t="n">
        <f aca="false">(AF14=Residual_Month)*Residual_NetValue</f>
        <v>0</v>
      </c>
      <c r="AG36" s="0" t="n">
        <f aca="false">(AG14=Residual_Month)*Residual_NetValue</f>
        <v>0</v>
      </c>
      <c r="AH36" s="0" t="n">
        <f aca="false">(AH14=Residual_Month)*Residual_NetValue</f>
        <v>0</v>
      </c>
      <c r="AI36" s="0" t="n">
        <f aca="false">(AI14=Residual_Month)*Residual_NetValue</f>
        <v>0</v>
      </c>
      <c r="AJ36" s="0" t="n">
        <f aca="false">(AJ14=Residual_Month)*Residual_NetValue</f>
        <v>0</v>
      </c>
      <c r="AK36" s="0" t="n">
        <f aca="false">(AK14=Residual_Month)*Residual_NetValue</f>
        <v>0</v>
      </c>
      <c r="AL36" s="0" t="n">
        <f aca="false">(AL14=Residual_Month)*Residual_NetValue</f>
        <v>0</v>
      </c>
      <c r="AM36" s="0" t="n">
        <f aca="false">(AM14=Residual_Month)*Residual_NetValue</f>
        <v>0</v>
      </c>
      <c r="AN36" s="0" t="n">
        <f aca="false">(AN14=Residual_Month)*Residual_NetValue</f>
        <v>0</v>
      </c>
      <c r="AO36" s="0" t="n">
        <f aca="false">(AO14=Residual_Month)*Residual_NetValue</f>
        <v>0</v>
      </c>
      <c r="AP36" s="0" t="n">
        <f aca="false">(AP14=Residual_Month)*Residual_NetValue</f>
        <v>0</v>
      </c>
      <c r="AQ36" s="0" t="n">
        <f aca="false">(AQ14=Residual_Month)*Residual_NetValue</f>
        <v>0</v>
      </c>
      <c r="AR36" s="0" t="n">
        <f aca="false">(AR14=Residual_Month)*Residual_NetValue</f>
        <v>0</v>
      </c>
      <c r="AS36" s="0" t="n">
        <f aca="false">(AS14=Residual_Month)*Residual_NetValue</f>
        <v>0</v>
      </c>
      <c r="AT36" s="0" t="n">
        <f aca="false">(AT14=Residual_Month)*Residual_NetValue</f>
        <v>0</v>
      </c>
      <c r="AU36" s="0" t="n">
        <f aca="false">(AU14=Residual_Month)*Residual_NetValue</f>
        <v>0</v>
      </c>
      <c r="AV36" s="0" t="n">
        <f aca="false">(AV14=Residual_Month)*Residual_NetValue</f>
        <v>0</v>
      </c>
      <c r="AW36" s="0" t="n">
        <f aca="false">(AW14=Residual_Month)*Residual_NetValue</f>
        <v>0</v>
      </c>
      <c r="AX36" s="0" t="n">
        <f aca="false">(AX14=Residual_Month)*Residual_NetValue</f>
        <v>0</v>
      </c>
      <c r="AY36" s="0" t="n">
        <f aca="false">(AY14=Residual_Month)*Residual_NetValue</f>
        <v>0</v>
      </c>
      <c r="AZ36" s="0" t="n">
        <f aca="false">(AZ14=Residual_Month)*Residual_NetValue</f>
        <v>0</v>
      </c>
      <c r="BA36" s="0" t="n">
        <f aca="false">(BA14=Residual_Month)*Residual_NetValue</f>
        <v>0</v>
      </c>
      <c r="BB36" s="0" t="n">
        <f aca="false">(BB14=Residual_Month)*Residual_NetValue</f>
        <v>0</v>
      </c>
      <c r="BC36" s="0" t="n">
        <f aca="false">(BC14=Residual_Month)*Residual_NetValue</f>
        <v>0</v>
      </c>
      <c r="BD36" s="0" t="n">
        <f aca="false">(BD14=Residual_Month)*Residual_NetValue</f>
        <v>0</v>
      </c>
      <c r="BE36" s="0" t="n">
        <f aca="false">(BE14=Residual_Month)*Residual_NetValue</f>
        <v>0</v>
      </c>
      <c r="BF36" s="0" t="n">
        <f aca="false">(BF14=Residual_Month)*Residual_NetValue</f>
        <v>0</v>
      </c>
      <c r="BG36" s="0" t="n">
        <f aca="false">(BG14=Residual_Month)*Residual_NetValue</f>
        <v>0</v>
      </c>
      <c r="BH36" s="0" t="n">
        <f aca="false">(BH14=Residual_Month)*Residual_NetValue</f>
        <v>0</v>
      </c>
      <c r="BI36" s="0" t="n">
        <f aca="false">(BI14=Residual_Month)*Residual_NetValue</f>
        <v>0</v>
      </c>
      <c r="BJ36" s="0" t="n">
        <f aca="false">(BJ14=Residual_Month)*Residual_NetValue</f>
        <v>0</v>
      </c>
      <c r="BK36" s="0" t="n">
        <f aca="false">(BK14=Residual_Month)*Residual_NetValue</f>
        <v>0</v>
      </c>
      <c r="BL36" s="0" t="n">
        <f aca="false">(BL14=Residual_Month)*Residual_NetValue</f>
        <v>0</v>
      </c>
      <c r="BM36" s="0" t="n">
        <f aca="false">(BM14=Residual_Month)*Residual_NetValue</f>
        <v>0</v>
      </c>
      <c r="BN36" s="0" t="n">
        <f aca="false">(BN14=Residual_Month)*Residual_NetValue</f>
        <v>0</v>
      </c>
      <c r="BO36" s="0" t="n">
        <f aca="false">(BO14=Residual_Month)*Residual_NetValue</f>
        <v>0</v>
      </c>
      <c r="BP36" s="0" t="n">
        <f aca="false">(BP14=Residual_Month)*Residual_NetValue</f>
        <v>0</v>
      </c>
      <c r="BQ36" s="0" t="n">
        <f aca="false">(BQ14=Residual_Month)*Residual_NetValue</f>
        <v>0</v>
      </c>
      <c r="BR36" s="0" t="n">
        <f aca="false">(BR14=Residual_Month)*Residual_NetValue</f>
        <v>0</v>
      </c>
      <c r="BS36" s="0" t="n">
        <f aca="false">(BS14=Residual_Month)*Residual_NetValue</f>
        <v>0</v>
      </c>
      <c r="BT36" s="0" t="n">
        <f aca="false">(BT14=Residual_Month)*Residual_NetValue</f>
        <v>0</v>
      </c>
      <c r="BU36" s="0" t="n">
        <f aca="false">(BU14=Residual_Month)*Residual_NetValue</f>
        <v>0</v>
      </c>
      <c r="BV36" s="0" t="n">
        <f aca="false">(BV14=Residual_Month)*Residual_NetValue</f>
        <v>0</v>
      </c>
      <c r="BW36" s="0" t="n">
        <f aca="false">(BW14=Residual_Month)*Residual_NetValue</f>
        <v>0</v>
      </c>
      <c r="BX36" s="0" t="n">
        <f aca="false">(BX14=Residual_Month)*Residual_NetValue</f>
        <v>0</v>
      </c>
      <c r="BY36" s="0" t="n">
        <f aca="false">(BY14=Residual_Month)*Residual_NetValue</f>
        <v>0</v>
      </c>
      <c r="BZ36" s="0" t="n">
        <f aca="false">(BZ14=Residual_Month)*Residual_NetValue</f>
        <v>0</v>
      </c>
      <c r="CA36" s="0" t="n">
        <f aca="false">(CA14=Residual_Month)*Residual_NetValue</f>
        <v>0</v>
      </c>
      <c r="CB36" s="0" t="n">
        <f aca="false">(CB14=Residual_Month)*Residual_NetValue</f>
        <v>0</v>
      </c>
      <c r="CC36" s="0" t="n">
        <f aca="false">(CC14=Residual_Month)*Residual_NetValue</f>
        <v>0</v>
      </c>
      <c r="CD36" s="0" t="n">
        <f aca="false">(CD14=Residual_Month)*Residual_NetValue</f>
        <v>0</v>
      </c>
      <c r="CE36" s="0" t="n">
        <f aca="false">(CE14=Residual_Month)*Residual_NetValue</f>
        <v>0</v>
      </c>
      <c r="CF36" s="0" t="n">
        <f aca="false">(CF14=Residual_Month)*Residual_NetValue</f>
        <v>0</v>
      </c>
      <c r="CG36" s="0" t="n">
        <f aca="false">(CG14=Residual_Month)*Residual_NetValue</f>
        <v>0</v>
      </c>
      <c r="CH36" s="0" t="n">
        <f aca="false">(CH14=Residual_Month)*Residual_NetValue</f>
        <v>0</v>
      </c>
      <c r="CI36" s="0" t="n">
        <f aca="false">(CI14=Residual_Month)*Residual_NetValue</f>
        <v>0</v>
      </c>
      <c r="CJ36" s="0" t="n">
        <f aca="false">(CJ14=Residual_Month)*Residual_NetValue</f>
        <v>0</v>
      </c>
      <c r="CK36" s="0" t="n">
        <f aca="false">(CK14=Residual_Month)*Residual_NetValue</f>
        <v>0</v>
      </c>
      <c r="CL36" s="0" t="n">
        <f aca="false">(CL14=Residual_Month)*Residual_NetValue</f>
        <v>0</v>
      </c>
      <c r="CM36" s="0" t="n">
        <f aca="false">(CM14=Residual_Month)*Residual_NetValue</f>
        <v>0</v>
      </c>
      <c r="CN36" s="0" t="n">
        <f aca="false">(CN14=Residual_Month)*Residual_NetValue</f>
        <v>0</v>
      </c>
      <c r="CO36" s="0" t="n">
        <f aca="false">(CO14=Residual_Month)*Residual_NetValue</f>
        <v>0</v>
      </c>
      <c r="CP36" s="0" t="n">
        <f aca="false">(CP14=Residual_Month)*Residual_NetValue</f>
        <v>0</v>
      </c>
      <c r="CQ36" s="0" t="n">
        <f aca="false">(CQ14=Residual_Month)*Residual_NetValue</f>
        <v>0</v>
      </c>
      <c r="CR36" s="0" t="n">
        <f aca="false">(CR14=Residual_Month)*Residual_NetValue</f>
        <v>0</v>
      </c>
      <c r="CS36" s="0" t="n">
        <f aca="false">(CS14=Residual_Month)*Residual_NetValue</f>
        <v>0</v>
      </c>
      <c r="CT36" s="0" t="n">
        <f aca="false">(CT14=Residual_Month)*Residual_NetValue</f>
        <v>0</v>
      </c>
      <c r="CU36" s="0" t="n">
        <f aca="false">(CU14=Residual_Month)*Residual_NetValue</f>
        <v>0</v>
      </c>
      <c r="CV36" s="0" t="n">
        <f aca="false">(CV14=Residual_Month)*Residual_NetValue</f>
        <v>0</v>
      </c>
      <c r="CW36" s="0" t="n">
        <f aca="false">(CW14=Residual_Month)*Residual_NetValue</f>
        <v>0</v>
      </c>
      <c r="CX36" s="0" t="n">
        <f aca="false">(CX14=Residual_Month)*Residual_NetValue</f>
        <v>0</v>
      </c>
      <c r="CY36" s="0" t="n">
        <f aca="false">(CY14=Residual_Month)*Residual_NetValue</f>
        <v>0</v>
      </c>
      <c r="CZ36" s="0" t="n">
        <f aca="false">(CZ14=Residual_Month)*Residual_NetValue</f>
        <v>0</v>
      </c>
      <c r="DA36" s="0" t="n">
        <f aca="false">(DA14=Residual_Month)*Residual_NetValue</f>
        <v>0</v>
      </c>
      <c r="DB36" s="0" t="n">
        <f aca="false">(DB14=Residual_Month)*Residual_NetValue</f>
        <v>0</v>
      </c>
      <c r="DC36" s="0" t="n">
        <f aca="false">(DC14=Residual_Month)*Residual_NetValue</f>
        <v>0</v>
      </c>
      <c r="DD36" s="0" t="n">
        <f aca="false">(DD14=Residual_Month)*Residual_NetValue</f>
        <v>0</v>
      </c>
      <c r="DE36" s="0" t="n">
        <f aca="false">(DE14=Residual_Month)*Residual_NetValue</f>
        <v>0</v>
      </c>
      <c r="DF36" s="0" t="n">
        <f aca="false">(DF14=Residual_Month)*Residual_NetValue</f>
        <v>0</v>
      </c>
      <c r="DG36" s="0" t="n">
        <f aca="false">(DG14=Residual_Month)*Residual_NetValue</f>
        <v>0</v>
      </c>
      <c r="DH36" s="0" t="n">
        <f aca="false">(DH14=Residual_Month)*Residual_NetValue</f>
        <v>0</v>
      </c>
      <c r="DI36" s="0" t="n">
        <f aca="false">(DI14=Residual_Month)*Residual_NetValue</f>
        <v>0</v>
      </c>
      <c r="DJ36" s="0" t="n">
        <f aca="false">(DJ14=Residual_Month)*Residual_NetValue</f>
        <v>0</v>
      </c>
      <c r="DK36" s="0" t="n">
        <f aca="false">(DK14=Residual_Month)*Residual_NetValue</f>
        <v>0</v>
      </c>
      <c r="DL36" s="0" t="n">
        <f aca="false">(DL14=Residual_Month)*Residual_NetValue</f>
        <v>0</v>
      </c>
      <c r="DM36" s="0" t="n">
        <f aca="false">(DM14=Residual_Month)*Residual_NetValue</f>
        <v>0</v>
      </c>
      <c r="DN36" s="0" t="n">
        <f aca="false">(DN14=Residual_Month)*Residual_NetValue</f>
        <v>0</v>
      </c>
      <c r="DO36" s="0" t="n">
        <f aca="false">(DO14=Residual_Month)*Residual_NetValue</f>
        <v>0</v>
      </c>
      <c r="DP36" s="0" t="n">
        <f aca="false">(DP14=Residual_Month)*Residual_NetValue</f>
        <v>0</v>
      </c>
      <c r="DQ36" s="0" t="n">
        <f aca="false">(DQ14=Residual_Month)*Residual_NetValue</f>
        <v>0</v>
      </c>
      <c r="DR36" s="0" t="n">
        <f aca="false">(DR14=Residual_Month)*Residual_NetValue</f>
        <v>0</v>
      </c>
      <c r="DS36" s="0" t="n">
        <f aca="false">(DS14=Residual_Month)*Residual_NetValue</f>
        <v>0</v>
      </c>
      <c r="DT36" s="0" t="n">
        <f aca="false">(DT14=Residual_Month)*Residual_NetValue</f>
        <v>0</v>
      </c>
      <c r="DU36" s="0" t="n">
        <f aca="false">(DU14=Residual_Month)*Residual_NetValue</f>
        <v>0</v>
      </c>
      <c r="DV36" s="0" t="n">
        <f aca="false">(DV14=Residual_Month)*Residual_NetValue</f>
        <v>0</v>
      </c>
      <c r="DW36" s="0" t="n">
        <f aca="false">(DW14=Residual_Month)*Residual_NetValue</f>
        <v>0</v>
      </c>
      <c r="DX36" s="0" t="n">
        <f aca="false">(DX14=Residual_Month)*Residual_NetValue</f>
        <v>0</v>
      </c>
      <c r="DY36" s="0" t="n">
        <f aca="false">(DY14=Residual_Month)*Residual_NetValue</f>
        <v>0</v>
      </c>
      <c r="DZ36" s="0" t="n">
        <f aca="false">(DZ14=Residual_Month)*Residual_NetValue</f>
        <v>0</v>
      </c>
      <c r="EA36" s="0" t="n">
        <f aca="false">(EA14=Residual_Month)*Residual_NetValue</f>
        <v>0</v>
      </c>
      <c r="EB36" s="0" t="n">
        <f aca="false">(EB14=Residual_Month)*Residual_NetValue</f>
        <v>0</v>
      </c>
      <c r="EC36" s="0" t="n">
        <f aca="false">(EC14=Residual_Month)*Residual_NetValue</f>
        <v>0</v>
      </c>
      <c r="ED36" s="0" t="n">
        <f aca="false">(ED14=Residual_Month)*Residual_NetValue</f>
        <v>0</v>
      </c>
      <c r="EE36" s="0" t="n">
        <f aca="false">(EE14=Residual_Month)*Residual_NetValue</f>
        <v>0</v>
      </c>
      <c r="EF36" s="0" t="n">
        <f aca="false">(EF14=Residual_Month)*Residual_NetValue</f>
        <v>0</v>
      </c>
      <c r="EG36" s="0" t="n">
        <f aca="false">(EG14=Residual_Month)*Residual_NetValue</f>
        <v>0</v>
      </c>
      <c r="EH36" s="0" t="n">
        <f aca="false">(EH14=Residual_Month)*Residual_NetValue</f>
        <v>0</v>
      </c>
      <c r="EI36" s="0" t="n">
        <f aca="false">(EI14=Residual_Month)*Residual_NetValue</f>
        <v>0</v>
      </c>
      <c r="EJ36" s="0" t="n">
        <f aca="false">(EJ14=Residual_Month)*Residual_NetValue</f>
        <v>0</v>
      </c>
      <c r="EK36" s="0" t="n">
        <f aca="false">(EK14=Residual_Month)*Residual_NetValue</f>
        <v>0</v>
      </c>
      <c r="EL36" s="0" t="n">
        <f aca="false">(EL14=Residual_Month)*Residual_NetValue</f>
        <v>0</v>
      </c>
      <c r="EM36" s="0" t="n">
        <f aca="false">(EM14=Residual_Month)*Residual_NetValue</f>
        <v>0</v>
      </c>
      <c r="EN36" s="0" t="n">
        <f aca="false">(EN14=Residual_Month)*Residual_NetValue</f>
        <v>0</v>
      </c>
      <c r="EO36" s="0" t="n">
        <f aca="false">(EO14=Residual_Month)*Residual_NetValue</f>
        <v>0</v>
      </c>
      <c r="EP36" s="0" t="n">
        <f aca="false">(EP14=Residual_Month)*Residual_NetValue</f>
        <v>0</v>
      </c>
      <c r="EQ36" s="0" t="n">
        <f aca="false">(EQ14=Residual_Month)*Residual_NetValue</f>
        <v>0</v>
      </c>
      <c r="ER36" s="0" t="n">
        <f aca="false">(ER14=Residual_Month)*Residual_NetValue</f>
        <v>0</v>
      </c>
      <c r="ES36" s="0" t="n">
        <f aca="false">(ES14=Residual_Month)*Residual_NetValue</f>
        <v>0</v>
      </c>
      <c r="ET36" s="0" t="n">
        <f aca="false">(ET14=Residual_Month)*Residual_NetValue</f>
        <v>0</v>
      </c>
      <c r="EU36" s="0" t="n">
        <f aca="false">(EU14=Residual_Month)*Residual_NetValue</f>
        <v>0</v>
      </c>
      <c r="EV36" s="0" t="n">
        <f aca="false">(EV14=Residual_Month)*Residual_NetValue</f>
        <v>0</v>
      </c>
      <c r="EW36" s="0" t="n">
        <f aca="false">(EW14=Residual_Month)*Residual_NetValue</f>
        <v>0</v>
      </c>
      <c r="EX36" s="0" t="n">
        <f aca="false">(EX14=Residual_Month)*Residual_NetValue</f>
        <v>0</v>
      </c>
      <c r="EY36" s="0" t="n">
        <f aca="false">(EY14=Residual_Month)*Residual_NetValue</f>
        <v>0</v>
      </c>
      <c r="EZ36" s="0" t="n">
        <f aca="false">(EZ14=Residual_Month)*Residual_NetValue</f>
        <v>0</v>
      </c>
      <c r="FA36" s="0" t="n">
        <f aca="false">(FA14=Residual_Month)*Residual_NetValue</f>
        <v>0</v>
      </c>
      <c r="FB36" s="0" t="n">
        <f aca="false">(FB14=Residual_Month)*Residual_NetValue</f>
        <v>0</v>
      </c>
      <c r="FC36" s="0" t="n">
        <f aca="false">(FC14=Residual_Month)*Residual_NetValue</f>
        <v>9153917.37409257</v>
      </c>
      <c r="FD36" s="0" t="n">
        <f aca="false">(FD14=Residual_Month)*Residual_NetValue</f>
        <v>0</v>
      </c>
      <c r="FE36" s="0" t="n">
        <f aca="false">(FE14=Residual_Month)*Residual_NetValue</f>
        <v>0</v>
      </c>
      <c r="FF36" s="0" t="n">
        <f aca="false">(FF14=Residual_Month)*Residual_NetValue</f>
        <v>0</v>
      </c>
      <c r="FG36" s="0" t="n">
        <f aca="false">(FG14=Residual_Month)*Residual_NetValue</f>
        <v>0</v>
      </c>
      <c r="FH36" s="0" t="n">
        <f aca="false">(FH14=Residual_Month)*Residual_NetValue</f>
        <v>0</v>
      </c>
      <c r="FI36" s="0" t="n">
        <f aca="false">(FI14=Residual_Month)*Residual_NetValue</f>
        <v>0</v>
      </c>
      <c r="FJ36" s="0" t="n">
        <f aca="false">(FJ14=Residual_Month)*Residual_NetValue</f>
        <v>0</v>
      </c>
      <c r="FK36" s="0" t="n">
        <f aca="false">(FK14=Residual_Month)*Residual_NetValue</f>
        <v>0</v>
      </c>
      <c r="FL36" s="0" t="n">
        <f aca="false">(FL14=Residual_Month)*Residual_NetValue</f>
        <v>0</v>
      </c>
      <c r="FM36" s="0" t="n">
        <f aca="false">(FM14=Residual_Month)*Residual_NetValue</f>
        <v>0</v>
      </c>
      <c r="FN36" s="0" t="n">
        <f aca="false">(FN14=Residual_Month)*Residual_NetValue</f>
        <v>0</v>
      </c>
      <c r="FO36" s="0" t="n">
        <f aca="false">(FO14=Residual_Month)*Residual_NetValue</f>
        <v>0</v>
      </c>
      <c r="FP36" s="0" t="n">
        <f aca="false">(FP14=Residual_Month)*Residual_NetValue</f>
        <v>0</v>
      </c>
      <c r="FQ36" s="0" t="n">
        <f aca="false">(FQ14=Residual_Month)*Residual_NetValue</f>
        <v>0</v>
      </c>
      <c r="FR36" s="0" t="n">
        <f aca="false">(FR14=Residual_Month)*Residual_NetValue</f>
        <v>0</v>
      </c>
      <c r="FS36" s="0" t="n">
        <f aca="false">(FS14=Residual_Month)*Residual_NetValue</f>
        <v>0</v>
      </c>
      <c r="FT36" s="0" t="n">
        <f aca="false">(FT14=Residual_Month)*Residual_NetValue</f>
        <v>0</v>
      </c>
      <c r="FU36" s="0" t="n">
        <f aca="false">(FU14=Residual_Month)*Residual_NetValue</f>
        <v>0</v>
      </c>
      <c r="FV36" s="0" t="n">
        <f aca="false">(FV14=Residual_Month)*Residual_NetValue</f>
        <v>0</v>
      </c>
      <c r="FW36" s="0" t="n">
        <f aca="false">(FW14=Residual_Month)*Residual_NetValue</f>
        <v>0</v>
      </c>
      <c r="FX36" s="0" t="n">
        <f aca="false">(FX14=Residual_Month)*Residual_NetValue</f>
        <v>0</v>
      </c>
      <c r="FY36" s="0" t="n">
        <f aca="false">(FY14=Residual_Month)*Residual_NetValue</f>
        <v>0</v>
      </c>
      <c r="FZ36" s="0" t="n">
        <f aca="false">(FZ14=Residual_Month)*Residual_NetValue</f>
        <v>0</v>
      </c>
      <c r="GA36" s="0" t="n">
        <f aca="false">(GA14=Residual_Month)*Residual_NetValue</f>
        <v>0</v>
      </c>
      <c r="GB36" s="0" t="n">
        <f aca="false">(GB14=Residual_Month)*Residual_NetValue</f>
        <v>0</v>
      </c>
      <c r="GC36" s="0" t="n">
        <f aca="false">(GC14=Residual_Month)*Residual_NetValue</f>
        <v>0</v>
      </c>
      <c r="GD36" s="0" t="n">
        <f aca="false">(GD14=Residual_Month)*Residual_NetValue</f>
        <v>0</v>
      </c>
      <c r="GE36" s="0" t="n">
        <f aca="false">(GE14=Residual_Month)*Residual_NetValue</f>
        <v>0</v>
      </c>
      <c r="GF36" s="0" t="n">
        <f aca="false">(GF14=Residual_Month)*Residual_NetValue</f>
        <v>0</v>
      </c>
      <c r="GG36" s="0" t="n">
        <f aca="false">(GG14=Residual_Month)*Residual_NetValue</f>
        <v>0</v>
      </c>
      <c r="GH36" s="0" t="n">
        <f aca="false">(GH14=Residual_Month)*Residual_NetValue</f>
        <v>0</v>
      </c>
      <c r="GI36" s="0" t="n">
        <f aca="false">(GI14=Residual_Month)*Residual_NetValue</f>
        <v>0</v>
      </c>
      <c r="GJ36" s="0" t="n">
        <f aca="false">(GJ14=Residual_Month)*Residual_NetValue</f>
        <v>0</v>
      </c>
      <c r="GK36" s="0" t="n">
        <f aca="false">(GK14=Residual_Month)*Residual_NetValue</f>
        <v>0</v>
      </c>
      <c r="GL36" s="0" t="n">
        <f aca="false">(GL14=Residual_Month)*Residual_NetValue</f>
        <v>0</v>
      </c>
      <c r="GM36" s="0" t="n">
        <f aca="false">(GM14=Residual_Month)*Residual_NetValue</f>
        <v>0</v>
      </c>
      <c r="GN36" s="0" t="n">
        <f aca="false">(GN14=Residual_Month)*Residual_NetValue</f>
        <v>0</v>
      </c>
      <c r="GO36" s="0" t="n">
        <f aca="false">(GO14=Residual_Month)*Residual_NetValue</f>
        <v>0</v>
      </c>
      <c r="GP36" s="0" t="n">
        <f aca="false">(GP14=Residual_Month)*Residual_NetValue</f>
        <v>0</v>
      </c>
      <c r="GQ36" s="0" t="n">
        <f aca="false">(GQ14=Residual_Month)*Residual_NetValue</f>
        <v>0</v>
      </c>
      <c r="GR36" s="0" t="n">
        <f aca="false">(GR14=Residual_Month)*Residual_NetValue</f>
        <v>0</v>
      </c>
      <c r="GS36" s="0" t="n">
        <f aca="false">(GS14=Residual_Month)*Residual_NetValue</f>
        <v>0</v>
      </c>
      <c r="GT36" s="0" t="n">
        <f aca="false">(GT14=Residual_Month)*Residual_NetValue</f>
        <v>0</v>
      </c>
      <c r="GU36" s="0" t="n">
        <f aca="false">(GU14=Residual_Month)*Residual_NetValue</f>
        <v>0</v>
      </c>
      <c r="GV36" s="0" t="n">
        <f aca="false">(GV14=Residual_Month)*Residual_NetValue</f>
        <v>0</v>
      </c>
      <c r="GW36" s="0" t="n">
        <f aca="false">(GW14=Residual_Month)*Residual_NetValue</f>
        <v>0</v>
      </c>
      <c r="GX36" s="0" t="n">
        <f aca="false">(GX14=Residual_Month)*Residual_NetValue</f>
        <v>0</v>
      </c>
      <c r="GY36" s="0" t="n">
        <f aca="false">(GY14=Residual_Month)*Residual_NetValue</f>
        <v>0</v>
      </c>
      <c r="GZ36" s="0" t="n">
        <f aca="false">(GZ14=Residual_Month)*Residual_NetValue</f>
        <v>0</v>
      </c>
      <c r="HA36" s="0" t="n">
        <f aca="false">(HA14=Residual_Month)*Residual_NetValue</f>
        <v>0</v>
      </c>
      <c r="HB36" s="0" t="n">
        <f aca="false">(HB14=Residual_Month)*Residual_NetValue</f>
        <v>0</v>
      </c>
      <c r="HC36" s="0" t="n">
        <f aca="false">(HC14=Residual_Month)*Residual_NetValue</f>
        <v>0</v>
      </c>
      <c r="HD36" s="0" t="n">
        <f aca="false">(HD14=Residual_Month)*Residual_NetValue</f>
        <v>0</v>
      </c>
      <c r="HE36" s="0" t="n">
        <f aca="false">(HE14=Residual_Month)*Residual_NetValue</f>
        <v>0</v>
      </c>
      <c r="HF36" s="0" t="n">
        <f aca="false">(HF14=Residual_Month)*Residual_NetValue</f>
        <v>0</v>
      </c>
      <c r="HG36" s="0" t="n">
        <f aca="false">(HG14=Residual_Month)*Residual_NetValue</f>
        <v>0</v>
      </c>
      <c r="HH36" s="0" t="n">
        <f aca="false">(HH14=Residual_Month)*Residual_NetValue</f>
        <v>0</v>
      </c>
      <c r="HI36" s="0" t="n">
        <f aca="false">(HI14=Residual_Month)*Residual_NetValue</f>
        <v>0</v>
      </c>
      <c r="HJ36" s="0" t="n">
        <f aca="false">(HJ14=Residual_Month)*Residual_NetValue</f>
        <v>0</v>
      </c>
      <c r="HK36" s="0" t="n">
        <f aca="false">(HK14=Residual_Month)*Residual_NetValue</f>
        <v>0</v>
      </c>
      <c r="HL36" s="0" t="n">
        <f aca="false">(HL14=Residual_Month)*Residual_NetValue</f>
        <v>0</v>
      </c>
      <c r="HM36" s="0" t="n">
        <f aca="false">(HM14=Residual_Month)*Residual_NetValue</f>
        <v>0</v>
      </c>
      <c r="HN36" s="0" t="n">
        <f aca="false">(HN14=Residual_Month)*Residual_NetValue</f>
        <v>0</v>
      </c>
      <c r="HO36" s="0" t="n">
        <f aca="false">(HO14=Residual_Month)*Residual_NetValue</f>
        <v>0</v>
      </c>
      <c r="HP36" s="0" t="n">
        <f aca="false">(HP14=Residual_Month)*Residual_NetValue</f>
        <v>0</v>
      </c>
      <c r="HQ36" s="0" t="n">
        <f aca="false">(HQ14=Residual_Month)*Residual_NetValue</f>
        <v>0</v>
      </c>
      <c r="HR36" s="0" t="n">
        <f aca="false">(HR14=Residual_Month)*Residual_NetValue</f>
        <v>0</v>
      </c>
      <c r="HS36" s="0" t="n">
        <f aca="false">(HS14=Residual_Month)*Residual_NetValue</f>
        <v>0</v>
      </c>
      <c r="HT36" s="0" t="n">
        <f aca="false">(HT14=Residual_Month)*Residual_NetValue</f>
        <v>0</v>
      </c>
      <c r="HU36" s="0" t="n">
        <f aca="false">(HU14=Residual_Month)*Residual_NetValue</f>
        <v>0</v>
      </c>
      <c r="HV36" s="0" t="n">
        <f aca="false">(HV14=Residual_Month)*Residual_NetValue</f>
        <v>0</v>
      </c>
      <c r="HW36" s="0" t="n">
        <f aca="false">(HW14=Residual_Month)*Residual_NetValue</f>
        <v>0</v>
      </c>
      <c r="HX36" s="0" t="n">
        <f aca="false">(HX14=Residual_Month)*Residual_NetValue</f>
        <v>0</v>
      </c>
      <c r="HY36" s="0" t="n">
        <f aca="false">(HY14=Residual_Month)*Residual_NetValue</f>
        <v>0</v>
      </c>
      <c r="HZ36" s="0" t="n">
        <f aca="false">(HZ14=Residual_Month)*Residual_NetValue</f>
        <v>0</v>
      </c>
      <c r="IA36" s="0" t="n">
        <f aca="false">(IA14=Residual_Month)*Residual_NetValue</f>
        <v>0</v>
      </c>
      <c r="IB36" s="0" t="n">
        <f aca="false">(IB14=Residual_Month)*Residual_NetValue</f>
        <v>0</v>
      </c>
      <c r="IC36" s="0" t="n">
        <f aca="false">(IC14=Residual_Month)*Residual_NetValue</f>
        <v>0</v>
      </c>
      <c r="ID36" s="0" t="n">
        <f aca="false">(ID14=Residual_Month)*Residual_NetValue</f>
        <v>0</v>
      </c>
      <c r="IE36" s="0" t="n">
        <f aca="false">(IE14=Residual_Month)*Residual_NetValue</f>
        <v>0</v>
      </c>
      <c r="IF36" s="0" t="n">
        <f aca="false">(IF14=Residual_Month)*Residual_NetValue</f>
        <v>0</v>
      </c>
      <c r="IG36" s="0" t="n">
        <f aca="false">(IG14=Residual_Month)*Residual_NetValue</f>
        <v>0</v>
      </c>
      <c r="IH36" s="0" t="n">
        <f aca="false">(IH14=Residual_Month)*Residual_NetValue</f>
        <v>0</v>
      </c>
      <c r="II36" s="0" t="n">
        <f aca="false">(II14=Residual_Month)*Residual_NetValue</f>
        <v>0</v>
      </c>
    </row>
    <row r="38" customFormat="false" ht="15" hidden="false" customHeight="false" outlineLevel="0" collapsed="false">
      <c r="C38" s="0" t="s">
        <v>126</v>
      </c>
    </row>
    <row r="39" customFormat="false" ht="15" hidden="false" customHeight="false" outlineLevel="0" collapsed="false">
      <c r="B39" s="0" t="s">
        <v>123</v>
      </c>
      <c r="C39" s="0" t="n">
        <f aca="true">XNPV(C34,OFFSET(D34,0,0,1,Residual_Month),OFFSET($D$15,0,0,1,Residual_Month))</f>
        <v>4837753.68872295</v>
      </c>
    </row>
    <row r="40" customFormat="false" ht="15" hidden="false" customHeight="false" outlineLevel="0" collapsed="false">
      <c r="B40" s="0" t="s">
        <v>124</v>
      </c>
      <c r="C40" s="0" t="n">
        <f aca="true">XNPV(C35,OFFSET(D35,0,0,1,Residual_Month),OFFSET($D$15,0,0,1,Residual_Month))</f>
        <v>254311.849259212</v>
      </c>
    </row>
    <row r="41" customFormat="false" ht="15" hidden="false" customHeight="false" outlineLevel="0" collapsed="false">
      <c r="B41" s="0" t="s">
        <v>125</v>
      </c>
      <c r="C41" s="0" t="n">
        <f aca="true">XNPV(C36,OFFSET(D36,0,0,1,Residual_Month),OFFSET($D$15,0,0,1,Residual_Month))</f>
        <v>2917934.86528646</v>
      </c>
    </row>
    <row r="42" customFormat="false" ht="15" hidden="false" customHeight="false" outlineLevel="0" collapsed="false">
      <c r="B42" s="0" t="s">
        <v>127</v>
      </c>
      <c r="C42" s="0" t="n">
        <f aca="false">SUM(C39:C41)</f>
        <v>8010000.40326862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2026-10-19T11:30:46Z</dcterms:created>
  <dc:creator>openpyxl</dc:creator>
  <dc:description/>
  <dc:language>en-US</dc:language>
  <cp:lastModifiedBy/>
  <dcterms:modified xsi:type="dcterms:W3CDTF">2026-10-19T11:30:46Z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