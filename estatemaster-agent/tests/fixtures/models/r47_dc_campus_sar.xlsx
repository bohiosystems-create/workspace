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turns" sheetId="1" state="visible" r:id="rId3"/>
    <sheet name="Campu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<sst xmlns="http://schemas.openxmlformats.org/spreadsheetml/2006/main" count="48" uniqueCount="48">
  <si>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HYPERSCALE CAMPUS | RETURNS</t>
  </si>
  <si>
    <t xml:space="preserve">Unlevered</t>
  </si>
  <si>
    <t xml:space="preserve">Levered</t>
  </si>
  <si>
    <t xml:space="preserve">IRR</t>
  </si>
  <si>
    <t xml:space="preserve">Equity multiple</t>
  </si>
  <si>
    <t xml:space="preserve">Profit</t>
  </si>
  <si>
    <t xml:space="preserve">Total development cost</t>
  </si>
  <si>
    <t xml:space="preserve">Peak Murabaha balance</t>
  </si>
  <si>
    <t xml:space="preserve">HYPERSCALE CAMPUS | INPUTS AND QUARTERLY CASH FLOW (SAR)</t>
  </si>
  <si>
    <t xml:space="preserve">PHASES</t>
  </si>
  <si>
    <t xml:space="preserve">IT load (MW)</t>
  </si>
  <si>
    <t xml:space="preserve">Start quarter</t>
  </si>
  <si>
    <t xml:space="preserve">Build (quarters)</t>
  </si>
  <si>
    <t xml:space="preserve">Capex per MW (SAR m)</t>
  </si>
  <si>
    <t xml:space="preserve">Pre-let at delivery</t>
  </si>
  <si>
    <t xml:space="preserve">Phase 1</t>
  </si>
  <si>
    <t xml:space="preserve">Phase 2</t>
  </si>
  <si>
    <t xml:space="preserve">Land (SAR)</t>
  </si>
  <si>
    <t xml:space="preserve">Rent per kW a month (SAR)</t>
  </si>
  <si>
    <t xml:space="preserve">Rent escalation a year</t>
  </si>
  <si>
    <t xml:space="preserve">Take-up of the rest (quarters)</t>
  </si>
  <si>
    <t xml:space="preserve">PUE</t>
  </si>
  <si>
    <t xml:space="preserve">Power tariff (SAR per MWh)</t>
  </si>
  <si>
    <t xml:space="preserve">Power margin kept</t>
  </si>
  <si>
    <t xml:space="preserve">Operating costs (% of rent)</t>
  </si>
  <si>
    <t xml:space="preserve">Murabaha share of cost</t>
  </si>
  <si>
    <t xml:space="preserve">Murabaha profit rate</t>
  </si>
  <si>
    <t xml:space="preserve">Exit quarter</t>
  </si>
  <si>
    <t xml:space="preserve">Exit cap rate</t>
  </si>
  <si>
    <t xml:space="preserve">Disposal costs</t>
  </si>
  <si>
    <t xml:space="preserve">Quarter</t>
  </si>
  <si>
    <t xml:space="preserve">Phase 1 capex</t>
  </si>
  <si>
    <t xml:space="preserve">Phase 2 capex</t>
  </si>
  <si>
    <t xml:space="preserve">Land</t>
  </si>
  <si>
    <t xml:space="preserve">Total cost</t>
  </si>
  <si>
    <t xml:space="preserve">Phase 1 leased MW</t>
  </si>
  <si>
    <t xml:space="preserve">Phase 2 leased MW</t>
  </si>
  <si>
    <t xml:space="preserve">Rent</t>
  </si>
  <si>
    <t xml:space="preserve">Power margin</t>
  </si>
  <si>
    <t xml:space="preserve">Operating costs</t>
  </si>
  <si>
    <t xml:space="preserve">Net operating income</t>
  </si>
  <si>
    <t xml:space="preserve">Exit value</t>
  </si>
  <si>
    <t xml:space="preserve">Murabaha drawn</t>
  </si>
  <si>
    <t xml:space="preserve">Murabaha profit (capitalised)</t>
  </si>
  <si>
    <t xml:space="preserve">Murabaha balance</t>
  </si>
  <si>
    <t xml:space="preserve">Murabaha repaid</t>
  </si>
  <si>
    <t xml:space="preserve">Unlevered cash flow</t>
  </si>
  <si>
    <t xml:space="preserve">Levered cash flow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</si>
</sst>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\x"/>
    <numFmt numFmtId="167" formatCode="#,##0"/>
    <numFmt numFmtId="168" formatCode="0%"/>
    <numFmt numFmtId="169" formatCode="0"/>
    <numFmt numFmtId="170" formatCode="0.00"/>
    <numFmt numFmtId="171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B3" s="0" t="s">
        <v>1</v>
      </c>
      <c r="C3" s="0" t="s">
        <v>2</v>
      </c>
    </row>
    <row r="4" customFormat="false" ht="15" hidden="false" customHeight="false" outlineLevel="0" collapsed="false">
      <c r="A4" s="0" t="s">
        <v>3</v>
      </c>
      <c r="B4" s="1" t="n">
        <f aca="false">(1+IRR(Campus!H41:AV41,0.03))^4-1</f>
        <v>0.138176919415651</v>
      </c>
      <c r="C4" s="1" t="n">
        <f aca="false">(1+IRR(Campus!H42:AV42,0.03))^4-1</f>
        <v>0.243416537811286</v>
      </c>
    </row>
    <row r="5" customFormat="false" ht="15" hidden="false" customHeight="false" outlineLevel="0" collapsed="false">
      <c r="A5" s="0" t="s">
        <v>4</v>
      </c>
      <c r="B5" s="2" t="n">
        <f aca="false">SUMIF(Campus!H41:AV41,"&gt;0")/-SUMIF(Campus!H41:AV41,"&lt;0")</f>
        <v>2.16584174306019</v>
      </c>
      <c r="C5" s="2" t="n">
        <f aca="false">SUMIF(Campus!H42:AV42,"&gt;0")/-SUMIF(Campus!H42:AV42,"&lt;0")</f>
        <v>3.22963828094758</v>
      </c>
    </row>
    <row r="6" customFormat="false" ht="15" hidden="false" customHeight="false" outlineLevel="0" collapsed="false">
      <c r="A6" s="0" t="s">
        <v>5</v>
      </c>
      <c r="B6" s="3" t="n">
        <f aca="false">SUM(Campus!H41:AV41)</f>
        <v>2653083146.94107</v>
      </c>
      <c r="C6" s="3" t="n">
        <f aca="false">SUM(Campus!H42:AV42)</f>
        <v>1832495892.72527</v>
      </c>
    </row>
    <row r="8" customFormat="false" ht="15" hidden="false" customHeight="false" outlineLevel="0" collapsed="false">
      <c r="A8" s="0" t="s">
        <v>6</v>
      </c>
      <c r="B8" s="3" t="n">
        <f aca="false">SUM(Campus!H26:AV26)</f>
        <v>2423000000</v>
      </c>
    </row>
    <row r="9" customFormat="false" ht="15" hidden="false" customHeight="false" outlineLevel="0" collapsed="false">
      <c r="A9" s="0" t="s">
        <v>7</v>
      </c>
      <c r="B9" s="3" t="n">
        <f aca="false">MAX(Campus!H38:AV38)</f>
        <v>2236368981.5298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15</v>
      </c>
      <c r="B4" s="0" t="n">
        <v>36</v>
      </c>
      <c r="C4" s="0" t="n">
        <v>1</v>
      </c>
      <c r="D4" s="0" t="n">
        <v>6</v>
      </c>
      <c r="E4" s="0" t="n">
        <v>38</v>
      </c>
      <c r="F4" s="4" t="n">
        <v>0.7</v>
      </c>
    </row>
    <row r="5" customFormat="false" ht="15" hidden="false" customHeight="false" outlineLevel="0" collapsed="false">
      <c r="A5" s="0" t="s">
        <v>16</v>
      </c>
      <c r="B5" s="0" t="n">
        <v>24</v>
      </c>
      <c r="C5" s="0" t="n">
        <v>7</v>
      </c>
      <c r="D5" s="0" t="n">
        <v>5</v>
      </c>
      <c r="E5" s="0" t="n">
        <v>40</v>
      </c>
      <c r="F5" s="4" t="n">
        <v>0.5</v>
      </c>
    </row>
    <row r="8" customFormat="false" ht="15" hidden="false" customHeight="false" outlineLevel="0" collapsed="false">
      <c r="A8" s="0" t="s">
        <v>17</v>
      </c>
      <c r="B8" s="3" t="n">
        <v>95000000</v>
      </c>
    </row>
    <row r="9" customFormat="false" ht="15" hidden="false" customHeight="false" outlineLevel="0" collapsed="false">
      <c r="A9" s="0" t="s">
        <v>18</v>
      </c>
      <c r="B9" s="3" t="n">
        <v>330</v>
      </c>
    </row>
    <row r="10" customFormat="false" ht="15" hidden="false" customHeight="false" outlineLevel="0" collapsed="false">
      <c r="A10" s="0" t="s">
        <v>19</v>
      </c>
      <c r="B10" s="1" t="n">
        <v>0.025</v>
      </c>
    </row>
    <row r="11" customFormat="false" ht="15" hidden="false" customHeight="false" outlineLevel="0" collapsed="false">
      <c r="A11" s="0" t="s">
        <v>20</v>
      </c>
      <c r="B11" s="5" t="n">
        <v>4</v>
      </c>
    </row>
    <row r="12" customFormat="false" ht="15" hidden="false" customHeight="false" outlineLevel="0" collapsed="false">
      <c r="A12" s="0" t="s">
        <v>21</v>
      </c>
      <c r="B12" s="6" t="n">
        <v>1.3</v>
      </c>
    </row>
    <row r="13" customFormat="false" ht="15" hidden="false" customHeight="false" outlineLevel="0" collapsed="false">
      <c r="A13" s="0" t="s">
        <v>22</v>
      </c>
      <c r="B13" s="3" t="n">
        <v>180</v>
      </c>
    </row>
    <row r="14" customFormat="false" ht="15" hidden="false" customHeight="false" outlineLevel="0" collapsed="false">
      <c r="A14" s="0" t="s">
        <v>23</v>
      </c>
      <c r="B14" s="1" t="n">
        <v>0.1</v>
      </c>
    </row>
    <row r="15" customFormat="false" ht="15" hidden="false" customHeight="false" outlineLevel="0" collapsed="false">
      <c r="A15" s="0" t="s">
        <v>24</v>
      </c>
      <c r="B15" s="1" t="n">
        <v>0.12</v>
      </c>
    </row>
    <row r="16" customFormat="false" ht="15" hidden="false" customHeight="false" outlineLevel="0" collapsed="false">
      <c r="A16" s="0" t="s">
        <v>25</v>
      </c>
      <c r="B16" s="1" t="n">
        <v>0.6</v>
      </c>
    </row>
    <row r="17" customFormat="false" ht="15" hidden="false" customHeight="false" outlineLevel="0" collapsed="false">
      <c r="A17" s="0" t="s">
        <v>26</v>
      </c>
      <c r="B17" s="1" t="n">
        <v>0.068</v>
      </c>
    </row>
    <row r="18" customFormat="false" ht="15" hidden="false" customHeight="false" outlineLevel="0" collapsed="false">
      <c r="A18" s="0" t="s">
        <v>27</v>
      </c>
      <c r="B18" s="5" t="n">
        <v>32</v>
      </c>
    </row>
    <row r="19" customFormat="false" ht="15" hidden="false" customHeight="false" outlineLevel="0" collapsed="false">
      <c r="A19" s="0" t="s">
        <v>28</v>
      </c>
      <c r="B19" s="1" t="n">
        <v>0.0725</v>
      </c>
    </row>
    <row r="20" customFormat="false" ht="15" hidden="false" customHeight="false" outlineLevel="0" collapsed="false">
      <c r="A20" s="0" t="s">
        <v>29</v>
      </c>
      <c r="B20" s="1" t="n">
        <v>0.01</v>
      </c>
    </row>
    <row r="22" customFormat="false" ht="15" hidden="false" customHeight="false" outlineLevel="0" collapsed="false">
      <c r="A22" s="0" t="s">
        <v>30</v>
      </c>
      <c r="H22" s="0" t="n">
        <v>0</v>
      </c>
      <c r="I22" s="0" t="n">
        <v>1</v>
      </c>
      <c r="J22" s="0" t="n">
        <v>2</v>
      </c>
      <c r="K22" s="0" t="n">
        <v>3</v>
      </c>
      <c r="L22" s="0" t="n">
        <v>4</v>
      </c>
      <c r="M22" s="0" t="n">
        <v>5</v>
      </c>
      <c r="N22" s="0" t="n">
        <v>6</v>
      </c>
      <c r="O22" s="0" t="n">
        <v>7</v>
      </c>
      <c r="P22" s="0" t="n">
        <v>8</v>
      </c>
      <c r="Q22" s="0" t="n">
        <v>9</v>
      </c>
      <c r="R22" s="0" t="n">
        <v>10</v>
      </c>
      <c r="S22" s="0" t="n">
        <v>11</v>
      </c>
      <c r="T22" s="0" t="n">
        <v>12</v>
      </c>
      <c r="U22" s="0" t="n">
        <v>13</v>
      </c>
      <c r="V22" s="0" t="n">
        <v>14</v>
      </c>
      <c r="W22" s="0" t="n">
        <v>15</v>
      </c>
      <c r="X22" s="0" t="n">
        <v>16</v>
      </c>
      <c r="Y22" s="0" t="n">
        <v>17</v>
      </c>
      <c r="Z22" s="0" t="n">
        <v>18</v>
      </c>
      <c r="AA22" s="0" t="n">
        <v>19</v>
      </c>
      <c r="AB22" s="0" t="n">
        <v>20</v>
      </c>
      <c r="AC22" s="0" t="n">
        <v>21</v>
      </c>
      <c r="AD22" s="0" t="n">
        <v>22</v>
      </c>
      <c r="AE22" s="0" t="n">
        <v>23</v>
      </c>
      <c r="AF22" s="0" t="n">
        <v>24</v>
      </c>
      <c r="AG22" s="0" t="n">
        <v>25</v>
      </c>
      <c r="AH22" s="0" t="n">
        <v>26</v>
      </c>
      <c r="AI22" s="0" t="n">
        <v>27</v>
      </c>
      <c r="AJ22" s="0" t="n">
        <v>28</v>
      </c>
      <c r="AK22" s="0" t="n">
        <v>29</v>
      </c>
      <c r="AL22" s="0" t="n">
        <v>30</v>
      </c>
      <c r="AM22" s="0" t="n">
        <v>31</v>
      </c>
      <c r="AN22" s="0" t="n">
        <v>32</v>
      </c>
      <c r="AO22" s="0" t="n">
        <v>33</v>
      </c>
      <c r="AP22" s="0" t="n">
        <v>34</v>
      </c>
      <c r="AQ22" s="0" t="n">
        <v>35</v>
      </c>
      <c r="AR22" s="0" t="n">
        <v>36</v>
      </c>
      <c r="AS22" s="0" t="n">
        <v>37</v>
      </c>
      <c r="AT22" s="0" t="n">
        <v>38</v>
      </c>
      <c r="AU22" s="0" t="n">
        <v>39</v>
      </c>
      <c r="AV22" s="0" t="n">
        <v>40</v>
      </c>
    </row>
    <row r="23" customFormat="false" ht="15" hidden="false" customHeight="false" outlineLevel="0" collapsed="false">
      <c r="A23" s="0" t="s">
        <v>31</v>
      </c>
      <c r="H23" s="7" t="n">
        <f aca="false">IF(AND(H$22&gt;=$C$4,H$22&lt;$C$4+$D$4),$B$4*$E$4*1000000/$D$4,0)</f>
        <v>0</v>
      </c>
      <c r="I23" s="7" t="n">
        <f aca="false">IF(AND(I$22&gt;=$C$4,I$22&lt;$C$4+$D$4),$B$4*$E$4*1000000/$D$4,0)</f>
        <v>228000000</v>
      </c>
      <c r="J23" s="7" t="n">
        <f aca="false">IF(AND(J$22&gt;=$C$4,J$22&lt;$C$4+$D$4),$B$4*$E$4*1000000/$D$4,0)</f>
        <v>228000000</v>
      </c>
      <c r="K23" s="7" t="n">
        <f aca="false">IF(AND(K$22&gt;=$C$4,K$22&lt;$C$4+$D$4),$B$4*$E$4*1000000/$D$4,0)</f>
        <v>228000000</v>
      </c>
      <c r="L23" s="7" t="n">
        <f aca="false">IF(AND(L$22&gt;=$C$4,L$22&lt;$C$4+$D$4),$B$4*$E$4*1000000/$D$4,0)</f>
        <v>228000000</v>
      </c>
      <c r="M23" s="7" t="n">
        <f aca="false">IF(AND(M$22&gt;=$C$4,M$22&lt;$C$4+$D$4),$B$4*$E$4*1000000/$D$4,0)</f>
        <v>228000000</v>
      </c>
      <c r="N23" s="7" t="n">
        <f aca="false">IF(AND(N$22&gt;=$C$4,N$22&lt;$C$4+$D$4),$B$4*$E$4*1000000/$D$4,0)</f>
        <v>228000000</v>
      </c>
      <c r="O23" s="7" t="n">
        <f aca="false">IF(AND(O$22&gt;=$C$4,O$22&lt;$C$4+$D$4),$B$4*$E$4*1000000/$D$4,0)</f>
        <v>0</v>
      </c>
      <c r="P23" s="7" t="n">
        <f aca="false">IF(AND(P$22&gt;=$C$4,P$22&lt;$C$4+$D$4),$B$4*$E$4*1000000/$D$4,0)</f>
        <v>0</v>
      </c>
      <c r="Q23" s="7" t="n">
        <f aca="false">IF(AND(Q$22&gt;=$C$4,Q$22&lt;$C$4+$D$4),$B$4*$E$4*1000000/$D$4,0)</f>
        <v>0</v>
      </c>
      <c r="R23" s="7" t="n">
        <f aca="false">IF(AND(R$22&gt;=$C$4,R$22&lt;$C$4+$D$4),$B$4*$E$4*1000000/$D$4,0)</f>
        <v>0</v>
      </c>
      <c r="S23" s="7" t="n">
        <f aca="false">IF(AND(S$22&gt;=$C$4,S$22&lt;$C$4+$D$4),$B$4*$E$4*1000000/$D$4,0)</f>
        <v>0</v>
      </c>
      <c r="T23" s="7" t="n">
        <f aca="false">IF(AND(T$22&gt;=$C$4,T$22&lt;$C$4+$D$4),$B$4*$E$4*1000000/$D$4,0)</f>
        <v>0</v>
      </c>
      <c r="U23" s="7" t="n">
        <f aca="false">IF(AND(U$22&gt;=$C$4,U$22&lt;$C$4+$D$4),$B$4*$E$4*1000000/$D$4,0)</f>
        <v>0</v>
      </c>
      <c r="V23" s="7" t="n">
        <f aca="false">IF(AND(V$22&gt;=$C$4,V$22&lt;$C$4+$D$4),$B$4*$E$4*1000000/$D$4,0)</f>
        <v>0</v>
      </c>
      <c r="W23" s="7" t="n">
        <f aca="false">IF(AND(W$22&gt;=$C$4,W$22&lt;$C$4+$D$4),$B$4*$E$4*1000000/$D$4,0)</f>
        <v>0</v>
      </c>
      <c r="X23" s="7" t="n">
        <f aca="false">IF(AND(X$22&gt;=$C$4,X$22&lt;$C$4+$D$4),$B$4*$E$4*1000000/$D$4,0)</f>
        <v>0</v>
      </c>
      <c r="Y23" s="7" t="n">
        <f aca="false">IF(AND(Y$22&gt;=$C$4,Y$22&lt;$C$4+$D$4),$B$4*$E$4*1000000/$D$4,0)</f>
        <v>0</v>
      </c>
      <c r="Z23" s="7" t="n">
        <f aca="false">IF(AND(Z$22&gt;=$C$4,Z$22&lt;$C$4+$D$4),$B$4*$E$4*1000000/$D$4,0)</f>
        <v>0</v>
      </c>
      <c r="AA23" s="7" t="n">
        <f aca="false">IF(AND(AA$22&gt;=$C$4,AA$22&lt;$C$4+$D$4),$B$4*$E$4*1000000/$D$4,0)</f>
        <v>0</v>
      </c>
      <c r="AB23" s="7" t="n">
        <f aca="false">IF(AND(AB$22&gt;=$C$4,AB$22&lt;$C$4+$D$4),$B$4*$E$4*1000000/$D$4,0)</f>
        <v>0</v>
      </c>
      <c r="AC23" s="7" t="n">
        <f aca="false">IF(AND(AC$22&gt;=$C$4,AC$22&lt;$C$4+$D$4),$B$4*$E$4*1000000/$D$4,0)</f>
        <v>0</v>
      </c>
      <c r="AD23" s="7" t="n">
        <f aca="false">IF(AND(AD$22&gt;=$C$4,AD$22&lt;$C$4+$D$4),$B$4*$E$4*1000000/$D$4,0)</f>
        <v>0</v>
      </c>
      <c r="AE23" s="7" t="n">
        <f aca="false">IF(AND(AE$22&gt;=$C$4,AE$22&lt;$C$4+$D$4),$B$4*$E$4*1000000/$D$4,0)</f>
        <v>0</v>
      </c>
      <c r="AF23" s="7" t="n">
        <f aca="false">IF(AND(AF$22&gt;=$C$4,AF$22&lt;$C$4+$D$4),$B$4*$E$4*1000000/$D$4,0)</f>
        <v>0</v>
      </c>
      <c r="AG23" s="7" t="n">
        <f aca="false">IF(AND(AG$22&gt;=$C$4,AG$22&lt;$C$4+$D$4),$B$4*$E$4*1000000/$D$4,0)</f>
        <v>0</v>
      </c>
      <c r="AH23" s="7" t="n">
        <f aca="false">IF(AND(AH$22&gt;=$C$4,AH$22&lt;$C$4+$D$4),$B$4*$E$4*1000000/$D$4,0)</f>
        <v>0</v>
      </c>
      <c r="AI23" s="7" t="n">
        <f aca="false">IF(AND(AI$22&gt;=$C$4,AI$22&lt;$C$4+$D$4),$B$4*$E$4*1000000/$D$4,0)</f>
        <v>0</v>
      </c>
      <c r="AJ23" s="7" t="n">
        <f aca="false">IF(AND(AJ$22&gt;=$C$4,AJ$22&lt;$C$4+$D$4),$B$4*$E$4*1000000/$D$4,0)</f>
        <v>0</v>
      </c>
      <c r="AK23" s="7" t="n">
        <f aca="false">IF(AND(AK$22&gt;=$C$4,AK$22&lt;$C$4+$D$4),$B$4*$E$4*1000000/$D$4,0)</f>
        <v>0</v>
      </c>
      <c r="AL23" s="7" t="n">
        <f aca="false">IF(AND(AL$22&gt;=$C$4,AL$22&lt;$C$4+$D$4),$B$4*$E$4*1000000/$D$4,0)</f>
        <v>0</v>
      </c>
      <c r="AM23" s="7" t="n">
        <f aca="false">IF(AND(AM$22&gt;=$C$4,AM$22&lt;$C$4+$D$4),$B$4*$E$4*1000000/$D$4,0)</f>
        <v>0</v>
      </c>
      <c r="AN23" s="7" t="n">
        <f aca="false">IF(AND(AN$22&gt;=$C$4,AN$22&lt;$C$4+$D$4),$B$4*$E$4*1000000/$D$4,0)</f>
        <v>0</v>
      </c>
      <c r="AO23" s="7" t="n">
        <f aca="false">IF(AND(AO$22&gt;=$C$4,AO$22&lt;$C$4+$D$4),$B$4*$E$4*1000000/$D$4,0)</f>
        <v>0</v>
      </c>
      <c r="AP23" s="7" t="n">
        <f aca="false">IF(AND(AP$22&gt;=$C$4,AP$22&lt;$C$4+$D$4),$B$4*$E$4*1000000/$D$4,0)</f>
        <v>0</v>
      </c>
      <c r="AQ23" s="7" t="n">
        <f aca="false">IF(AND(AQ$22&gt;=$C$4,AQ$22&lt;$C$4+$D$4),$B$4*$E$4*1000000/$D$4,0)</f>
        <v>0</v>
      </c>
      <c r="AR23" s="7" t="n">
        <f aca="false">IF(AND(AR$22&gt;=$C$4,AR$22&lt;$C$4+$D$4),$B$4*$E$4*1000000/$D$4,0)</f>
        <v>0</v>
      </c>
      <c r="AS23" s="7" t="n">
        <f aca="false">IF(AND(AS$22&gt;=$C$4,AS$22&lt;$C$4+$D$4),$B$4*$E$4*1000000/$D$4,0)</f>
        <v>0</v>
      </c>
      <c r="AT23" s="7" t="n">
        <f aca="false">IF(AND(AT$22&gt;=$C$4,AT$22&lt;$C$4+$D$4),$B$4*$E$4*1000000/$D$4,0)</f>
        <v>0</v>
      </c>
      <c r="AU23" s="7" t="n">
        <f aca="false">IF(AND(AU$22&gt;=$C$4,AU$22&lt;$C$4+$D$4),$B$4*$E$4*1000000/$D$4,0)</f>
        <v>0</v>
      </c>
      <c r="AV23" s="7" t="n">
        <f aca="false">IF(AND(AV$22&gt;=$C$4,AV$22&lt;$C$4+$D$4),$B$4*$E$4*1000000/$D$4,0)</f>
        <v>0</v>
      </c>
    </row>
    <row r="24" customFormat="false" ht="15" hidden="false" customHeight="false" outlineLevel="0" collapsed="false">
      <c r="A24" s="0" t="s">
        <v>32</v>
      </c>
      <c r="H24" s="7" t="n">
        <f aca="false">IF(AND(H$22&gt;=$C$5,H$22&lt;$C$5+$D$5),$B$5*$E$5*1000000/$D$5,0)</f>
        <v>0</v>
      </c>
      <c r="I24" s="7" t="n">
        <f aca="false">IF(AND(I$22&gt;=$C$5,I$22&lt;$C$5+$D$5),$B$5*$E$5*1000000/$D$5,0)</f>
        <v>0</v>
      </c>
      <c r="J24" s="7" t="n">
        <f aca="false">IF(AND(J$22&gt;=$C$5,J$22&lt;$C$5+$D$5),$B$5*$E$5*1000000/$D$5,0)</f>
        <v>0</v>
      </c>
      <c r="K24" s="7" t="n">
        <f aca="false">IF(AND(K$22&gt;=$C$5,K$22&lt;$C$5+$D$5),$B$5*$E$5*1000000/$D$5,0)</f>
        <v>0</v>
      </c>
      <c r="L24" s="7" t="n">
        <f aca="false">IF(AND(L$22&gt;=$C$5,L$22&lt;$C$5+$D$5),$B$5*$E$5*1000000/$D$5,0)</f>
        <v>0</v>
      </c>
      <c r="M24" s="7" t="n">
        <f aca="false">IF(AND(M$22&gt;=$C$5,M$22&lt;$C$5+$D$5),$B$5*$E$5*1000000/$D$5,0)</f>
        <v>0</v>
      </c>
      <c r="N24" s="7" t="n">
        <f aca="false">IF(AND(N$22&gt;=$C$5,N$22&lt;$C$5+$D$5),$B$5*$E$5*1000000/$D$5,0)</f>
        <v>0</v>
      </c>
      <c r="O24" s="7" t="n">
        <f aca="false">IF(AND(O$22&gt;=$C$5,O$22&lt;$C$5+$D$5),$B$5*$E$5*1000000/$D$5,0)</f>
        <v>192000000</v>
      </c>
      <c r="P24" s="7" t="n">
        <f aca="false">IF(AND(P$22&gt;=$C$5,P$22&lt;$C$5+$D$5),$B$5*$E$5*1000000/$D$5,0)</f>
        <v>192000000</v>
      </c>
      <c r="Q24" s="7" t="n">
        <f aca="false">IF(AND(Q$22&gt;=$C$5,Q$22&lt;$C$5+$D$5),$B$5*$E$5*1000000/$D$5,0)</f>
        <v>192000000</v>
      </c>
      <c r="R24" s="7" t="n">
        <f aca="false">IF(AND(R$22&gt;=$C$5,R$22&lt;$C$5+$D$5),$B$5*$E$5*1000000/$D$5,0)</f>
        <v>192000000</v>
      </c>
      <c r="S24" s="7" t="n">
        <f aca="false">IF(AND(S$22&gt;=$C$5,S$22&lt;$C$5+$D$5),$B$5*$E$5*1000000/$D$5,0)</f>
        <v>192000000</v>
      </c>
      <c r="T24" s="7" t="n">
        <f aca="false">IF(AND(T$22&gt;=$C$5,T$22&lt;$C$5+$D$5),$B$5*$E$5*1000000/$D$5,0)</f>
        <v>0</v>
      </c>
      <c r="U24" s="7" t="n">
        <f aca="false">IF(AND(U$22&gt;=$C$5,U$22&lt;$C$5+$D$5),$B$5*$E$5*1000000/$D$5,0)</f>
        <v>0</v>
      </c>
      <c r="V24" s="7" t="n">
        <f aca="false">IF(AND(V$22&gt;=$C$5,V$22&lt;$C$5+$D$5),$B$5*$E$5*1000000/$D$5,0)</f>
        <v>0</v>
      </c>
      <c r="W24" s="7" t="n">
        <f aca="false">IF(AND(W$22&gt;=$C$5,W$22&lt;$C$5+$D$5),$B$5*$E$5*1000000/$D$5,0)</f>
        <v>0</v>
      </c>
      <c r="X24" s="7" t="n">
        <f aca="false">IF(AND(X$22&gt;=$C$5,X$22&lt;$C$5+$D$5),$B$5*$E$5*1000000/$D$5,0)</f>
        <v>0</v>
      </c>
      <c r="Y24" s="7" t="n">
        <f aca="false">IF(AND(Y$22&gt;=$C$5,Y$22&lt;$C$5+$D$5),$B$5*$E$5*1000000/$D$5,0)</f>
        <v>0</v>
      </c>
      <c r="Z24" s="7" t="n">
        <f aca="false">IF(AND(Z$22&gt;=$C$5,Z$22&lt;$C$5+$D$5),$B$5*$E$5*1000000/$D$5,0)</f>
        <v>0</v>
      </c>
      <c r="AA24" s="7" t="n">
        <f aca="false">IF(AND(AA$22&gt;=$C$5,AA$22&lt;$C$5+$D$5),$B$5*$E$5*1000000/$D$5,0)</f>
        <v>0</v>
      </c>
      <c r="AB24" s="7" t="n">
        <f aca="false">IF(AND(AB$22&gt;=$C$5,AB$22&lt;$C$5+$D$5),$B$5*$E$5*1000000/$D$5,0)</f>
        <v>0</v>
      </c>
      <c r="AC24" s="7" t="n">
        <f aca="false">IF(AND(AC$22&gt;=$C$5,AC$22&lt;$C$5+$D$5),$B$5*$E$5*1000000/$D$5,0)</f>
        <v>0</v>
      </c>
      <c r="AD24" s="7" t="n">
        <f aca="false">IF(AND(AD$22&gt;=$C$5,AD$22&lt;$C$5+$D$5),$B$5*$E$5*1000000/$D$5,0)</f>
        <v>0</v>
      </c>
      <c r="AE24" s="7" t="n">
        <f aca="false">IF(AND(AE$22&gt;=$C$5,AE$22&lt;$C$5+$D$5),$B$5*$E$5*1000000/$D$5,0)</f>
        <v>0</v>
      </c>
      <c r="AF24" s="7" t="n">
        <f aca="false">IF(AND(AF$22&gt;=$C$5,AF$22&lt;$C$5+$D$5),$B$5*$E$5*1000000/$D$5,0)</f>
        <v>0</v>
      </c>
      <c r="AG24" s="7" t="n">
        <f aca="false">IF(AND(AG$22&gt;=$C$5,AG$22&lt;$C$5+$D$5),$B$5*$E$5*1000000/$D$5,0)</f>
        <v>0</v>
      </c>
      <c r="AH24" s="7" t="n">
        <f aca="false">IF(AND(AH$22&gt;=$C$5,AH$22&lt;$C$5+$D$5),$B$5*$E$5*1000000/$D$5,0)</f>
        <v>0</v>
      </c>
      <c r="AI24" s="7" t="n">
        <f aca="false">IF(AND(AI$22&gt;=$C$5,AI$22&lt;$C$5+$D$5),$B$5*$E$5*1000000/$D$5,0)</f>
        <v>0</v>
      </c>
      <c r="AJ24" s="7" t="n">
        <f aca="false">IF(AND(AJ$22&gt;=$C$5,AJ$22&lt;$C$5+$D$5),$B$5*$E$5*1000000/$D$5,0)</f>
        <v>0</v>
      </c>
      <c r="AK24" s="7" t="n">
        <f aca="false">IF(AND(AK$22&gt;=$C$5,AK$22&lt;$C$5+$D$5),$B$5*$E$5*1000000/$D$5,0)</f>
        <v>0</v>
      </c>
      <c r="AL24" s="7" t="n">
        <f aca="false">IF(AND(AL$22&gt;=$C$5,AL$22&lt;$C$5+$D$5),$B$5*$E$5*1000000/$D$5,0)</f>
        <v>0</v>
      </c>
      <c r="AM24" s="7" t="n">
        <f aca="false">IF(AND(AM$22&gt;=$C$5,AM$22&lt;$C$5+$D$5),$B$5*$E$5*1000000/$D$5,0)</f>
        <v>0</v>
      </c>
      <c r="AN24" s="7" t="n">
        <f aca="false">IF(AND(AN$22&gt;=$C$5,AN$22&lt;$C$5+$D$5),$B$5*$E$5*1000000/$D$5,0)</f>
        <v>0</v>
      </c>
      <c r="AO24" s="7" t="n">
        <f aca="false">IF(AND(AO$22&gt;=$C$5,AO$22&lt;$C$5+$D$5),$B$5*$E$5*1000000/$D$5,0)</f>
        <v>0</v>
      </c>
      <c r="AP24" s="7" t="n">
        <f aca="false">IF(AND(AP$22&gt;=$C$5,AP$22&lt;$C$5+$D$5),$B$5*$E$5*1000000/$D$5,0)</f>
        <v>0</v>
      </c>
      <c r="AQ24" s="7" t="n">
        <f aca="false">IF(AND(AQ$22&gt;=$C$5,AQ$22&lt;$C$5+$D$5),$B$5*$E$5*1000000/$D$5,0)</f>
        <v>0</v>
      </c>
      <c r="AR24" s="7" t="n">
        <f aca="false">IF(AND(AR$22&gt;=$C$5,AR$22&lt;$C$5+$D$5),$B$5*$E$5*1000000/$D$5,0)</f>
        <v>0</v>
      </c>
      <c r="AS24" s="7" t="n">
        <f aca="false">IF(AND(AS$22&gt;=$C$5,AS$22&lt;$C$5+$D$5),$B$5*$E$5*1000000/$D$5,0)</f>
        <v>0</v>
      </c>
      <c r="AT24" s="7" t="n">
        <f aca="false">IF(AND(AT$22&gt;=$C$5,AT$22&lt;$C$5+$D$5),$B$5*$E$5*1000000/$D$5,0)</f>
        <v>0</v>
      </c>
      <c r="AU24" s="7" t="n">
        <f aca="false">IF(AND(AU$22&gt;=$C$5,AU$22&lt;$C$5+$D$5),$B$5*$E$5*1000000/$D$5,0)</f>
        <v>0</v>
      </c>
      <c r="AV24" s="7" t="n">
        <f aca="false">IF(AND(AV$22&gt;=$C$5,AV$22&lt;$C$5+$D$5),$B$5*$E$5*1000000/$D$5,0)</f>
        <v>0</v>
      </c>
    </row>
    <row r="25" customFormat="false" ht="15" hidden="false" customHeight="false" outlineLevel="0" collapsed="false">
      <c r="A25" s="0" t="s">
        <v>33</v>
      </c>
      <c r="H25" s="7" t="n">
        <f aca="false">$B$8</f>
        <v>95000000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</row>
    <row r="26" customFormat="false" ht="15" hidden="false" customHeight="false" outlineLevel="0" collapsed="false">
      <c r="A26" s="0" t="s">
        <v>34</v>
      </c>
      <c r="H26" s="7" t="n">
        <f aca="false">SUM(H23:H25)</f>
        <v>95000000</v>
      </c>
      <c r="I26" s="7" t="n">
        <f aca="false">SUM(I23:I25)</f>
        <v>228000000</v>
      </c>
      <c r="J26" s="7" t="n">
        <f aca="false">SUM(J23:J25)</f>
        <v>228000000</v>
      </c>
      <c r="K26" s="7" t="n">
        <f aca="false">SUM(K23:K25)</f>
        <v>228000000</v>
      </c>
      <c r="L26" s="7" t="n">
        <f aca="false">SUM(L23:L25)</f>
        <v>228000000</v>
      </c>
      <c r="M26" s="7" t="n">
        <f aca="false">SUM(M23:M25)</f>
        <v>228000000</v>
      </c>
      <c r="N26" s="7" t="n">
        <f aca="false">SUM(N23:N25)</f>
        <v>228000000</v>
      </c>
      <c r="O26" s="7" t="n">
        <f aca="false">SUM(O23:O25)</f>
        <v>192000000</v>
      </c>
      <c r="P26" s="7" t="n">
        <f aca="false">SUM(P23:P25)</f>
        <v>192000000</v>
      </c>
      <c r="Q26" s="7" t="n">
        <f aca="false">SUM(Q23:Q25)</f>
        <v>192000000</v>
      </c>
      <c r="R26" s="7" t="n">
        <f aca="false">SUM(R23:R25)</f>
        <v>192000000</v>
      </c>
      <c r="S26" s="7" t="n">
        <f aca="false">SUM(S23:S25)</f>
        <v>192000000</v>
      </c>
      <c r="T26" s="7" t="n">
        <f aca="false">SUM(T23:T25)</f>
        <v>0</v>
      </c>
      <c r="U26" s="7" t="n">
        <f aca="false">SUM(U23:U25)</f>
        <v>0</v>
      </c>
      <c r="V26" s="7" t="n">
        <f aca="false">SUM(V23:V25)</f>
        <v>0</v>
      </c>
      <c r="W26" s="7" t="n">
        <f aca="false">SUM(W23:W25)</f>
        <v>0</v>
      </c>
      <c r="X26" s="7" t="n">
        <f aca="false">SUM(X23:X25)</f>
        <v>0</v>
      </c>
      <c r="Y26" s="7" t="n">
        <f aca="false">SUM(Y23:Y25)</f>
        <v>0</v>
      </c>
      <c r="Z26" s="7" t="n">
        <f aca="false">SUM(Z23:Z25)</f>
        <v>0</v>
      </c>
      <c r="AA26" s="7" t="n">
        <f aca="false">SUM(AA23:AA25)</f>
        <v>0</v>
      </c>
      <c r="AB26" s="7" t="n">
        <f aca="false">SUM(AB23:AB25)</f>
        <v>0</v>
      </c>
      <c r="AC26" s="7" t="n">
        <f aca="false">SUM(AC23:AC25)</f>
        <v>0</v>
      </c>
      <c r="AD26" s="7" t="n">
        <f aca="false">SUM(AD23:AD25)</f>
        <v>0</v>
      </c>
      <c r="AE26" s="7" t="n">
        <f aca="false">SUM(AE23:AE25)</f>
        <v>0</v>
      </c>
      <c r="AF26" s="7" t="n">
        <f aca="false">SUM(AF23:AF25)</f>
        <v>0</v>
      </c>
      <c r="AG26" s="7" t="n">
        <f aca="false">SUM(AG23:AG25)</f>
        <v>0</v>
      </c>
      <c r="AH26" s="7" t="n">
        <f aca="false">SUM(AH23:AH25)</f>
        <v>0</v>
      </c>
      <c r="AI26" s="7" t="n">
        <f aca="false">SUM(AI23:AI25)</f>
        <v>0</v>
      </c>
      <c r="AJ26" s="7" t="n">
        <f aca="false">SUM(AJ23:AJ25)</f>
        <v>0</v>
      </c>
      <c r="AK26" s="7" t="n">
        <f aca="false">SUM(AK23:AK25)</f>
        <v>0</v>
      </c>
      <c r="AL26" s="7" t="n">
        <f aca="false">SUM(AL23:AL25)</f>
        <v>0</v>
      </c>
      <c r="AM26" s="7" t="n">
        <f aca="false">SUM(AM23:AM25)</f>
        <v>0</v>
      </c>
      <c r="AN26" s="7" t="n">
        <f aca="false">SUM(AN23:AN25)</f>
        <v>0</v>
      </c>
      <c r="AO26" s="7" t="n">
        <f aca="false">SUM(AO23:AO25)</f>
        <v>0</v>
      </c>
      <c r="AP26" s="7" t="n">
        <f aca="false">SUM(AP23:AP25)</f>
        <v>0</v>
      </c>
      <c r="AQ26" s="7" t="n">
        <f aca="false">SUM(AQ23:AQ25)</f>
        <v>0</v>
      </c>
      <c r="AR26" s="7" t="n">
        <f aca="false">SUM(AR23:AR25)</f>
        <v>0</v>
      </c>
      <c r="AS26" s="7" t="n">
        <f aca="false">SUM(AS23:AS25)</f>
        <v>0</v>
      </c>
      <c r="AT26" s="7" t="n">
        <f aca="false">SUM(AT23:AT25)</f>
        <v>0</v>
      </c>
      <c r="AU26" s="7" t="n">
        <f aca="false">SUM(AU23:AU25)</f>
        <v>0</v>
      </c>
      <c r="AV26" s="7" t="n">
        <f aca="false">SUM(AV23:AV25)</f>
        <v>0</v>
      </c>
    </row>
    <row r="28" customFormat="false" ht="15" hidden="false" customHeight="false" outlineLevel="0" collapsed="false">
      <c r="A28" s="0" t="s">
        <v>35</v>
      </c>
      <c r="H28" s="0" t="n">
        <f aca="false">IF((H$22-$C$4-$D$4+1)&gt;=1,$B$4*MIN(1,$F$4+(1-$F$4)*((H$22-$C$4-$D$4+1)-1)/$B$11),0)</f>
        <v>0</v>
      </c>
      <c r="I28" s="0" t="n">
        <f aca="false">IF((I$22-$C$4-$D$4+1)&gt;=1,$B$4*MIN(1,$F$4+(1-$F$4)*((I$22-$C$4-$D$4+1)-1)/$B$11),0)</f>
        <v>0</v>
      </c>
      <c r="J28" s="0" t="n">
        <f aca="false">IF((J$22-$C$4-$D$4+1)&gt;=1,$B$4*MIN(1,$F$4+(1-$F$4)*((J$22-$C$4-$D$4+1)-1)/$B$11),0)</f>
        <v>0</v>
      </c>
      <c r="K28" s="0" t="n">
        <f aca="false">IF((K$22-$C$4-$D$4+1)&gt;=1,$B$4*MIN(1,$F$4+(1-$F$4)*((K$22-$C$4-$D$4+1)-1)/$B$11),0)</f>
        <v>0</v>
      </c>
      <c r="L28" s="0" t="n">
        <f aca="false">IF((L$22-$C$4-$D$4+1)&gt;=1,$B$4*MIN(1,$F$4+(1-$F$4)*((L$22-$C$4-$D$4+1)-1)/$B$11),0)</f>
        <v>0</v>
      </c>
      <c r="M28" s="0" t="n">
        <f aca="false">IF((M$22-$C$4-$D$4+1)&gt;=1,$B$4*MIN(1,$F$4+(1-$F$4)*((M$22-$C$4-$D$4+1)-1)/$B$11),0)</f>
        <v>0</v>
      </c>
      <c r="N28" s="0" t="n">
        <f aca="false">IF((N$22-$C$4-$D$4+1)&gt;=1,$B$4*MIN(1,$F$4+(1-$F$4)*((N$22-$C$4-$D$4+1)-1)/$B$11),0)</f>
        <v>0</v>
      </c>
      <c r="O28" s="0" t="n">
        <f aca="false">IF((O$22-$C$4-$D$4+1)&gt;=1,$B$4*MIN(1,$F$4+(1-$F$4)*((O$22-$C$4-$D$4+1)-1)/$B$11),0)</f>
        <v>25.2</v>
      </c>
      <c r="P28" s="0" t="n">
        <f aca="false">IF((P$22-$C$4-$D$4+1)&gt;=1,$B$4*MIN(1,$F$4+(1-$F$4)*((P$22-$C$4-$D$4+1)-1)/$B$11),0)</f>
        <v>27.9</v>
      </c>
      <c r="Q28" s="0" t="n">
        <f aca="false">IF((Q$22-$C$4-$D$4+1)&gt;=1,$B$4*MIN(1,$F$4+(1-$F$4)*((Q$22-$C$4-$D$4+1)-1)/$B$11),0)</f>
        <v>30.6</v>
      </c>
      <c r="R28" s="0" t="n">
        <f aca="false">IF((R$22-$C$4-$D$4+1)&gt;=1,$B$4*MIN(1,$F$4+(1-$F$4)*((R$22-$C$4-$D$4+1)-1)/$B$11),0)</f>
        <v>33.3</v>
      </c>
      <c r="S28" s="0" t="n">
        <f aca="false">IF((S$22-$C$4-$D$4+1)&gt;=1,$B$4*MIN(1,$F$4+(1-$F$4)*((S$22-$C$4-$D$4+1)-1)/$B$11),0)</f>
        <v>36</v>
      </c>
      <c r="T28" s="0" t="n">
        <f aca="false">IF((T$22-$C$4-$D$4+1)&gt;=1,$B$4*MIN(1,$F$4+(1-$F$4)*((T$22-$C$4-$D$4+1)-1)/$B$11),0)</f>
        <v>36</v>
      </c>
      <c r="U28" s="0" t="n">
        <f aca="false">IF((U$22-$C$4-$D$4+1)&gt;=1,$B$4*MIN(1,$F$4+(1-$F$4)*((U$22-$C$4-$D$4+1)-1)/$B$11),0)</f>
        <v>36</v>
      </c>
      <c r="V28" s="0" t="n">
        <f aca="false">IF((V$22-$C$4-$D$4+1)&gt;=1,$B$4*MIN(1,$F$4+(1-$F$4)*((V$22-$C$4-$D$4+1)-1)/$B$11),0)</f>
        <v>36</v>
      </c>
      <c r="W28" s="0" t="n">
        <f aca="false">IF((W$22-$C$4-$D$4+1)&gt;=1,$B$4*MIN(1,$F$4+(1-$F$4)*((W$22-$C$4-$D$4+1)-1)/$B$11),0)</f>
        <v>36</v>
      </c>
      <c r="X28" s="0" t="n">
        <f aca="false">IF((X$22-$C$4-$D$4+1)&gt;=1,$B$4*MIN(1,$F$4+(1-$F$4)*((X$22-$C$4-$D$4+1)-1)/$B$11),0)</f>
        <v>36</v>
      </c>
      <c r="Y28" s="0" t="n">
        <f aca="false">IF((Y$22-$C$4-$D$4+1)&gt;=1,$B$4*MIN(1,$F$4+(1-$F$4)*((Y$22-$C$4-$D$4+1)-1)/$B$11),0)</f>
        <v>36</v>
      </c>
      <c r="Z28" s="0" t="n">
        <f aca="false">IF((Z$22-$C$4-$D$4+1)&gt;=1,$B$4*MIN(1,$F$4+(1-$F$4)*((Z$22-$C$4-$D$4+1)-1)/$B$11),0)</f>
        <v>36</v>
      </c>
      <c r="AA28" s="0" t="n">
        <f aca="false">IF((AA$22-$C$4-$D$4+1)&gt;=1,$B$4*MIN(1,$F$4+(1-$F$4)*((AA$22-$C$4-$D$4+1)-1)/$B$11),0)</f>
        <v>36</v>
      </c>
      <c r="AB28" s="0" t="n">
        <f aca="false">IF((AB$22-$C$4-$D$4+1)&gt;=1,$B$4*MIN(1,$F$4+(1-$F$4)*((AB$22-$C$4-$D$4+1)-1)/$B$11),0)</f>
        <v>36</v>
      </c>
      <c r="AC28" s="0" t="n">
        <f aca="false">IF((AC$22-$C$4-$D$4+1)&gt;=1,$B$4*MIN(1,$F$4+(1-$F$4)*((AC$22-$C$4-$D$4+1)-1)/$B$11),0)</f>
        <v>36</v>
      </c>
      <c r="AD28" s="0" t="n">
        <f aca="false">IF((AD$22-$C$4-$D$4+1)&gt;=1,$B$4*MIN(1,$F$4+(1-$F$4)*((AD$22-$C$4-$D$4+1)-1)/$B$11),0)</f>
        <v>36</v>
      </c>
      <c r="AE28" s="0" t="n">
        <f aca="false">IF((AE$22-$C$4-$D$4+1)&gt;=1,$B$4*MIN(1,$F$4+(1-$F$4)*((AE$22-$C$4-$D$4+1)-1)/$B$11),0)</f>
        <v>36</v>
      </c>
      <c r="AF28" s="0" t="n">
        <f aca="false">IF((AF$22-$C$4-$D$4+1)&gt;=1,$B$4*MIN(1,$F$4+(1-$F$4)*((AF$22-$C$4-$D$4+1)-1)/$B$11),0)</f>
        <v>36</v>
      </c>
      <c r="AG28" s="0" t="n">
        <f aca="false">IF((AG$22-$C$4-$D$4+1)&gt;=1,$B$4*MIN(1,$F$4+(1-$F$4)*((AG$22-$C$4-$D$4+1)-1)/$B$11),0)</f>
        <v>36</v>
      </c>
      <c r="AH28" s="0" t="n">
        <f aca="false">IF((AH$22-$C$4-$D$4+1)&gt;=1,$B$4*MIN(1,$F$4+(1-$F$4)*((AH$22-$C$4-$D$4+1)-1)/$B$11),0)</f>
        <v>36</v>
      </c>
      <c r="AI28" s="0" t="n">
        <f aca="false">IF((AI$22-$C$4-$D$4+1)&gt;=1,$B$4*MIN(1,$F$4+(1-$F$4)*((AI$22-$C$4-$D$4+1)-1)/$B$11),0)</f>
        <v>36</v>
      </c>
      <c r="AJ28" s="0" t="n">
        <f aca="false">IF((AJ$22-$C$4-$D$4+1)&gt;=1,$B$4*MIN(1,$F$4+(1-$F$4)*((AJ$22-$C$4-$D$4+1)-1)/$B$11),0)</f>
        <v>36</v>
      </c>
      <c r="AK28" s="0" t="n">
        <f aca="false">IF((AK$22-$C$4-$D$4+1)&gt;=1,$B$4*MIN(1,$F$4+(1-$F$4)*((AK$22-$C$4-$D$4+1)-1)/$B$11),0)</f>
        <v>36</v>
      </c>
      <c r="AL28" s="0" t="n">
        <f aca="false">IF((AL$22-$C$4-$D$4+1)&gt;=1,$B$4*MIN(1,$F$4+(1-$F$4)*((AL$22-$C$4-$D$4+1)-1)/$B$11),0)</f>
        <v>36</v>
      </c>
      <c r="AM28" s="0" t="n">
        <f aca="false">IF((AM$22-$C$4-$D$4+1)&gt;=1,$B$4*MIN(1,$F$4+(1-$F$4)*((AM$22-$C$4-$D$4+1)-1)/$B$11),0)</f>
        <v>36</v>
      </c>
      <c r="AN28" s="0" t="n">
        <f aca="false">IF((AN$22-$C$4-$D$4+1)&gt;=1,$B$4*MIN(1,$F$4+(1-$F$4)*((AN$22-$C$4-$D$4+1)-1)/$B$11),0)</f>
        <v>36</v>
      </c>
      <c r="AO28" s="0" t="n">
        <f aca="false">IF((AO$22-$C$4-$D$4+1)&gt;=1,$B$4*MIN(1,$F$4+(1-$F$4)*((AO$22-$C$4-$D$4+1)-1)/$B$11),0)</f>
        <v>36</v>
      </c>
      <c r="AP28" s="0" t="n">
        <f aca="false">IF((AP$22-$C$4-$D$4+1)&gt;=1,$B$4*MIN(1,$F$4+(1-$F$4)*((AP$22-$C$4-$D$4+1)-1)/$B$11),0)</f>
        <v>36</v>
      </c>
      <c r="AQ28" s="0" t="n">
        <f aca="false">IF((AQ$22-$C$4-$D$4+1)&gt;=1,$B$4*MIN(1,$F$4+(1-$F$4)*((AQ$22-$C$4-$D$4+1)-1)/$B$11),0)</f>
        <v>36</v>
      </c>
      <c r="AR28" s="0" t="n">
        <f aca="false">IF((AR$22-$C$4-$D$4+1)&gt;=1,$B$4*MIN(1,$F$4+(1-$F$4)*((AR$22-$C$4-$D$4+1)-1)/$B$11),0)</f>
        <v>36</v>
      </c>
      <c r="AS28" s="0" t="n">
        <f aca="false">IF((AS$22-$C$4-$D$4+1)&gt;=1,$B$4*MIN(1,$F$4+(1-$F$4)*((AS$22-$C$4-$D$4+1)-1)/$B$11),0)</f>
        <v>36</v>
      </c>
      <c r="AT28" s="0" t="n">
        <f aca="false">IF((AT$22-$C$4-$D$4+1)&gt;=1,$B$4*MIN(1,$F$4+(1-$F$4)*((AT$22-$C$4-$D$4+1)-1)/$B$11),0)</f>
        <v>36</v>
      </c>
      <c r="AU28" s="0" t="n">
        <f aca="false">IF((AU$22-$C$4-$D$4+1)&gt;=1,$B$4*MIN(1,$F$4+(1-$F$4)*((AU$22-$C$4-$D$4+1)-1)/$B$11),0)</f>
        <v>36</v>
      </c>
      <c r="AV28" s="0" t="n">
        <f aca="false">IF((AV$22-$C$4-$D$4+1)&gt;=1,$B$4*MIN(1,$F$4+(1-$F$4)*((AV$22-$C$4-$D$4+1)-1)/$B$11),0)</f>
        <v>36</v>
      </c>
    </row>
    <row r="29" customFormat="false" ht="15" hidden="false" customHeight="false" outlineLevel="0" collapsed="false">
      <c r="A29" s="0" t="s">
        <v>36</v>
      </c>
      <c r="H29" s="0" t="n">
        <f aca="false">IF((H$22-$C$5-$D$5+1)&gt;=1,$B$5*MIN(1,$F$5+(1-$F$5)*((H$22-$C$5-$D$5+1)-1)/$B$11),0)</f>
        <v>0</v>
      </c>
      <c r="I29" s="0" t="n">
        <f aca="false">IF((I$22-$C$5-$D$5+1)&gt;=1,$B$5*MIN(1,$F$5+(1-$F$5)*((I$22-$C$5-$D$5+1)-1)/$B$11),0)</f>
        <v>0</v>
      </c>
      <c r="J29" s="0" t="n">
        <f aca="false">IF((J$22-$C$5-$D$5+1)&gt;=1,$B$5*MIN(1,$F$5+(1-$F$5)*((J$22-$C$5-$D$5+1)-1)/$B$11),0)</f>
        <v>0</v>
      </c>
      <c r="K29" s="0" t="n">
        <f aca="false">IF((K$22-$C$5-$D$5+1)&gt;=1,$B$5*MIN(1,$F$5+(1-$F$5)*((K$22-$C$5-$D$5+1)-1)/$B$11),0)</f>
        <v>0</v>
      </c>
      <c r="L29" s="0" t="n">
        <f aca="false">IF((L$22-$C$5-$D$5+1)&gt;=1,$B$5*MIN(1,$F$5+(1-$F$5)*((L$22-$C$5-$D$5+1)-1)/$B$11),0)</f>
        <v>0</v>
      </c>
      <c r="M29" s="0" t="n">
        <f aca="false">IF((M$22-$C$5-$D$5+1)&gt;=1,$B$5*MIN(1,$F$5+(1-$F$5)*((M$22-$C$5-$D$5+1)-1)/$B$11),0)</f>
        <v>0</v>
      </c>
      <c r="N29" s="0" t="n">
        <f aca="false">IF((N$22-$C$5-$D$5+1)&gt;=1,$B$5*MIN(1,$F$5+(1-$F$5)*((N$22-$C$5-$D$5+1)-1)/$B$11),0)</f>
        <v>0</v>
      </c>
      <c r="O29" s="0" t="n">
        <f aca="false">IF((O$22-$C$5-$D$5+1)&gt;=1,$B$5*MIN(1,$F$5+(1-$F$5)*((O$22-$C$5-$D$5+1)-1)/$B$11),0)</f>
        <v>0</v>
      </c>
      <c r="P29" s="0" t="n">
        <f aca="false">IF((P$22-$C$5-$D$5+1)&gt;=1,$B$5*MIN(1,$F$5+(1-$F$5)*((P$22-$C$5-$D$5+1)-1)/$B$11),0)</f>
        <v>0</v>
      </c>
      <c r="Q29" s="0" t="n">
        <f aca="false">IF((Q$22-$C$5-$D$5+1)&gt;=1,$B$5*MIN(1,$F$5+(1-$F$5)*((Q$22-$C$5-$D$5+1)-1)/$B$11),0)</f>
        <v>0</v>
      </c>
      <c r="R29" s="0" t="n">
        <f aca="false">IF((R$22-$C$5-$D$5+1)&gt;=1,$B$5*MIN(1,$F$5+(1-$F$5)*((R$22-$C$5-$D$5+1)-1)/$B$11),0)</f>
        <v>0</v>
      </c>
      <c r="S29" s="0" t="n">
        <f aca="false">IF((S$22-$C$5-$D$5+1)&gt;=1,$B$5*MIN(1,$F$5+(1-$F$5)*((S$22-$C$5-$D$5+1)-1)/$B$11),0)</f>
        <v>0</v>
      </c>
      <c r="T29" s="0" t="n">
        <f aca="false">IF((T$22-$C$5-$D$5+1)&gt;=1,$B$5*MIN(1,$F$5+(1-$F$5)*((T$22-$C$5-$D$5+1)-1)/$B$11),0)</f>
        <v>12</v>
      </c>
      <c r="U29" s="0" t="n">
        <f aca="false">IF((U$22-$C$5-$D$5+1)&gt;=1,$B$5*MIN(1,$F$5+(1-$F$5)*((U$22-$C$5-$D$5+1)-1)/$B$11),0)</f>
        <v>15</v>
      </c>
      <c r="V29" s="0" t="n">
        <f aca="false">IF((V$22-$C$5-$D$5+1)&gt;=1,$B$5*MIN(1,$F$5+(1-$F$5)*((V$22-$C$5-$D$5+1)-1)/$B$11),0)</f>
        <v>18</v>
      </c>
      <c r="W29" s="0" t="n">
        <f aca="false">IF((W$22-$C$5-$D$5+1)&gt;=1,$B$5*MIN(1,$F$5+(1-$F$5)*((W$22-$C$5-$D$5+1)-1)/$B$11),0)</f>
        <v>21</v>
      </c>
      <c r="X29" s="0" t="n">
        <f aca="false">IF((X$22-$C$5-$D$5+1)&gt;=1,$B$5*MIN(1,$F$5+(1-$F$5)*((X$22-$C$5-$D$5+1)-1)/$B$11),0)</f>
        <v>24</v>
      </c>
      <c r="Y29" s="0" t="n">
        <f aca="false">IF((Y$22-$C$5-$D$5+1)&gt;=1,$B$5*MIN(1,$F$5+(1-$F$5)*((Y$22-$C$5-$D$5+1)-1)/$B$11),0)</f>
        <v>24</v>
      </c>
      <c r="Z29" s="0" t="n">
        <f aca="false">IF((Z$22-$C$5-$D$5+1)&gt;=1,$B$5*MIN(1,$F$5+(1-$F$5)*((Z$22-$C$5-$D$5+1)-1)/$B$11),0)</f>
        <v>24</v>
      </c>
      <c r="AA29" s="0" t="n">
        <f aca="false">IF((AA$22-$C$5-$D$5+1)&gt;=1,$B$5*MIN(1,$F$5+(1-$F$5)*((AA$22-$C$5-$D$5+1)-1)/$B$11),0)</f>
        <v>24</v>
      </c>
      <c r="AB29" s="0" t="n">
        <f aca="false">IF((AB$22-$C$5-$D$5+1)&gt;=1,$B$5*MIN(1,$F$5+(1-$F$5)*((AB$22-$C$5-$D$5+1)-1)/$B$11),0)</f>
        <v>24</v>
      </c>
      <c r="AC29" s="0" t="n">
        <f aca="false">IF((AC$22-$C$5-$D$5+1)&gt;=1,$B$5*MIN(1,$F$5+(1-$F$5)*((AC$22-$C$5-$D$5+1)-1)/$B$11),0)</f>
        <v>24</v>
      </c>
      <c r="AD29" s="0" t="n">
        <f aca="false">IF((AD$22-$C$5-$D$5+1)&gt;=1,$B$5*MIN(1,$F$5+(1-$F$5)*((AD$22-$C$5-$D$5+1)-1)/$B$11),0)</f>
        <v>24</v>
      </c>
      <c r="AE29" s="0" t="n">
        <f aca="false">IF((AE$22-$C$5-$D$5+1)&gt;=1,$B$5*MIN(1,$F$5+(1-$F$5)*((AE$22-$C$5-$D$5+1)-1)/$B$11),0)</f>
        <v>24</v>
      </c>
      <c r="AF29" s="0" t="n">
        <f aca="false">IF((AF$22-$C$5-$D$5+1)&gt;=1,$B$5*MIN(1,$F$5+(1-$F$5)*((AF$22-$C$5-$D$5+1)-1)/$B$11),0)</f>
        <v>24</v>
      </c>
      <c r="AG29" s="0" t="n">
        <f aca="false">IF((AG$22-$C$5-$D$5+1)&gt;=1,$B$5*MIN(1,$F$5+(1-$F$5)*((AG$22-$C$5-$D$5+1)-1)/$B$11),0)</f>
        <v>24</v>
      </c>
      <c r="AH29" s="0" t="n">
        <f aca="false">IF((AH$22-$C$5-$D$5+1)&gt;=1,$B$5*MIN(1,$F$5+(1-$F$5)*((AH$22-$C$5-$D$5+1)-1)/$B$11),0)</f>
        <v>24</v>
      </c>
      <c r="AI29" s="0" t="n">
        <f aca="false">IF((AI$22-$C$5-$D$5+1)&gt;=1,$B$5*MIN(1,$F$5+(1-$F$5)*((AI$22-$C$5-$D$5+1)-1)/$B$11),0)</f>
        <v>24</v>
      </c>
      <c r="AJ29" s="0" t="n">
        <f aca="false">IF((AJ$22-$C$5-$D$5+1)&gt;=1,$B$5*MIN(1,$F$5+(1-$F$5)*((AJ$22-$C$5-$D$5+1)-1)/$B$11),0)</f>
        <v>24</v>
      </c>
      <c r="AK29" s="0" t="n">
        <f aca="false">IF((AK$22-$C$5-$D$5+1)&gt;=1,$B$5*MIN(1,$F$5+(1-$F$5)*((AK$22-$C$5-$D$5+1)-1)/$B$11),0)</f>
        <v>24</v>
      </c>
      <c r="AL29" s="0" t="n">
        <f aca="false">IF((AL$22-$C$5-$D$5+1)&gt;=1,$B$5*MIN(1,$F$5+(1-$F$5)*((AL$22-$C$5-$D$5+1)-1)/$B$11),0)</f>
        <v>24</v>
      </c>
      <c r="AM29" s="0" t="n">
        <f aca="false">IF((AM$22-$C$5-$D$5+1)&gt;=1,$B$5*MIN(1,$F$5+(1-$F$5)*((AM$22-$C$5-$D$5+1)-1)/$B$11),0)</f>
        <v>24</v>
      </c>
      <c r="AN29" s="0" t="n">
        <f aca="false">IF((AN$22-$C$5-$D$5+1)&gt;=1,$B$5*MIN(1,$F$5+(1-$F$5)*((AN$22-$C$5-$D$5+1)-1)/$B$11),0)</f>
        <v>24</v>
      </c>
      <c r="AO29" s="0" t="n">
        <f aca="false">IF((AO$22-$C$5-$D$5+1)&gt;=1,$B$5*MIN(1,$F$5+(1-$F$5)*((AO$22-$C$5-$D$5+1)-1)/$B$11),0)</f>
        <v>24</v>
      </c>
      <c r="AP29" s="0" t="n">
        <f aca="false">IF((AP$22-$C$5-$D$5+1)&gt;=1,$B$5*MIN(1,$F$5+(1-$F$5)*((AP$22-$C$5-$D$5+1)-1)/$B$11),0)</f>
        <v>24</v>
      </c>
      <c r="AQ29" s="0" t="n">
        <f aca="false">IF((AQ$22-$C$5-$D$5+1)&gt;=1,$B$5*MIN(1,$F$5+(1-$F$5)*((AQ$22-$C$5-$D$5+1)-1)/$B$11),0)</f>
        <v>24</v>
      </c>
      <c r="AR29" s="0" t="n">
        <f aca="false">IF((AR$22-$C$5-$D$5+1)&gt;=1,$B$5*MIN(1,$F$5+(1-$F$5)*((AR$22-$C$5-$D$5+1)-1)/$B$11),0)</f>
        <v>24</v>
      </c>
      <c r="AS29" s="0" t="n">
        <f aca="false">IF((AS$22-$C$5-$D$5+1)&gt;=1,$B$5*MIN(1,$F$5+(1-$F$5)*((AS$22-$C$5-$D$5+1)-1)/$B$11),0)</f>
        <v>24</v>
      </c>
      <c r="AT29" s="0" t="n">
        <f aca="false">IF((AT$22-$C$5-$D$5+1)&gt;=1,$B$5*MIN(1,$F$5+(1-$F$5)*((AT$22-$C$5-$D$5+1)-1)/$B$11),0)</f>
        <v>24</v>
      </c>
      <c r="AU29" s="0" t="n">
        <f aca="false">IF((AU$22-$C$5-$D$5+1)&gt;=1,$B$5*MIN(1,$F$5+(1-$F$5)*((AU$22-$C$5-$D$5+1)-1)/$B$11),0)</f>
        <v>24</v>
      </c>
      <c r="AV29" s="0" t="n">
        <f aca="false">IF((AV$22-$C$5-$D$5+1)&gt;=1,$B$5*MIN(1,$F$5+(1-$F$5)*((AV$22-$C$5-$D$5+1)-1)/$B$11),0)</f>
        <v>24</v>
      </c>
    </row>
    <row r="30" customFormat="false" ht="15" hidden="false" customHeight="false" outlineLevel="0" collapsed="false">
      <c r="A30" s="0" t="s">
        <v>37</v>
      </c>
      <c r="H30" s="7" t="n">
        <f aca="false">(H28+H29)*1000*$B$9*3*(1+$B$10)^INT(H$22/4)</f>
        <v>0</v>
      </c>
      <c r="I30" s="7" t="n">
        <f aca="false">(I28+I29)*1000*$B$9*3*(1+$B$10)^INT(I$22/4)</f>
        <v>0</v>
      </c>
      <c r="J30" s="7" t="n">
        <f aca="false">(J28+J29)*1000*$B$9*3*(1+$B$10)^INT(J$22/4)</f>
        <v>0</v>
      </c>
      <c r="K30" s="7" t="n">
        <f aca="false">(K28+K29)*1000*$B$9*3*(1+$B$10)^INT(K$22/4)</f>
        <v>0</v>
      </c>
      <c r="L30" s="7" t="n">
        <f aca="false">(L28+L29)*1000*$B$9*3*(1+$B$10)^INT(L$22/4)</f>
        <v>0</v>
      </c>
      <c r="M30" s="7" t="n">
        <f aca="false">(M28+M29)*1000*$B$9*3*(1+$B$10)^INT(M$22/4)</f>
        <v>0</v>
      </c>
      <c r="N30" s="7" t="n">
        <f aca="false">(N28+N29)*1000*$B$9*3*(1+$B$10)^INT(N$22/4)</f>
        <v>0</v>
      </c>
      <c r="O30" s="7" t="n">
        <f aca="false">(O28+O29)*1000*$B$9*3*(1+$B$10)^INT(O$22/4)</f>
        <v>25571700</v>
      </c>
      <c r="P30" s="7" t="n">
        <f aca="false">(P28+P29)*1000*$B$9*3*(1+$B$10)^INT(P$22/4)</f>
        <v>29019313.125</v>
      </c>
      <c r="Q30" s="7" t="n">
        <f aca="false">(Q28+Q29)*1000*$B$9*3*(1+$B$10)^INT(Q$22/4)</f>
        <v>31827633.75</v>
      </c>
      <c r="R30" s="7" t="n">
        <f aca="false">(R28+R29)*1000*$B$9*3*(1+$B$10)^INT(R$22/4)</f>
        <v>34635954.375</v>
      </c>
      <c r="S30" s="7" t="n">
        <f aca="false">(S28+S29)*1000*$B$9*3*(1+$B$10)^INT(S$22/4)</f>
        <v>37444275</v>
      </c>
      <c r="T30" s="7" t="n">
        <f aca="false">(T28+T29)*1000*$B$9*3*(1+$B$10)^INT(T$22/4)</f>
        <v>51173842.5</v>
      </c>
      <c r="U30" s="7" t="n">
        <f aca="false">(U28+U29)*1000*$B$9*3*(1+$B$10)^INT(U$22/4)</f>
        <v>54372207.65625</v>
      </c>
      <c r="V30" s="7" t="n">
        <f aca="false">(V28+V29)*1000*$B$9*3*(1+$B$10)^INT(V$22/4)</f>
        <v>57570572.8125</v>
      </c>
      <c r="W30" s="7" t="n">
        <f aca="false">(W28+W29)*1000*$B$9*3*(1+$B$10)^INT(W$22/4)</f>
        <v>60768937.96875</v>
      </c>
      <c r="X30" s="7" t="n">
        <f aca="false">(X28+X29)*1000*$B$9*3*(1+$B$10)^INT(X$22/4)</f>
        <v>65566485.703125</v>
      </c>
      <c r="Y30" s="7" t="n">
        <f aca="false">(Y28+Y29)*1000*$B$9*3*(1+$B$10)^INT(Y$22/4)</f>
        <v>65566485.703125</v>
      </c>
      <c r="Z30" s="7" t="n">
        <f aca="false">(Z28+Z29)*1000*$B$9*3*(1+$B$10)^INT(Z$22/4)</f>
        <v>65566485.703125</v>
      </c>
      <c r="AA30" s="7" t="n">
        <f aca="false">(AA28+AA29)*1000*$B$9*3*(1+$B$10)^INT(AA$22/4)</f>
        <v>65566485.703125</v>
      </c>
      <c r="AB30" s="7" t="n">
        <f aca="false">(AB28+AB29)*1000*$B$9*3*(1+$B$10)^INT(AB$22/4)</f>
        <v>67205647.8457031</v>
      </c>
      <c r="AC30" s="7" t="n">
        <f aca="false">(AC28+AC29)*1000*$B$9*3*(1+$B$10)^INT(AC$22/4)</f>
        <v>67205647.8457031</v>
      </c>
      <c r="AD30" s="7" t="n">
        <f aca="false">(AD28+AD29)*1000*$B$9*3*(1+$B$10)^INT(AD$22/4)</f>
        <v>67205647.8457031</v>
      </c>
      <c r="AE30" s="7" t="n">
        <f aca="false">(AE28+AE29)*1000*$B$9*3*(1+$B$10)^INT(AE$22/4)</f>
        <v>67205647.8457031</v>
      </c>
      <c r="AF30" s="7" t="n">
        <f aca="false">(AF28+AF29)*1000*$B$9*3*(1+$B$10)^INT(AF$22/4)</f>
        <v>68885789.0418457</v>
      </c>
      <c r="AG30" s="7" t="n">
        <f aca="false">(AG28+AG29)*1000*$B$9*3*(1+$B$10)^INT(AG$22/4)</f>
        <v>68885789.0418457</v>
      </c>
      <c r="AH30" s="7" t="n">
        <f aca="false">(AH28+AH29)*1000*$B$9*3*(1+$B$10)^INT(AH$22/4)</f>
        <v>68885789.0418457</v>
      </c>
      <c r="AI30" s="7" t="n">
        <f aca="false">(AI28+AI29)*1000*$B$9*3*(1+$B$10)^INT(AI$22/4)</f>
        <v>68885789.0418457</v>
      </c>
      <c r="AJ30" s="7" t="n">
        <f aca="false">(AJ28+AJ29)*1000*$B$9*3*(1+$B$10)^INT(AJ$22/4)</f>
        <v>70607933.7678918</v>
      </c>
      <c r="AK30" s="7" t="n">
        <f aca="false">(AK28+AK29)*1000*$B$9*3*(1+$B$10)^INT(AK$22/4)</f>
        <v>70607933.7678918</v>
      </c>
      <c r="AL30" s="7" t="n">
        <f aca="false">(AL28+AL29)*1000*$B$9*3*(1+$B$10)^INT(AL$22/4)</f>
        <v>70607933.7678918</v>
      </c>
      <c r="AM30" s="7" t="n">
        <f aca="false">(AM28+AM29)*1000*$B$9*3*(1+$B$10)^INT(AM$22/4)</f>
        <v>70607933.7678918</v>
      </c>
      <c r="AN30" s="7" t="n">
        <f aca="false">(AN28+AN29)*1000*$B$9*3*(1+$B$10)^INT(AN$22/4)</f>
        <v>72373132.1120891</v>
      </c>
      <c r="AO30" s="7" t="n">
        <f aca="false">(AO28+AO29)*1000*$B$9*3*(1+$B$10)^INT(AO$22/4)</f>
        <v>72373132.1120891</v>
      </c>
      <c r="AP30" s="7" t="n">
        <f aca="false">(AP28+AP29)*1000*$B$9*3*(1+$B$10)^INT(AP$22/4)</f>
        <v>72373132.1120891</v>
      </c>
      <c r="AQ30" s="7" t="n">
        <f aca="false">(AQ28+AQ29)*1000*$B$9*3*(1+$B$10)^INT(AQ$22/4)</f>
        <v>72373132.1120891</v>
      </c>
      <c r="AR30" s="7" t="n">
        <f aca="false">(AR28+AR29)*1000*$B$9*3*(1+$B$10)^INT(AR$22/4)</f>
        <v>74182460.4148913</v>
      </c>
      <c r="AS30" s="7" t="n">
        <f aca="false">(AS28+AS29)*1000*$B$9*3*(1+$B$10)^INT(AS$22/4)</f>
        <v>74182460.4148913</v>
      </c>
      <c r="AT30" s="7" t="n">
        <f aca="false">(AT28+AT29)*1000*$B$9*3*(1+$B$10)^INT(AT$22/4)</f>
        <v>74182460.4148913</v>
      </c>
      <c r="AU30" s="7" t="n">
        <f aca="false">(AU28+AU29)*1000*$B$9*3*(1+$B$10)^INT(AU$22/4)</f>
        <v>74182460.4148913</v>
      </c>
      <c r="AV30" s="7" t="n">
        <f aca="false">(AV28+AV29)*1000*$B$9*3*(1+$B$10)^INT(AV$22/4)</f>
        <v>76037021.9252636</v>
      </c>
    </row>
    <row r="31" customFormat="false" ht="15" hidden="false" customHeight="false" outlineLevel="0" collapsed="false">
      <c r="A31" s="0" t="s">
        <v>38</v>
      </c>
      <c r="H31" s="7" t="n">
        <f aca="false">(H28+H29)*$B$12*24*91.25*$B$13*$B$14</f>
        <v>0</v>
      </c>
      <c r="I31" s="7" t="n">
        <f aca="false">(I28+I29)*$B$12*24*91.25*$B$13*$B$14</f>
        <v>0</v>
      </c>
      <c r="J31" s="7" t="n">
        <f aca="false">(J28+J29)*$B$12*24*91.25*$B$13*$B$14</f>
        <v>0</v>
      </c>
      <c r="K31" s="7" t="n">
        <f aca="false">(K28+K29)*$B$12*24*91.25*$B$13*$B$14</f>
        <v>0</v>
      </c>
      <c r="L31" s="7" t="n">
        <f aca="false">(L28+L29)*$B$12*24*91.25*$B$13*$B$14</f>
        <v>0</v>
      </c>
      <c r="M31" s="7" t="n">
        <f aca="false">(M28+M29)*$B$12*24*91.25*$B$13*$B$14</f>
        <v>0</v>
      </c>
      <c r="N31" s="7" t="n">
        <f aca="false">(N28+N29)*$B$12*24*91.25*$B$13*$B$14</f>
        <v>0</v>
      </c>
      <c r="O31" s="7" t="n">
        <f aca="false">(O28+O29)*$B$12*24*91.25*$B$13*$B$14</f>
        <v>1291399.2</v>
      </c>
      <c r="P31" s="7" t="n">
        <f aca="false">(P28+P29)*$B$12*24*91.25*$B$13*$B$14</f>
        <v>1429763.4</v>
      </c>
      <c r="Q31" s="7" t="n">
        <f aca="false">(Q28+Q29)*$B$12*24*91.25*$B$13*$B$14</f>
        <v>1568127.6</v>
      </c>
      <c r="R31" s="7" t="n">
        <f aca="false">(R28+R29)*$B$12*24*91.25*$B$13*$B$14</f>
        <v>1706491.8</v>
      </c>
      <c r="S31" s="7" t="n">
        <f aca="false">(S28+S29)*$B$12*24*91.25*$B$13*$B$14</f>
        <v>1844856</v>
      </c>
      <c r="T31" s="7" t="n">
        <f aca="false">(T28+T29)*$B$12*24*91.25*$B$13*$B$14</f>
        <v>2459808</v>
      </c>
      <c r="U31" s="7" t="n">
        <f aca="false">(U28+U29)*$B$12*24*91.25*$B$13*$B$14</f>
        <v>2613546</v>
      </c>
      <c r="V31" s="7" t="n">
        <f aca="false">(V28+V29)*$B$12*24*91.25*$B$13*$B$14</f>
        <v>2767284</v>
      </c>
      <c r="W31" s="7" t="n">
        <f aca="false">(W28+W29)*$B$12*24*91.25*$B$13*$B$14</f>
        <v>2921022</v>
      </c>
      <c r="X31" s="7" t="n">
        <f aca="false">(X28+X29)*$B$12*24*91.25*$B$13*$B$14</f>
        <v>3074760</v>
      </c>
      <c r="Y31" s="7" t="n">
        <f aca="false">(Y28+Y29)*$B$12*24*91.25*$B$13*$B$14</f>
        <v>3074760</v>
      </c>
      <c r="Z31" s="7" t="n">
        <f aca="false">(Z28+Z29)*$B$12*24*91.25*$B$13*$B$14</f>
        <v>3074760</v>
      </c>
      <c r="AA31" s="7" t="n">
        <f aca="false">(AA28+AA29)*$B$12*24*91.25*$B$13*$B$14</f>
        <v>3074760</v>
      </c>
      <c r="AB31" s="7" t="n">
        <f aca="false">(AB28+AB29)*$B$12*24*91.25*$B$13*$B$14</f>
        <v>3074760</v>
      </c>
      <c r="AC31" s="7" t="n">
        <f aca="false">(AC28+AC29)*$B$12*24*91.25*$B$13*$B$14</f>
        <v>3074760</v>
      </c>
      <c r="AD31" s="7" t="n">
        <f aca="false">(AD28+AD29)*$B$12*24*91.25*$B$13*$B$14</f>
        <v>3074760</v>
      </c>
      <c r="AE31" s="7" t="n">
        <f aca="false">(AE28+AE29)*$B$12*24*91.25*$B$13*$B$14</f>
        <v>3074760</v>
      </c>
      <c r="AF31" s="7" t="n">
        <f aca="false">(AF28+AF29)*$B$12*24*91.25*$B$13*$B$14</f>
        <v>3074760</v>
      </c>
      <c r="AG31" s="7" t="n">
        <f aca="false">(AG28+AG29)*$B$12*24*91.25*$B$13*$B$14</f>
        <v>3074760</v>
      </c>
      <c r="AH31" s="7" t="n">
        <f aca="false">(AH28+AH29)*$B$12*24*91.25*$B$13*$B$14</f>
        <v>3074760</v>
      </c>
      <c r="AI31" s="7" t="n">
        <f aca="false">(AI28+AI29)*$B$12*24*91.25*$B$13*$B$14</f>
        <v>3074760</v>
      </c>
      <c r="AJ31" s="7" t="n">
        <f aca="false">(AJ28+AJ29)*$B$12*24*91.25*$B$13*$B$14</f>
        <v>3074760</v>
      </c>
      <c r="AK31" s="7" t="n">
        <f aca="false">(AK28+AK29)*$B$12*24*91.25*$B$13*$B$14</f>
        <v>3074760</v>
      </c>
      <c r="AL31" s="7" t="n">
        <f aca="false">(AL28+AL29)*$B$12*24*91.25*$B$13*$B$14</f>
        <v>3074760</v>
      </c>
      <c r="AM31" s="7" t="n">
        <f aca="false">(AM28+AM29)*$B$12*24*91.25*$B$13*$B$14</f>
        <v>3074760</v>
      </c>
      <c r="AN31" s="7" t="n">
        <f aca="false">(AN28+AN29)*$B$12*24*91.25*$B$13*$B$14</f>
        <v>3074760</v>
      </c>
      <c r="AO31" s="7" t="n">
        <f aca="false">(AO28+AO29)*$B$12*24*91.25*$B$13*$B$14</f>
        <v>3074760</v>
      </c>
      <c r="AP31" s="7" t="n">
        <f aca="false">(AP28+AP29)*$B$12*24*91.25*$B$13*$B$14</f>
        <v>3074760</v>
      </c>
      <c r="AQ31" s="7" t="n">
        <f aca="false">(AQ28+AQ29)*$B$12*24*91.25*$B$13*$B$14</f>
        <v>3074760</v>
      </c>
      <c r="AR31" s="7" t="n">
        <f aca="false">(AR28+AR29)*$B$12*24*91.25*$B$13*$B$14</f>
        <v>3074760</v>
      </c>
      <c r="AS31" s="7" t="n">
        <f aca="false">(AS28+AS29)*$B$12*24*91.25*$B$13*$B$14</f>
        <v>3074760</v>
      </c>
      <c r="AT31" s="7" t="n">
        <f aca="false">(AT28+AT29)*$B$12*24*91.25*$B$13*$B$14</f>
        <v>3074760</v>
      </c>
      <c r="AU31" s="7" t="n">
        <f aca="false">(AU28+AU29)*$B$12*24*91.25*$B$13*$B$14</f>
        <v>3074760</v>
      </c>
      <c r="AV31" s="7" t="n">
        <f aca="false">(AV28+AV29)*$B$12*24*91.25*$B$13*$B$14</f>
        <v>3074760</v>
      </c>
    </row>
    <row r="32" customFormat="false" ht="15" hidden="false" customHeight="false" outlineLevel="0" collapsed="false">
      <c r="A32" s="0" t="s">
        <v>39</v>
      </c>
      <c r="H32" s="7" t="n">
        <f aca="false">-H30*$B$15</f>
        <v>-0</v>
      </c>
      <c r="I32" s="7" t="n">
        <f aca="false">-I30*$B$15</f>
        <v>-0</v>
      </c>
      <c r="J32" s="7" t="n">
        <f aca="false">-J30*$B$15</f>
        <v>-0</v>
      </c>
      <c r="K32" s="7" t="n">
        <f aca="false">-K30*$B$15</f>
        <v>-0</v>
      </c>
      <c r="L32" s="7" t="n">
        <f aca="false">-L30*$B$15</f>
        <v>-0</v>
      </c>
      <c r="M32" s="7" t="n">
        <f aca="false">-M30*$B$15</f>
        <v>-0</v>
      </c>
      <c r="N32" s="7" t="n">
        <f aca="false">-N30*$B$15</f>
        <v>-0</v>
      </c>
      <c r="O32" s="7" t="n">
        <f aca="false">-O30*$B$15</f>
        <v>-3068604</v>
      </c>
      <c r="P32" s="7" t="n">
        <f aca="false">-P30*$B$15</f>
        <v>-3482317.575</v>
      </c>
      <c r="Q32" s="7" t="n">
        <f aca="false">-Q30*$B$15</f>
        <v>-3819316.05</v>
      </c>
      <c r="R32" s="7" t="n">
        <f aca="false">-R30*$B$15</f>
        <v>-4156314.525</v>
      </c>
      <c r="S32" s="7" t="n">
        <f aca="false">-S30*$B$15</f>
        <v>-4493313</v>
      </c>
      <c r="T32" s="7" t="n">
        <f aca="false">-T30*$B$15</f>
        <v>-6140861.1</v>
      </c>
      <c r="U32" s="7" t="n">
        <f aca="false">-U30*$B$15</f>
        <v>-6524664.91875</v>
      </c>
      <c r="V32" s="7" t="n">
        <f aca="false">-V30*$B$15</f>
        <v>-6908468.7375</v>
      </c>
      <c r="W32" s="7" t="n">
        <f aca="false">-W30*$B$15</f>
        <v>-7292272.55625</v>
      </c>
      <c r="X32" s="7" t="n">
        <f aca="false">-X30*$B$15</f>
        <v>-7867978.284375</v>
      </c>
      <c r="Y32" s="7" t="n">
        <f aca="false">-Y30*$B$15</f>
        <v>-7867978.284375</v>
      </c>
      <c r="Z32" s="7" t="n">
        <f aca="false">-Z30*$B$15</f>
        <v>-7867978.284375</v>
      </c>
      <c r="AA32" s="7" t="n">
        <f aca="false">-AA30*$B$15</f>
        <v>-7867978.284375</v>
      </c>
      <c r="AB32" s="7" t="n">
        <f aca="false">-AB30*$B$15</f>
        <v>-8064677.74148437</v>
      </c>
      <c r="AC32" s="7" t="n">
        <f aca="false">-AC30*$B$15</f>
        <v>-8064677.74148437</v>
      </c>
      <c r="AD32" s="7" t="n">
        <f aca="false">-AD30*$B$15</f>
        <v>-8064677.74148437</v>
      </c>
      <c r="AE32" s="7" t="n">
        <f aca="false">-AE30*$B$15</f>
        <v>-8064677.74148437</v>
      </c>
      <c r="AF32" s="7" t="n">
        <f aca="false">-AF30*$B$15</f>
        <v>-8266294.68502148</v>
      </c>
      <c r="AG32" s="7" t="n">
        <f aca="false">-AG30*$B$15</f>
        <v>-8266294.68502148</v>
      </c>
      <c r="AH32" s="7" t="n">
        <f aca="false">-AH30*$B$15</f>
        <v>-8266294.68502148</v>
      </c>
      <c r="AI32" s="7" t="n">
        <f aca="false">-AI30*$B$15</f>
        <v>-8266294.68502148</v>
      </c>
      <c r="AJ32" s="7" t="n">
        <f aca="false">-AJ30*$B$15</f>
        <v>-8472952.05214702</v>
      </c>
      <c r="AK32" s="7" t="n">
        <f aca="false">-AK30*$B$15</f>
        <v>-8472952.05214702</v>
      </c>
      <c r="AL32" s="7" t="n">
        <f aca="false">-AL30*$B$15</f>
        <v>-8472952.05214702</v>
      </c>
      <c r="AM32" s="7" t="n">
        <f aca="false">-AM30*$B$15</f>
        <v>-8472952.05214702</v>
      </c>
      <c r="AN32" s="7" t="n">
        <f aca="false">-AN30*$B$15</f>
        <v>-8684775.85345069</v>
      </c>
      <c r="AO32" s="7" t="n">
        <f aca="false">-AO30*$B$15</f>
        <v>-8684775.85345069</v>
      </c>
      <c r="AP32" s="7" t="n">
        <f aca="false">-AP30*$B$15</f>
        <v>-8684775.85345069</v>
      </c>
      <c r="AQ32" s="7" t="n">
        <f aca="false">-AQ30*$B$15</f>
        <v>-8684775.85345069</v>
      </c>
      <c r="AR32" s="7" t="n">
        <f aca="false">-AR30*$B$15</f>
        <v>-8901895.24978696</v>
      </c>
      <c r="AS32" s="7" t="n">
        <f aca="false">-AS30*$B$15</f>
        <v>-8901895.24978696</v>
      </c>
      <c r="AT32" s="7" t="n">
        <f aca="false">-AT30*$B$15</f>
        <v>-8901895.24978696</v>
      </c>
      <c r="AU32" s="7" t="n">
        <f aca="false">-AU30*$B$15</f>
        <v>-8901895.24978696</v>
      </c>
      <c r="AV32" s="7" t="n">
        <f aca="false">-AV30*$B$15</f>
        <v>-9124442.63103163</v>
      </c>
    </row>
    <row r="33" customFormat="false" ht="15" hidden="false" customHeight="false" outlineLevel="0" collapsed="false">
      <c r="A33" s="0" t="s">
        <v>40</v>
      </c>
      <c r="H33" s="7" t="n">
        <f aca="false">H30+H31+H32</f>
        <v>0</v>
      </c>
      <c r="I33" s="7" t="n">
        <f aca="false">I30+I31+I32</f>
        <v>0</v>
      </c>
      <c r="J33" s="7" t="n">
        <f aca="false">J30+J31+J32</f>
        <v>0</v>
      </c>
      <c r="K33" s="7" t="n">
        <f aca="false">K30+K31+K32</f>
        <v>0</v>
      </c>
      <c r="L33" s="7" t="n">
        <f aca="false">L30+L31+L32</f>
        <v>0</v>
      </c>
      <c r="M33" s="7" t="n">
        <f aca="false">M30+M31+M32</f>
        <v>0</v>
      </c>
      <c r="N33" s="7" t="n">
        <f aca="false">N30+N31+N32</f>
        <v>0</v>
      </c>
      <c r="O33" s="7" t="n">
        <f aca="false">O30+O31+O32</f>
        <v>23794495.2</v>
      </c>
      <c r="P33" s="7" t="n">
        <f aca="false">P30+P31+P32</f>
        <v>26966758.95</v>
      </c>
      <c r="Q33" s="7" t="n">
        <f aca="false">Q30+Q31+Q32</f>
        <v>29576445.3</v>
      </c>
      <c r="R33" s="7" t="n">
        <f aca="false">R30+R31+R32</f>
        <v>32186131.65</v>
      </c>
      <c r="S33" s="7" t="n">
        <f aca="false">S30+S31+S32</f>
        <v>34795818</v>
      </c>
      <c r="T33" s="7" t="n">
        <f aca="false">T30+T31+T32</f>
        <v>47492789.4</v>
      </c>
      <c r="U33" s="7" t="n">
        <f aca="false">U30+U31+U32</f>
        <v>50461088.7375</v>
      </c>
      <c r="V33" s="7" t="n">
        <f aca="false">V30+V31+V32</f>
        <v>53429388.075</v>
      </c>
      <c r="W33" s="7" t="n">
        <f aca="false">W30+W31+W32</f>
        <v>56397687.4125</v>
      </c>
      <c r="X33" s="7" t="n">
        <f aca="false">X30+X31+X32</f>
        <v>60773267.41875</v>
      </c>
      <c r="Y33" s="7" t="n">
        <f aca="false">Y30+Y31+Y32</f>
        <v>60773267.41875</v>
      </c>
      <c r="Z33" s="7" t="n">
        <f aca="false">Z30+Z31+Z32</f>
        <v>60773267.41875</v>
      </c>
      <c r="AA33" s="7" t="n">
        <f aca="false">AA30+AA31+AA32</f>
        <v>60773267.41875</v>
      </c>
      <c r="AB33" s="7" t="n">
        <f aca="false">AB30+AB31+AB32</f>
        <v>62215730.1042187</v>
      </c>
      <c r="AC33" s="7" t="n">
        <f aca="false">AC30+AC31+AC32</f>
        <v>62215730.1042187</v>
      </c>
      <c r="AD33" s="7" t="n">
        <f aca="false">AD30+AD31+AD32</f>
        <v>62215730.1042187</v>
      </c>
      <c r="AE33" s="7" t="n">
        <f aca="false">AE30+AE31+AE32</f>
        <v>62215730.1042187</v>
      </c>
      <c r="AF33" s="7" t="n">
        <f aca="false">AF30+AF31+AF32</f>
        <v>63694254.3568242</v>
      </c>
      <c r="AG33" s="7" t="n">
        <f aca="false">AG30+AG31+AG32</f>
        <v>63694254.3568242</v>
      </c>
      <c r="AH33" s="7" t="n">
        <f aca="false">AH30+AH31+AH32</f>
        <v>63694254.3568242</v>
      </c>
      <c r="AI33" s="7" t="n">
        <f aca="false">AI30+AI31+AI32</f>
        <v>63694254.3568242</v>
      </c>
      <c r="AJ33" s="7" t="n">
        <f aca="false">AJ30+AJ31+AJ32</f>
        <v>65209741.7157448</v>
      </c>
      <c r="AK33" s="7" t="n">
        <f aca="false">AK30+AK31+AK32</f>
        <v>65209741.7157448</v>
      </c>
      <c r="AL33" s="7" t="n">
        <f aca="false">AL30+AL31+AL32</f>
        <v>65209741.7157448</v>
      </c>
      <c r="AM33" s="7" t="n">
        <f aca="false">AM30+AM31+AM32</f>
        <v>65209741.7157448</v>
      </c>
      <c r="AN33" s="7" t="n">
        <f aca="false">AN30+AN31+AN32</f>
        <v>66763116.2586384</v>
      </c>
      <c r="AO33" s="7" t="n">
        <f aca="false">AO30+AO31+AO32</f>
        <v>66763116.2586384</v>
      </c>
      <c r="AP33" s="7" t="n">
        <f aca="false">AP30+AP31+AP32</f>
        <v>66763116.2586384</v>
      </c>
      <c r="AQ33" s="7" t="n">
        <f aca="false">AQ30+AQ31+AQ32</f>
        <v>66763116.2586384</v>
      </c>
      <c r="AR33" s="7" t="n">
        <f aca="false">AR30+AR31+AR32</f>
        <v>68355325.1651044</v>
      </c>
      <c r="AS33" s="7" t="n">
        <f aca="false">AS30+AS31+AS32</f>
        <v>68355325.1651044</v>
      </c>
      <c r="AT33" s="7" t="n">
        <f aca="false">AT30+AT31+AT32</f>
        <v>68355325.1651044</v>
      </c>
      <c r="AU33" s="7" t="n">
        <f aca="false">AU30+AU31+AU32</f>
        <v>68355325.1651044</v>
      </c>
      <c r="AV33" s="7" t="n">
        <f aca="false">AV30+AV31+AV32</f>
        <v>69987339.294232</v>
      </c>
    </row>
    <row r="35" customFormat="false" ht="15" hidden="false" customHeight="false" outlineLevel="0" collapsed="false">
      <c r="A35" s="0" t="s">
        <v>41</v>
      </c>
      <c r="H35" s="7" t="n">
        <f aca="false">IF(H$22=$B$18,4*I33/$B$19*(1-$B$20),0)</f>
        <v>0</v>
      </c>
      <c r="I35" s="7" t="n">
        <f aca="false">IF(I$22=$B$18,4*J33/$B$19*(1-$B$20),0)</f>
        <v>0</v>
      </c>
      <c r="J35" s="7" t="n">
        <f aca="false">IF(J$22=$B$18,4*K33/$B$19*(1-$B$20),0)</f>
        <v>0</v>
      </c>
      <c r="K35" s="7" t="n">
        <f aca="false">IF(K$22=$B$18,4*L33/$B$19*(1-$B$20),0)</f>
        <v>0</v>
      </c>
      <c r="L35" s="7" t="n">
        <f aca="false">IF(L$22=$B$18,4*M33/$B$19*(1-$B$20),0)</f>
        <v>0</v>
      </c>
      <c r="M35" s="7" t="n">
        <f aca="false">IF(M$22=$B$18,4*N33/$B$19*(1-$B$20),0)</f>
        <v>0</v>
      </c>
      <c r="N35" s="7" t="n">
        <f aca="false">IF(N$22=$B$18,4*O33/$B$19*(1-$B$20),0)</f>
        <v>0</v>
      </c>
      <c r="O35" s="7" t="n">
        <f aca="false">IF(O$22=$B$18,4*P33/$B$19*(1-$B$20),0)</f>
        <v>0</v>
      </c>
      <c r="P35" s="7" t="n">
        <f aca="false">IF(P$22=$B$18,4*Q33/$B$19*(1-$B$20),0)</f>
        <v>0</v>
      </c>
      <c r="Q35" s="7" t="n">
        <f aca="false">IF(Q$22=$B$18,4*R33/$B$19*(1-$B$20),0)</f>
        <v>0</v>
      </c>
      <c r="R35" s="7" t="n">
        <f aca="false">IF(R$22=$B$18,4*S33/$B$19*(1-$B$20),0)</f>
        <v>0</v>
      </c>
      <c r="S35" s="7" t="n">
        <f aca="false">IF(S$22=$B$18,4*T33/$B$19*(1-$B$20),0)</f>
        <v>0</v>
      </c>
      <c r="T35" s="7" t="n">
        <f aca="false">IF(T$22=$B$18,4*U33/$B$19*(1-$B$20),0)</f>
        <v>0</v>
      </c>
      <c r="U35" s="7" t="n">
        <f aca="false">IF(U$22=$B$18,4*V33/$B$19*(1-$B$20),0)</f>
        <v>0</v>
      </c>
      <c r="V35" s="7" t="n">
        <f aca="false">IF(V$22=$B$18,4*W33/$B$19*(1-$B$20),0)</f>
        <v>0</v>
      </c>
      <c r="W35" s="7" t="n">
        <f aca="false">IF(W$22=$B$18,4*X33/$B$19*(1-$B$20),0)</f>
        <v>0</v>
      </c>
      <c r="X35" s="7" t="n">
        <f aca="false">IF(X$22=$B$18,4*Y33/$B$19*(1-$B$20),0)</f>
        <v>0</v>
      </c>
      <c r="Y35" s="7" t="n">
        <f aca="false">IF(Y$22=$B$18,4*Z33/$B$19*(1-$B$20),0)</f>
        <v>0</v>
      </c>
      <c r="Z35" s="7" t="n">
        <f aca="false">IF(Z$22=$B$18,4*AA33/$B$19*(1-$B$20),0)</f>
        <v>0</v>
      </c>
      <c r="AA35" s="7" t="n">
        <f aca="false">IF(AA$22=$B$18,4*AB33/$B$19*(1-$B$20),0)</f>
        <v>0</v>
      </c>
      <c r="AB35" s="7" t="n">
        <f aca="false">IF(AB$22=$B$18,4*AC33/$B$19*(1-$B$20),0)</f>
        <v>0</v>
      </c>
      <c r="AC35" s="7" t="n">
        <f aca="false">IF(AC$22=$B$18,4*AD33/$B$19*(1-$B$20),0)</f>
        <v>0</v>
      </c>
      <c r="AD35" s="7" t="n">
        <f aca="false">IF(AD$22=$B$18,4*AE33/$B$19*(1-$B$20),0)</f>
        <v>0</v>
      </c>
      <c r="AE35" s="7" t="n">
        <f aca="false">IF(AE$22=$B$18,4*AF33/$B$19*(1-$B$20),0)</f>
        <v>0</v>
      </c>
      <c r="AF35" s="7" t="n">
        <f aca="false">IF(AF$22=$B$18,4*AG33/$B$19*(1-$B$20),0)</f>
        <v>0</v>
      </c>
      <c r="AG35" s="7" t="n">
        <f aca="false">IF(AG$22=$B$18,4*AH33/$B$19*(1-$B$20),0)</f>
        <v>0</v>
      </c>
      <c r="AH35" s="7" t="n">
        <f aca="false">IF(AH$22=$B$18,4*AI33/$B$19*(1-$B$20),0)</f>
        <v>0</v>
      </c>
      <c r="AI35" s="7" t="n">
        <f aca="false">IF(AI$22=$B$18,4*AJ33/$B$19*(1-$B$20),0)</f>
        <v>0</v>
      </c>
      <c r="AJ35" s="7" t="n">
        <f aca="false">IF(AJ$22=$B$18,4*AK33/$B$19*(1-$B$20),0)</f>
        <v>0</v>
      </c>
      <c r="AK35" s="7" t="n">
        <f aca="false">IF(AK$22=$B$18,4*AL33/$B$19*(1-$B$20),0)</f>
        <v>0</v>
      </c>
      <c r="AL35" s="7" t="n">
        <f aca="false">IF(AL$22=$B$18,4*AM33/$B$19*(1-$B$20),0)</f>
        <v>0</v>
      </c>
      <c r="AM35" s="7" t="n">
        <f aca="false">IF(AM$22=$B$18,4*AN33/$B$19*(1-$B$20),0)</f>
        <v>0</v>
      </c>
      <c r="AN35" s="7" t="n">
        <f aca="false">IF(AN$22=$B$18,4*AO33/$B$19*(1-$B$20),0)</f>
        <v>3646647453.57528</v>
      </c>
      <c r="AO35" s="7" t="n">
        <f aca="false">IF(AO$22=$B$18,4*AP33/$B$19*(1-$B$20),0)</f>
        <v>0</v>
      </c>
      <c r="AP35" s="7" t="n">
        <f aca="false">IF(AP$22=$B$18,4*AQ33/$B$19*(1-$B$20),0)</f>
        <v>0</v>
      </c>
      <c r="AQ35" s="7" t="n">
        <f aca="false">IF(AQ$22=$B$18,4*AR33/$B$19*(1-$B$20),0)</f>
        <v>0</v>
      </c>
      <c r="AR35" s="7" t="n">
        <f aca="false">IF(AR$22=$B$18,4*AS33/$B$19*(1-$B$20),0)</f>
        <v>0</v>
      </c>
      <c r="AS35" s="7" t="n">
        <f aca="false">IF(AS$22=$B$18,4*AT33/$B$19*(1-$B$20),0)</f>
        <v>0</v>
      </c>
      <c r="AT35" s="7" t="n">
        <f aca="false">IF(AT$22=$B$18,4*AU33/$B$19*(1-$B$20),0)</f>
        <v>0</v>
      </c>
      <c r="AU35" s="7" t="n">
        <f aca="false">IF(AU$22=$B$18,4*AV33/$B$19*(1-$B$20),0)</f>
        <v>0</v>
      </c>
      <c r="AV35" s="7" t="n">
        <f aca="false">IF(AV$22=$B$18,4*AV33/$B$19*(1-$B$20),0)</f>
        <v>0</v>
      </c>
    </row>
    <row r="36" customFormat="false" ht="15" hidden="false" customHeight="false" outlineLevel="0" collapsed="false">
      <c r="A36" s="0" t="s">
        <v>42</v>
      </c>
      <c r="H36" s="7" t="n">
        <f aca="false">H26*$B$16</f>
        <v>57000000</v>
      </c>
      <c r="I36" s="7" t="n">
        <f aca="false">I26*$B$16</f>
        <v>136800000</v>
      </c>
      <c r="J36" s="7" t="n">
        <f aca="false">J26*$B$16</f>
        <v>136800000</v>
      </c>
      <c r="K36" s="7" t="n">
        <f aca="false">K26*$B$16</f>
        <v>136800000</v>
      </c>
      <c r="L36" s="7" t="n">
        <f aca="false">L26*$B$16</f>
        <v>136800000</v>
      </c>
      <c r="M36" s="7" t="n">
        <f aca="false">M26*$B$16</f>
        <v>136800000</v>
      </c>
      <c r="N36" s="7" t="n">
        <f aca="false">N26*$B$16</f>
        <v>136800000</v>
      </c>
      <c r="O36" s="7" t="n">
        <f aca="false">O26*$B$16</f>
        <v>115200000</v>
      </c>
      <c r="P36" s="7" t="n">
        <f aca="false">P26*$B$16</f>
        <v>115200000</v>
      </c>
      <c r="Q36" s="7" t="n">
        <f aca="false">Q26*$B$16</f>
        <v>115200000</v>
      </c>
      <c r="R36" s="7" t="n">
        <f aca="false">R26*$B$16</f>
        <v>115200000</v>
      </c>
      <c r="S36" s="7" t="n">
        <f aca="false">S26*$B$16</f>
        <v>115200000</v>
      </c>
      <c r="T36" s="7" t="n">
        <f aca="false">T26*$B$16</f>
        <v>0</v>
      </c>
      <c r="U36" s="7" t="n">
        <f aca="false">U26*$B$16</f>
        <v>0</v>
      </c>
      <c r="V36" s="7" t="n">
        <f aca="false">V26*$B$16</f>
        <v>0</v>
      </c>
      <c r="W36" s="7" t="n">
        <f aca="false">W26*$B$16</f>
        <v>0</v>
      </c>
      <c r="X36" s="7" t="n">
        <f aca="false">X26*$B$16</f>
        <v>0</v>
      </c>
      <c r="Y36" s="7" t="n">
        <f aca="false">Y26*$B$16</f>
        <v>0</v>
      </c>
      <c r="Z36" s="7" t="n">
        <f aca="false">Z26*$B$16</f>
        <v>0</v>
      </c>
      <c r="AA36" s="7" t="n">
        <f aca="false">AA26*$B$16</f>
        <v>0</v>
      </c>
      <c r="AB36" s="7" t="n">
        <f aca="false">AB26*$B$16</f>
        <v>0</v>
      </c>
      <c r="AC36" s="7" t="n">
        <f aca="false">AC26*$B$16</f>
        <v>0</v>
      </c>
      <c r="AD36" s="7" t="n">
        <f aca="false">AD26*$B$16</f>
        <v>0</v>
      </c>
      <c r="AE36" s="7" t="n">
        <f aca="false">AE26*$B$16</f>
        <v>0</v>
      </c>
      <c r="AF36" s="7" t="n">
        <f aca="false">AF26*$B$16</f>
        <v>0</v>
      </c>
      <c r="AG36" s="7" t="n">
        <f aca="false">AG26*$B$16</f>
        <v>0</v>
      </c>
      <c r="AH36" s="7" t="n">
        <f aca="false">AH26*$B$16</f>
        <v>0</v>
      </c>
      <c r="AI36" s="7" t="n">
        <f aca="false">AI26*$B$16</f>
        <v>0</v>
      </c>
      <c r="AJ36" s="7" t="n">
        <f aca="false">AJ26*$B$16</f>
        <v>0</v>
      </c>
      <c r="AK36" s="7" t="n">
        <f aca="false">AK26*$B$16</f>
        <v>0</v>
      </c>
      <c r="AL36" s="7" t="n">
        <f aca="false">AL26*$B$16</f>
        <v>0</v>
      </c>
      <c r="AM36" s="7" t="n">
        <f aca="false">AM26*$B$16</f>
        <v>0</v>
      </c>
      <c r="AN36" s="7" t="n">
        <f aca="false">AN26*$B$16</f>
        <v>0</v>
      </c>
      <c r="AO36" s="7" t="n">
        <f aca="false">AO26*$B$16</f>
        <v>0</v>
      </c>
      <c r="AP36" s="7" t="n">
        <f aca="false">AP26*$B$16</f>
        <v>0</v>
      </c>
      <c r="AQ36" s="7" t="n">
        <f aca="false">AQ26*$B$16</f>
        <v>0</v>
      </c>
      <c r="AR36" s="7" t="n">
        <f aca="false">AR26*$B$16</f>
        <v>0</v>
      </c>
      <c r="AS36" s="7" t="n">
        <f aca="false">AS26*$B$16</f>
        <v>0</v>
      </c>
      <c r="AT36" s="7" t="n">
        <f aca="false">AT26*$B$16</f>
        <v>0</v>
      </c>
      <c r="AU36" s="7" t="n">
        <f aca="false">AU26*$B$16</f>
        <v>0</v>
      </c>
      <c r="AV36" s="7" t="n">
        <f aca="false">AV26*$B$16</f>
        <v>0</v>
      </c>
    </row>
    <row r="37" customFormat="false" ht="15" hidden="false" customHeight="false" outlineLevel="0" collapsed="false">
      <c r="A37" s="0" t="s">
        <v>43</v>
      </c>
      <c r="H37" s="7" t="n">
        <f aca="false">0</f>
        <v>0</v>
      </c>
      <c r="I37" s="7" t="n">
        <f aca="false">IF(I$22&lt;=$B$18,H38*$B$17/4,0)</f>
        <v>969000</v>
      </c>
      <c r="J37" s="7" t="n">
        <f aca="false">IF(J$22&lt;=$B$18,I38*$B$17/4,0)</f>
        <v>3311073</v>
      </c>
      <c r="K37" s="7" t="n">
        <f aca="false">IF(K$22&lt;=$B$18,J38*$B$17/4,0)</f>
        <v>5692961.241</v>
      </c>
      <c r="L37" s="7" t="n">
        <f aca="false">IF(L$22&lt;=$B$18,K38*$B$17/4,0)</f>
        <v>8115341.582097</v>
      </c>
      <c r="M37" s="7" t="n">
        <f aca="false">IF(M$22&lt;=$B$18,L38*$B$17/4,0)</f>
        <v>10578902.3889927</v>
      </c>
      <c r="N37" s="7" t="n">
        <f aca="false">IF(N$22&lt;=$B$18,M38*$B$17/4,0)</f>
        <v>13084343.7296055</v>
      </c>
      <c r="O37" s="7" t="n">
        <f aca="false">IF(O$22&lt;=$B$18,N38*$B$17/4,0)</f>
        <v>15632377.5730088</v>
      </c>
      <c r="P37" s="7" t="n">
        <f aca="false">IF(P$22&lt;=$B$18,O38*$B$17/4,0)</f>
        <v>17856527.99175</v>
      </c>
      <c r="Q37" s="7" t="n">
        <f aca="false">IF(Q$22&lt;=$B$18,P38*$B$17/4,0)</f>
        <v>20118488.9676097</v>
      </c>
      <c r="R37" s="7" t="n">
        <f aca="false">IF(R$22&lt;=$B$18,Q38*$B$17/4,0)</f>
        <v>22418903.2800591</v>
      </c>
      <c r="S37" s="7" t="n">
        <f aca="false">IF(S$22&lt;=$B$18,R38*$B$17/4,0)</f>
        <v>24758424.6358201</v>
      </c>
      <c r="T37" s="7" t="n">
        <f aca="false">IF(T$22&lt;=$B$18,S38*$B$17/4,0)</f>
        <v>27137717.854629</v>
      </c>
      <c r="U37" s="7" t="n">
        <f aca="false">IF(U$22&lt;=$B$18,T38*$B$17/4,0)</f>
        <v>27599059.0581577</v>
      </c>
      <c r="V37" s="7" t="n">
        <f aca="false">IF(V$22&lt;=$B$18,U38*$B$17/4,0)</f>
        <v>28068243.0621464</v>
      </c>
      <c r="W37" s="7" t="n">
        <f aca="false">IF(W$22&lt;=$B$18,V38*$B$17/4,0)</f>
        <v>28545403.1942029</v>
      </c>
      <c r="X37" s="7" t="n">
        <f aca="false">IF(X$22&lt;=$B$18,W38*$B$17/4,0)</f>
        <v>29030675.0485043</v>
      </c>
      <c r="Y37" s="7" t="n">
        <f aca="false">IF(Y$22&lt;=$B$18,X38*$B$17/4,0)</f>
        <v>29524196.5243289</v>
      </c>
      <c r="Z37" s="7" t="n">
        <f aca="false">IF(Z$22&lt;=$B$18,Y38*$B$17/4,0)</f>
        <v>30026107.8652425</v>
      </c>
      <c r="AA37" s="7" t="n">
        <f aca="false">IF(AA$22&lt;=$B$18,Z38*$B$17/4,0)</f>
        <v>30536551.6989516</v>
      </c>
      <c r="AB37" s="7" t="n">
        <f aca="false">IF(AB$22&lt;=$B$18,AA38*$B$17/4,0)</f>
        <v>31055673.0778338</v>
      </c>
      <c r="AC37" s="7" t="n">
        <f aca="false">IF(AC$22&lt;=$B$18,AB38*$B$17/4,0)</f>
        <v>31583619.520157</v>
      </c>
      <c r="AD37" s="7" t="n">
        <f aca="false">IF(AD$22&lt;=$B$18,AC38*$B$17/4,0)</f>
        <v>32120541.0519997</v>
      </c>
      <c r="AE37" s="7" t="n">
        <f aca="false">IF(AE$22&lt;=$B$18,AD38*$B$17/4,0)</f>
        <v>32666590.2498837</v>
      </c>
      <c r="AF37" s="7" t="n">
        <f aca="false">IF(AF$22&lt;=$B$18,AE38*$B$17/4,0)</f>
        <v>33221922.2841317</v>
      </c>
      <c r="AG37" s="7" t="n">
        <f aca="false">IF(AG$22&lt;=$B$18,AF38*$B$17/4,0)</f>
        <v>33786694.9629619</v>
      </c>
      <c r="AH37" s="7" t="n">
        <f aca="false">IF(AH$22&lt;=$B$18,AG38*$B$17/4,0)</f>
        <v>34361068.7773323</v>
      </c>
      <c r="AI37" s="7" t="n">
        <f aca="false">IF(AI$22&lt;=$B$18,AH38*$B$17/4,0)</f>
        <v>34945206.9465469</v>
      </c>
      <c r="AJ37" s="7" t="n">
        <f aca="false">IF(AJ$22&lt;=$B$18,AI38*$B$17/4,0)</f>
        <v>35539275.4646382</v>
      </c>
      <c r="AK37" s="7" t="n">
        <f aca="false">IF(AK$22&lt;=$B$18,AJ38*$B$17/4,0)</f>
        <v>36143443.1475371</v>
      </c>
      <c r="AL37" s="7" t="n">
        <f aca="false">IF(AL$22&lt;=$B$18,AK38*$B$17/4,0)</f>
        <v>36757881.6810452</v>
      </c>
      <c r="AM37" s="7" t="n">
        <f aca="false">IF(AM$22&lt;=$B$18,AL38*$B$17/4,0)</f>
        <v>37382765.669623</v>
      </c>
      <c r="AN37" s="7" t="n">
        <f aca="false">IF(AN$22&lt;=$B$18,AM38*$B$17/4,0)</f>
        <v>38018272.6860066</v>
      </c>
      <c r="AO37" s="7" t="n">
        <f aca="false">IF(AO$22&lt;=$B$18,AN38*$B$17/4,0)</f>
        <v>0</v>
      </c>
      <c r="AP37" s="7" t="n">
        <f aca="false">IF(AP$22&lt;=$B$18,AO38*$B$17/4,0)</f>
        <v>0</v>
      </c>
      <c r="AQ37" s="7" t="n">
        <f aca="false">IF(AQ$22&lt;=$B$18,AP38*$B$17/4,0)</f>
        <v>0</v>
      </c>
      <c r="AR37" s="7" t="n">
        <f aca="false">IF(AR$22&lt;=$B$18,AQ38*$B$17/4,0)</f>
        <v>0</v>
      </c>
      <c r="AS37" s="7" t="n">
        <f aca="false">IF(AS$22&lt;=$B$18,AR38*$B$17/4,0)</f>
        <v>0</v>
      </c>
      <c r="AT37" s="7" t="n">
        <f aca="false">IF(AT$22&lt;=$B$18,AS38*$B$17/4,0)</f>
        <v>0</v>
      </c>
      <c r="AU37" s="7" t="n">
        <f aca="false">IF(AU$22&lt;=$B$18,AT38*$B$17/4,0)</f>
        <v>0</v>
      </c>
      <c r="AV37" s="7" t="n">
        <f aca="false">IF(AV$22&lt;=$B$18,AU38*$B$17/4,0)</f>
        <v>0</v>
      </c>
    </row>
    <row r="38" customFormat="false" ht="15" hidden="false" customHeight="false" outlineLevel="0" collapsed="false">
      <c r="A38" s="0" t="s">
        <v>44</v>
      </c>
      <c r="H38" s="7" t="n">
        <f aca="false">0+H36+H37-H39</f>
        <v>57000000</v>
      </c>
      <c r="I38" s="7" t="n">
        <f aca="false">H38+I36+I37-I39</f>
        <v>194769000</v>
      </c>
      <c r="J38" s="7" t="n">
        <f aca="false">I38+J36+J37-J39</f>
        <v>334880073</v>
      </c>
      <c r="K38" s="7" t="n">
        <f aca="false">J38+K36+K37-K39</f>
        <v>477373034.241</v>
      </c>
      <c r="L38" s="7" t="n">
        <f aca="false">K38+L36+L37-L39</f>
        <v>622288375.823097</v>
      </c>
      <c r="M38" s="7" t="n">
        <f aca="false">L38+M36+M37-M39</f>
        <v>769667278.21209</v>
      </c>
      <c r="N38" s="7" t="n">
        <f aca="false">M38+N36+N37-N39</f>
        <v>919551621.941695</v>
      </c>
      <c r="O38" s="7" t="n">
        <f aca="false">N38+O36+O37-O39</f>
        <v>1050383999.5147</v>
      </c>
      <c r="P38" s="7" t="n">
        <f aca="false">O38+P36+P37-P39</f>
        <v>1183440527.50645</v>
      </c>
      <c r="Q38" s="7" t="n">
        <f aca="false">P38+Q36+Q37-Q39</f>
        <v>1318759016.47406</v>
      </c>
      <c r="R38" s="7" t="n">
        <f aca="false">Q38+R36+R37-R39</f>
        <v>1456377919.75412</v>
      </c>
      <c r="S38" s="7" t="n">
        <f aca="false">R38+S36+S37-S39</f>
        <v>1596336344.38994</v>
      </c>
      <c r="T38" s="7" t="n">
        <f aca="false">S38+T36+T37-T39</f>
        <v>1623474062.24457</v>
      </c>
      <c r="U38" s="7" t="n">
        <f aca="false">T38+U36+U37-U39</f>
        <v>1651073121.30273</v>
      </c>
      <c r="V38" s="7" t="n">
        <f aca="false">U38+V36+V37-V39</f>
        <v>1679141364.36488</v>
      </c>
      <c r="W38" s="7" t="n">
        <f aca="false">V38+W36+W37-W39</f>
        <v>1707686767.55908</v>
      </c>
      <c r="X38" s="7" t="n">
        <f aca="false">W38+X36+X37-X39</f>
        <v>1736717442.60758</v>
      </c>
      <c r="Y38" s="7" t="n">
        <f aca="false">X38+Y36+Y37-Y39</f>
        <v>1766241639.13191</v>
      </c>
      <c r="Z38" s="7" t="n">
        <f aca="false">Y38+Z36+Z37-Z39</f>
        <v>1796267746.99715</v>
      </c>
      <c r="AA38" s="7" t="n">
        <f aca="false">Z38+AA36+AA37-AA39</f>
        <v>1826804298.69611</v>
      </c>
      <c r="AB38" s="7" t="n">
        <f aca="false">AA38+AB36+AB37-AB39</f>
        <v>1857859971.77394</v>
      </c>
      <c r="AC38" s="7" t="n">
        <f aca="false">AB38+AC36+AC37-AC39</f>
        <v>1889443591.2941</v>
      </c>
      <c r="AD38" s="7" t="n">
        <f aca="false">AC38+AD36+AD37-AD39</f>
        <v>1921564132.3461</v>
      </c>
      <c r="AE38" s="7" t="n">
        <f aca="false">AD38+AE36+AE37-AE39</f>
        <v>1954230722.59598</v>
      </c>
      <c r="AF38" s="7" t="n">
        <f aca="false">AE38+AF36+AF37-AF39</f>
        <v>1987452644.88011</v>
      </c>
      <c r="AG38" s="7" t="n">
        <f aca="false">AF38+AG36+AG37-AG39</f>
        <v>2021239339.84307</v>
      </c>
      <c r="AH38" s="7" t="n">
        <f aca="false">AG38+AH36+AH37-AH39</f>
        <v>2055600408.62041</v>
      </c>
      <c r="AI38" s="7" t="n">
        <f aca="false">AH38+AI36+AI37-AI39</f>
        <v>2090545615.56695</v>
      </c>
      <c r="AJ38" s="7" t="n">
        <f aca="false">AI38+AJ36+AJ37-AJ39</f>
        <v>2126084891.03159</v>
      </c>
      <c r="AK38" s="7" t="n">
        <f aca="false">AJ38+AK36+AK37-AK39</f>
        <v>2162228334.17913</v>
      </c>
      <c r="AL38" s="7" t="n">
        <f aca="false">AK38+AL36+AL37-AL39</f>
        <v>2198986215.86017</v>
      </c>
      <c r="AM38" s="7" t="n">
        <f aca="false">AL38+AM36+AM37-AM39</f>
        <v>2236368981.5298</v>
      </c>
      <c r="AN38" s="7" t="n">
        <f aca="false">AM38+AN36+AN37-AN39</f>
        <v>0</v>
      </c>
      <c r="AO38" s="7" t="n">
        <f aca="false">AN38+AO36+AO37-AO39</f>
        <v>0</v>
      </c>
      <c r="AP38" s="7" t="n">
        <f aca="false">AO38+AP36+AP37-AP39</f>
        <v>0</v>
      </c>
      <c r="AQ38" s="7" t="n">
        <f aca="false">AP38+AQ36+AQ37-AQ39</f>
        <v>0</v>
      </c>
      <c r="AR38" s="7" t="n">
        <f aca="false">AQ38+AR36+AR37-AR39</f>
        <v>0</v>
      </c>
      <c r="AS38" s="7" t="n">
        <f aca="false">AR38+AS36+AS37-AS39</f>
        <v>0</v>
      </c>
      <c r="AT38" s="7" t="n">
        <f aca="false">AS38+AT36+AT37-AT39</f>
        <v>0</v>
      </c>
      <c r="AU38" s="7" t="n">
        <f aca="false">AT38+AU36+AU37-AU39</f>
        <v>0</v>
      </c>
      <c r="AV38" s="7" t="n">
        <f aca="false">AU38+AV36+AV37-AV39</f>
        <v>0</v>
      </c>
    </row>
    <row r="39" customFormat="false" ht="15" hidden="false" customHeight="false" outlineLevel="0" collapsed="false">
      <c r="A39" s="0" t="s">
        <v>45</v>
      </c>
      <c r="H39" s="7" t="n">
        <f aca="false">IF(H$22=$B$18,0+H36+H37,0)</f>
        <v>0</v>
      </c>
      <c r="I39" s="7" t="n">
        <f aca="false">IF(I$22=$B$18,H38+I36+I37,0)</f>
        <v>0</v>
      </c>
      <c r="J39" s="7" t="n">
        <f aca="false">IF(J$22=$B$18,I38+J36+J37,0)</f>
        <v>0</v>
      </c>
      <c r="K39" s="7" t="n">
        <f aca="false">IF(K$22=$B$18,J38+K36+K37,0)</f>
        <v>0</v>
      </c>
      <c r="L39" s="7" t="n">
        <f aca="false">IF(L$22=$B$18,K38+L36+L37,0)</f>
        <v>0</v>
      </c>
      <c r="M39" s="7" t="n">
        <f aca="false">IF(M$22=$B$18,L38+M36+M37,0)</f>
        <v>0</v>
      </c>
      <c r="N39" s="7" t="n">
        <f aca="false">IF(N$22=$B$18,M38+N36+N37,0)</f>
        <v>0</v>
      </c>
      <c r="O39" s="7" t="n">
        <f aca="false">IF(O$22=$B$18,N38+O36+O37,0)</f>
        <v>0</v>
      </c>
      <c r="P39" s="7" t="n">
        <f aca="false">IF(P$22=$B$18,O38+P36+P37,0)</f>
        <v>0</v>
      </c>
      <c r="Q39" s="7" t="n">
        <f aca="false">IF(Q$22=$B$18,P38+Q36+Q37,0)</f>
        <v>0</v>
      </c>
      <c r="R39" s="7" t="n">
        <f aca="false">IF(R$22=$B$18,Q38+R36+R37,0)</f>
        <v>0</v>
      </c>
      <c r="S39" s="7" t="n">
        <f aca="false">IF(S$22=$B$18,R38+S36+S37,0)</f>
        <v>0</v>
      </c>
      <c r="T39" s="7" t="n">
        <f aca="false">IF(T$22=$B$18,S38+T36+T37,0)</f>
        <v>0</v>
      </c>
      <c r="U39" s="7" t="n">
        <f aca="false">IF(U$22=$B$18,T38+U36+U37,0)</f>
        <v>0</v>
      </c>
      <c r="V39" s="7" t="n">
        <f aca="false">IF(V$22=$B$18,U38+V36+V37,0)</f>
        <v>0</v>
      </c>
      <c r="W39" s="7" t="n">
        <f aca="false">IF(W$22=$B$18,V38+W36+W37,0)</f>
        <v>0</v>
      </c>
      <c r="X39" s="7" t="n">
        <f aca="false">IF(X$22=$B$18,W38+X36+X37,0)</f>
        <v>0</v>
      </c>
      <c r="Y39" s="7" t="n">
        <f aca="false">IF(Y$22=$B$18,X38+Y36+Y37,0)</f>
        <v>0</v>
      </c>
      <c r="Z39" s="7" t="n">
        <f aca="false">IF(Z$22=$B$18,Y38+Z36+Z37,0)</f>
        <v>0</v>
      </c>
      <c r="AA39" s="7" t="n">
        <f aca="false">IF(AA$22=$B$18,Z38+AA36+AA37,0)</f>
        <v>0</v>
      </c>
      <c r="AB39" s="7" t="n">
        <f aca="false">IF(AB$22=$B$18,AA38+AB36+AB37,0)</f>
        <v>0</v>
      </c>
      <c r="AC39" s="7" t="n">
        <f aca="false">IF(AC$22=$B$18,AB38+AC36+AC37,0)</f>
        <v>0</v>
      </c>
      <c r="AD39" s="7" t="n">
        <f aca="false">IF(AD$22=$B$18,AC38+AD36+AD37,0)</f>
        <v>0</v>
      </c>
      <c r="AE39" s="7" t="n">
        <f aca="false">IF(AE$22=$B$18,AD38+AE36+AE37,0)</f>
        <v>0</v>
      </c>
      <c r="AF39" s="7" t="n">
        <f aca="false">IF(AF$22=$B$18,AE38+AF36+AF37,0)</f>
        <v>0</v>
      </c>
      <c r="AG39" s="7" t="n">
        <f aca="false">IF(AG$22=$B$18,AF38+AG36+AG37,0)</f>
        <v>0</v>
      </c>
      <c r="AH39" s="7" t="n">
        <f aca="false">IF(AH$22=$B$18,AG38+AH36+AH37,0)</f>
        <v>0</v>
      </c>
      <c r="AI39" s="7" t="n">
        <f aca="false">IF(AI$22=$B$18,AH38+AI36+AI37,0)</f>
        <v>0</v>
      </c>
      <c r="AJ39" s="7" t="n">
        <f aca="false">IF(AJ$22=$B$18,AI38+AJ36+AJ37,0)</f>
        <v>0</v>
      </c>
      <c r="AK39" s="7" t="n">
        <f aca="false">IF(AK$22=$B$18,AJ38+AK36+AK37,0)</f>
        <v>0</v>
      </c>
      <c r="AL39" s="7" t="n">
        <f aca="false">IF(AL$22=$B$18,AK38+AL36+AL37,0)</f>
        <v>0</v>
      </c>
      <c r="AM39" s="7" t="n">
        <f aca="false">IF(AM$22=$B$18,AL38+AM36+AM37,0)</f>
        <v>0</v>
      </c>
      <c r="AN39" s="7" t="n">
        <f aca="false">IF(AN$22=$B$18,AM38+AN36+AN37,0)</f>
        <v>2274387254.2158</v>
      </c>
      <c r="AO39" s="7" t="n">
        <f aca="false">IF(AO$22=$B$18,AN38+AO36+AO37,0)</f>
        <v>0</v>
      </c>
      <c r="AP39" s="7" t="n">
        <f aca="false">IF(AP$22=$B$18,AO38+AP36+AP37,0)</f>
        <v>0</v>
      </c>
      <c r="AQ39" s="7" t="n">
        <f aca="false">IF(AQ$22=$B$18,AP38+AQ36+AQ37,0)</f>
        <v>0</v>
      </c>
      <c r="AR39" s="7" t="n">
        <f aca="false">IF(AR$22=$B$18,AQ38+AR36+AR37,0)</f>
        <v>0</v>
      </c>
      <c r="AS39" s="7" t="n">
        <f aca="false">IF(AS$22=$B$18,AR38+AS36+AS37,0)</f>
        <v>0</v>
      </c>
      <c r="AT39" s="7" t="n">
        <f aca="false">IF(AT$22=$B$18,AS38+AT36+AT37,0)</f>
        <v>0</v>
      </c>
      <c r="AU39" s="7" t="n">
        <f aca="false">IF(AU$22=$B$18,AT38+AU36+AU37,0)</f>
        <v>0</v>
      </c>
      <c r="AV39" s="7" t="n">
        <f aca="false">IF(AV$22=$B$18,AU38+AV36+AV37,0)</f>
        <v>0</v>
      </c>
    </row>
    <row r="41" customFormat="false" ht="15" hidden="false" customHeight="false" outlineLevel="0" collapsed="false">
      <c r="A41" s="0" t="s">
        <v>46</v>
      </c>
      <c r="H41" s="7" t="n">
        <f aca="false">(H$22&lt;=$B$18)*(-H26+H33+H35)</f>
        <v>-95000000</v>
      </c>
      <c r="I41" s="7" t="n">
        <f aca="false">(I$22&lt;=$B$18)*(-I26+I33+I35)</f>
        <v>-228000000</v>
      </c>
      <c r="J41" s="7" t="n">
        <f aca="false">(J$22&lt;=$B$18)*(-J26+J33+J35)</f>
        <v>-228000000</v>
      </c>
      <c r="K41" s="7" t="n">
        <f aca="false">(K$22&lt;=$B$18)*(-K26+K33+K35)</f>
        <v>-228000000</v>
      </c>
      <c r="L41" s="7" t="n">
        <f aca="false">(L$22&lt;=$B$18)*(-L26+L33+L35)</f>
        <v>-228000000</v>
      </c>
      <c r="M41" s="7" t="n">
        <f aca="false">(M$22&lt;=$B$18)*(-M26+M33+M35)</f>
        <v>-228000000</v>
      </c>
      <c r="N41" s="7" t="n">
        <f aca="false">(N$22&lt;=$B$18)*(-N26+N33+N35)</f>
        <v>-228000000</v>
      </c>
      <c r="O41" s="7" t="n">
        <f aca="false">(O$22&lt;=$B$18)*(-O26+O33+O35)</f>
        <v>-168205504.8</v>
      </c>
      <c r="P41" s="7" t="n">
        <f aca="false">(P$22&lt;=$B$18)*(-P26+P33+P35)</f>
        <v>-165033241.05</v>
      </c>
      <c r="Q41" s="7" t="n">
        <f aca="false">(Q$22&lt;=$B$18)*(-Q26+Q33+Q35)</f>
        <v>-162423554.7</v>
      </c>
      <c r="R41" s="7" t="n">
        <f aca="false">(R$22&lt;=$B$18)*(-R26+R33+R35)</f>
        <v>-159813868.35</v>
      </c>
      <c r="S41" s="7" t="n">
        <f aca="false">(S$22&lt;=$B$18)*(-S26+S33+S35)</f>
        <v>-157204182</v>
      </c>
      <c r="T41" s="7" t="n">
        <f aca="false">(T$22&lt;=$B$18)*(-T26+T33+T35)</f>
        <v>47492789.4</v>
      </c>
      <c r="U41" s="7" t="n">
        <f aca="false">(U$22&lt;=$B$18)*(-U26+U33+U35)</f>
        <v>50461088.7375</v>
      </c>
      <c r="V41" s="7" t="n">
        <f aca="false">(V$22&lt;=$B$18)*(-V26+V33+V35)</f>
        <v>53429388.075</v>
      </c>
      <c r="W41" s="7" t="n">
        <f aca="false">(W$22&lt;=$B$18)*(-W26+W33+W35)</f>
        <v>56397687.4125</v>
      </c>
      <c r="X41" s="7" t="n">
        <f aca="false">(X$22&lt;=$B$18)*(-X26+X33+X35)</f>
        <v>60773267.41875</v>
      </c>
      <c r="Y41" s="7" t="n">
        <f aca="false">(Y$22&lt;=$B$18)*(-Y26+Y33+Y35)</f>
        <v>60773267.41875</v>
      </c>
      <c r="Z41" s="7" t="n">
        <f aca="false">(Z$22&lt;=$B$18)*(-Z26+Z33+Z35)</f>
        <v>60773267.41875</v>
      </c>
      <c r="AA41" s="7" t="n">
        <f aca="false">(AA$22&lt;=$B$18)*(-AA26+AA33+AA35)</f>
        <v>60773267.41875</v>
      </c>
      <c r="AB41" s="7" t="n">
        <f aca="false">(AB$22&lt;=$B$18)*(-AB26+AB33+AB35)</f>
        <v>62215730.1042187</v>
      </c>
      <c r="AC41" s="7" t="n">
        <f aca="false">(AC$22&lt;=$B$18)*(-AC26+AC33+AC35)</f>
        <v>62215730.1042187</v>
      </c>
      <c r="AD41" s="7" t="n">
        <f aca="false">(AD$22&lt;=$B$18)*(-AD26+AD33+AD35)</f>
        <v>62215730.1042187</v>
      </c>
      <c r="AE41" s="7" t="n">
        <f aca="false">(AE$22&lt;=$B$18)*(-AE26+AE33+AE35)</f>
        <v>62215730.1042187</v>
      </c>
      <c r="AF41" s="7" t="n">
        <f aca="false">(AF$22&lt;=$B$18)*(-AF26+AF33+AF35)</f>
        <v>63694254.3568242</v>
      </c>
      <c r="AG41" s="7" t="n">
        <f aca="false">(AG$22&lt;=$B$18)*(-AG26+AG33+AG35)</f>
        <v>63694254.3568242</v>
      </c>
      <c r="AH41" s="7" t="n">
        <f aca="false">(AH$22&lt;=$B$18)*(-AH26+AH33+AH35)</f>
        <v>63694254.3568242</v>
      </c>
      <c r="AI41" s="7" t="n">
        <f aca="false">(AI$22&lt;=$B$18)*(-AI26+AI33+AI35)</f>
        <v>63694254.3568242</v>
      </c>
      <c r="AJ41" s="7" t="n">
        <f aca="false">(AJ$22&lt;=$B$18)*(-AJ26+AJ33+AJ35)</f>
        <v>65209741.7157448</v>
      </c>
      <c r="AK41" s="7" t="n">
        <f aca="false">(AK$22&lt;=$B$18)*(-AK26+AK33+AK35)</f>
        <v>65209741.7157448</v>
      </c>
      <c r="AL41" s="7" t="n">
        <f aca="false">(AL$22&lt;=$B$18)*(-AL26+AL33+AL35)</f>
        <v>65209741.7157448</v>
      </c>
      <c r="AM41" s="7" t="n">
        <f aca="false">(AM$22&lt;=$B$18)*(-AM26+AM33+AM35)</f>
        <v>65209741.7157448</v>
      </c>
      <c r="AN41" s="7" t="n">
        <f aca="false">(AN$22&lt;=$B$18)*(-AN26+AN33+AN35)</f>
        <v>3713410569.83392</v>
      </c>
      <c r="AO41" s="7" t="n">
        <f aca="false">(AO$22&lt;=$B$18)*(-AO26+AO33+AO35)</f>
        <v>0</v>
      </c>
      <c r="AP41" s="7" t="n">
        <f aca="false">(AP$22&lt;=$B$18)*(-AP26+AP33+AP35)</f>
        <v>0</v>
      </c>
      <c r="AQ41" s="7" t="n">
        <f aca="false">(AQ$22&lt;=$B$18)*(-AQ26+AQ33+AQ35)</f>
        <v>0</v>
      </c>
      <c r="AR41" s="7" t="n">
        <f aca="false">(AR$22&lt;=$B$18)*(-AR26+AR33+AR35)</f>
        <v>0</v>
      </c>
      <c r="AS41" s="7" t="n">
        <f aca="false">(AS$22&lt;=$B$18)*(-AS26+AS33+AS35)</f>
        <v>0</v>
      </c>
      <c r="AT41" s="7" t="n">
        <f aca="false">(AT$22&lt;=$B$18)*(-AT26+AT33+AT35)</f>
        <v>0</v>
      </c>
      <c r="AU41" s="7" t="n">
        <f aca="false">(AU$22&lt;=$B$18)*(-AU26+AU33+AU35)</f>
        <v>0</v>
      </c>
      <c r="AV41" s="7" t="n">
        <f aca="false">(AV$22&lt;=$B$18)*(-AV26+AV33+AV35)</f>
        <v>0</v>
      </c>
    </row>
    <row r="42" customFormat="false" ht="15" hidden="false" customHeight="false" outlineLevel="0" collapsed="false">
      <c r="A42" s="0" t="s">
        <v>47</v>
      </c>
      <c r="H42" s="7" t="n">
        <f aca="false">(H$22&lt;=$B$18)*(H41+H36-H39)</f>
        <v>-38000000</v>
      </c>
      <c r="I42" s="7" t="n">
        <f aca="false">(I$22&lt;=$B$18)*(I41+I36-I39)</f>
        <v>-91200000</v>
      </c>
      <c r="J42" s="7" t="n">
        <f aca="false">(J$22&lt;=$B$18)*(J41+J36-J39)</f>
        <v>-91200000</v>
      </c>
      <c r="K42" s="7" t="n">
        <f aca="false">(K$22&lt;=$B$18)*(K41+K36-K39)</f>
        <v>-91200000</v>
      </c>
      <c r="L42" s="7" t="n">
        <f aca="false">(L$22&lt;=$B$18)*(L41+L36-L39)</f>
        <v>-91200000</v>
      </c>
      <c r="M42" s="7" t="n">
        <f aca="false">(M$22&lt;=$B$18)*(M41+M36-M39)</f>
        <v>-91200000</v>
      </c>
      <c r="N42" s="7" t="n">
        <f aca="false">(N$22&lt;=$B$18)*(N41+N36-N39)</f>
        <v>-91200000</v>
      </c>
      <c r="O42" s="7" t="n">
        <f aca="false">(O$22&lt;=$B$18)*(O41+O36-O39)</f>
        <v>-53005504.8</v>
      </c>
      <c r="P42" s="7" t="n">
        <f aca="false">(P$22&lt;=$B$18)*(P41+P36-P39)</f>
        <v>-49833241.05</v>
      </c>
      <c r="Q42" s="7" t="n">
        <f aca="false">(Q$22&lt;=$B$18)*(Q41+Q36-Q39)</f>
        <v>-47223554.7</v>
      </c>
      <c r="R42" s="7" t="n">
        <f aca="false">(R$22&lt;=$B$18)*(R41+R36-R39)</f>
        <v>-44613868.35</v>
      </c>
      <c r="S42" s="7" t="n">
        <f aca="false">(S$22&lt;=$B$18)*(S41+S36-S39)</f>
        <v>-42004182</v>
      </c>
      <c r="T42" s="7" t="n">
        <f aca="false">(T$22&lt;=$B$18)*(T41+T36-T39)</f>
        <v>47492789.4</v>
      </c>
      <c r="U42" s="7" t="n">
        <f aca="false">(U$22&lt;=$B$18)*(U41+U36-U39)</f>
        <v>50461088.7375</v>
      </c>
      <c r="V42" s="7" t="n">
        <f aca="false">(V$22&lt;=$B$18)*(V41+V36-V39)</f>
        <v>53429388.075</v>
      </c>
      <c r="W42" s="7" t="n">
        <f aca="false">(W$22&lt;=$B$18)*(W41+W36-W39)</f>
        <v>56397687.4125</v>
      </c>
      <c r="X42" s="7" t="n">
        <f aca="false">(X$22&lt;=$B$18)*(X41+X36-X39)</f>
        <v>60773267.41875</v>
      </c>
      <c r="Y42" s="7" t="n">
        <f aca="false">(Y$22&lt;=$B$18)*(Y41+Y36-Y39)</f>
        <v>60773267.41875</v>
      </c>
      <c r="Z42" s="7" t="n">
        <f aca="false">(Z$22&lt;=$B$18)*(Z41+Z36-Z39)</f>
        <v>60773267.41875</v>
      </c>
      <c r="AA42" s="7" t="n">
        <f aca="false">(AA$22&lt;=$B$18)*(AA41+AA36-AA39)</f>
        <v>60773267.41875</v>
      </c>
      <c r="AB42" s="7" t="n">
        <f aca="false">(AB$22&lt;=$B$18)*(AB41+AB36-AB39)</f>
        <v>62215730.1042187</v>
      </c>
      <c r="AC42" s="7" t="n">
        <f aca="false">(AC$22&lt;=$B$18)*(AC41+AC36-AC39)</f>
        <v>62215730.1042187</v>
      </c>
      <c r="AD42" s="7" t="n">
        <f aca="false">(AD$22&lt;=$B$18)*(AD41+AD36-AD39)</f>
        <v>62215730.1042187</v>
      </c>
      <c r="AE42" s="7" t="n">
        <f aca="false">(AE$22&lt;=$B$18)*(AE41+AE36-AE39)</f>
        <v>62215730.1042187</v>
      </c>
      <c r="AF42" s="7" t="n">
        <f aca="false">(AF$22&lt;=$B$18)*(AF41+AF36-AF39)</f>
        <v>63694254.3568242</v>
      </c>
      <c r="AG42" s="7" t="n">
        <f aca="false">(AG$22&lt;=$B$18)*(AG41+AG36-AG39)</f>
        <v>63694254.3568242</v>
      </c>
      <c r="AH42" s="7" t="n">
        <f aca="false">(AH$22&lt;=$B$18)*(AH41+AH36-AH39)</f>
        <v>63694254.3568242</v>
      </c>
      <c r="AI42" s="7" t="n">
        <f aca="false">(AI$22&lt;=$B$18)*(AI41+AI36-AI39)</f>
        <v>63694254.3568242</v>
      </c>
      <c r="AJ42" s="7" t="n">
        <f aca="false">(AJ$22&lt;=$B$18)*(AJ41+AJ36-AJ39)</f>
        <v>65209741.7157448</v>
      </c>
      <c r="AK42" s="7" t="n">
        <f aca="false">(AK$22&lt;=$B$18)*(AK41+AK36-AK39)</f>
        <v>65209741.7157448</v>
      </c>
      <c r="AL42" s="7" t="n">
        <f aca="false">(AL$22&lt;=$B$18)*(AL41+AL36-AL39)</f>
        <v>65209741.7157448</v>
      </c>
      <c r="AM42" s="7" t="n">
        <f aca="false">(AM$22&lt;=$B$18)*(AM41+AM36-AM39)</f>
        <v>65209741.7157448</v>
      </c>
      <c r="AN42" s="7" t="n">
        <f aca="false">(AN$22&lt;=$B$18)*(AN41+AN36-AN39)</f>
        <v>1439023315.61812</v>
      </c>
      <c r="AO42" s="7" t="n">
        <f aca="false">(AO$22&lt;=$B$18)*(AO41+AO36-AO39)</f>
        <v>0</v>
      </c>
      <c r="AP42" s="7" t="n">
        <f aca="false">(AP$22&lt;=$B$18)*(AP41+AP36-AP39)</f>
        <v>0</v>
      </c>
      <c r="AQ42" s="7" t="n">
        <f aca="false">(AQ$22&lt;=$B$18)*(AQ41+AQ36-AQ39)</f>
        <v>0</v>
      </c>
      <c r="AR42" s="7" t="n">
        <f aca="false">(AR$22&lt;=$B$18)*(AR41+AR36-AR39)</f>
        <v>0</v>
      </c>
      <c r="AS42" s="7" t="n">
        <f aca="false">(AS$22&lt;=$B$18)*(AS41+AS36-AS39)</f>
        <v>0</v>
      </c>
      <c r="AT42" s="7" t="n">
        <f aca="false">(AT$22&lt;=$B$18)*(AT41+AT36-AT39)</f>
        <v>0</v>
      </c>
      <c r="AU42" s="7" t="n">
        <f aca="false">(AU$22&lt;=$B$18)*(AU41+AU36-AU39)</f>
        <v>0</v>
      </c>
      <c r="AV42" s="7" t="n">
        <f aca="false">(AV$22&lt;=$B$18)*(AV41+AV36-AV39)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2026-10-19T19:15:26Z</dcterms:created>
  <dc:creator>openpyxl</dc:creator>
  <dc:description/>
  <dc:language>en-US</dc:language>
  <cp:lastModifiedBy/>
  <dcterms:modified xsi:type="dcterms:W3CDTF">2026-10-19T19:15:26Z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