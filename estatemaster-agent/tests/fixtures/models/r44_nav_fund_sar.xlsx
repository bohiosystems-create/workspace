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und Report" sheetId="1" state="visible" r:id="rId3"/>
    <sheet name="Portfolio" sheetId="2" state="visible" r:id="rId4"/>
    <sheet name="NAV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<sst xmlns="http://schemas.openxmlformats.org/spreadsheetml/2006/main" count="38" uniqueCount="35">
  <si>
    <t xml:space="preserve">AL NOOR INCOME FUND · FUND REPORT (SAR)</t>
  </si>
  <si>
    <t xml:space="preserve">NAV per unit (year 1)</t>
  </si>
  <si>
    <t xml:space="preserve">NAV per unit (start)</t>
  </si>
  <si>
    <t xml:space="preserve">Distribution yield</t>
  </si>
  <si>
    <t xml:space="preserve">Income return</t>
  </si>
  <si>
    <t xml:space="preserve">Total return (a year)</t>
  </si>
  <si>
    <t xml:space="preserve">Gearing (LTV)</t>
  </si>
  <si>
    <t xml:space="preserve">Gross asset value</t>
  </si>
  <si>
    <t xml:space="preserve">NAV</t>
  </si>
  <si>
    <t xml:space="preserve">AL NOOR INCOME FUND · PORTFOLIO (SAR)</t>
  </si>
  <si>
    <t xml:space="preserve">Asset</t>
  </si>
  <si>
    <t xml:space="preserve">NOI year 1</t>
  </si>
  <si>
    <t xml:space="preserve">Cap rate</t>
  </si>
  <si>
    <t xml:space="preserve">NOI growth</t>
  </si>
  <si>
    <t xml:space="preserve">Riyadh logistics park</t>
  </si>
  <si>
    <t xml:space="preserve">Jeddah retail centre</t>
  </si>
  <si>
    <t xml:space="preserve">Khobar offices</t>
  </si>
  <si>
    <t xml:space="preserve">Riyadh residential compound</t>
  </si>
  <si>
    <t xml:space="preserve">Dammam warehouses</t>
  </si>
  <si>
    <t xml:space="preserve">Fund debt</t>
  </si>
  <si>
    <t xml:space="preserve">Debt cost</t>
  </si>
  <si>
    <t xml:space="preserve">Fund costs (% of GAV)</t>
  </si>
  <si>
    <t xml:space="preserve">Payout (% of net income)</t>
  </si>
  <si>
    <t xml:space="preserve">Units in issue (start)</t>
  </si>
  <si>
    <t xml:space="preserve">Net subscriptions (SAR a year)</t>
  </si>
  <si>
    <t xml:space="preserve">NAV BRIDGE (SAR)</t>
  </si>
  <si>
    <t xml:space="preserve">Year</t>
  </si>
  <si>
    <t xml:space="preserve">Net operating income</t>
  </si>
  <si>
    <t xml:space="preserve">Fund costs</t>
  </si>
  <si>
    <t xml:space="preserve">Net income</t>
  </si>
  <si>
    <t xml:space="preserve">Distributions</t>
  </si>
  <si>
    <t xml:space="preserve">Net subscriptions</t>
  </si>
  <si>
    <t xml:space="preserve">Units in issue</t>
  </si>
  <si>
    <t xml:space="preserve">NAV per unit</t>
  </si>
  <si>
    <t xml:space="preserve">Cash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</si>
</sst>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%"/>
    <numFmt numFmtId="167" formatCode="#,##0"/>
    <numFmt numFmtId="168" formatCode="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0</v>
      </c>
    </row>
    <row r="5" customFormat="false" ht="15" hidden="false" customHeight="false" outlineLevel="0" collapsed="false">
      <c r="B5" s="0" t="s">
        <v>1</v>
      </c>
      <c r="C5" s="1" t="n">
        <f aca="false">NAV!D15</f>
        <v>11.8220857345191</v>
      </c>
    </row>
    <row r="6" customFormat="false" ht="15" hidden="false" customHeight="false" outlineLevel="0" collapsed="false">
      <c r="B6" s="0" t="s">
        <v>2</v>
      </c>
      <c r="C6" s="1" t="n">
        <f aca="false">NAV!C15</f>
        <v>11.4159254698048</v>
      </c>
    </row>
    <row r="7" customFormat="false" ht="15" hidden="false" customHeight="false" outlineLevel="0" collapsed="false">
      <c r="B7" s="0" t="s">
        <v>3</v>
      </c>
      <c r="C7" s="2" t="n">
        <f aca="false">-NAV!D11/NAV!D14/NAV!C15</f>
        <v>0.0562570235325761</v>
      </c>
    </row>
    <row r="8" customFormat="false" ht="15" hidden="false" customHeight="false" outlineLevel="0" collapsed="false">
      <c r="B8" s="0" t="s">
        <v>4</v>
      </c>
      <c r="C8" s="2" t="n">
        <f aca="false">NAV!D10/NAV!C13</f>
        <v>0.0661581316531004</v>
      </c>
    </row>
    <row r="9" customFormat="false" ht="15" hidden="false" customHeight="false" outlineLevel="0" collapsed="false">
      <c r="B9" s="0" t="s">
        <v>5</v>
      </c>
      <c r="C9" s="2" t="n">
        <f aca="false">(NAV!D15-NAV!C15-NAV!D11/NAV!D14)/NAV!C15</f>
        <v>0.0918354149462766</v>
      </c>
    </row>
    <row r="10" customFormat="false" ht="15" hidden="false" customHeight="false" outlineLevel="0" collapsed="false">
      <c r="B10" s="0" t="s">
        <v>6</v>
      </c>
      <c r="C10" s="2" t="n">
        <f aca="false">Portfolio!C11/NAV!D6</f>
        <v>0.315161679195386</v>
      </c>
    </row>
    <row r="11" customFormat="false" ht="15" hidden="false" customHeight="false" outlineLevel="0" collapsed="false">
      <c r="B11" s="0" t="s">
        <v>7</v>
      </c>
      <c r="C11" s="3" t="n">
        <f aca="false">NAV!D6</f>
        <v>2062433483.85331</v>
      </c>
    </row>
    <row r="12" customFormat="false" ht="15" hidden="false" customHeight="false" outlineLevel="0" collapsed="false">
      <c r="B12" s="0" t="s">
        <v>8</v>
      </c>
      <c r="C12" s="3" t="n">
        <f aca="false">NAV!D13</f>
        <v>1501496559.45539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9</v>
      </c>
    </row>
    <row r="4" customFormat="false" ht="15" hidden="false" customHeight="false" outlineLevel="0" collapsed="false">
      <c r="B4" s="0" t="s">
        <v>10</v>
      </c>
      <c r="C4" s="0" t="s">
        <v>11</v>
      </c>
      <c r="D4" s="0" t="s">
        <v>12</v>
      </c>
      <c r="E4" s="0" t="s">
        <v>13</v>
      </c>
    </row>
    <row r="5" customFormat="false" ht="15" hidden="false" customHeight="false" outlineLevel="0" collapsed="false">
      <c r="B5" s="0" t="s">
        <v>14</v>
      </c>
      <c r="C5" s="3" t="n">
        <v>42000000</v>
      </c>
      <c r="D5" s="2" t="n">
        <v>0.0675</v>
      </c>
      <c r="E5" s="2" t="n">
        <v>0.025</v>
      </c>
    </row>
    <row r="6" customFormat="false" ht="15" hidden="false" customHeight="false" outlineLevel="0" collapsed="false">
      <c r="B6" s="0" t="s">
        <v>15</v>
      </c>
      <c r="C6" s="3" t="n">
        <v>36500000</v>
      </c>
      <c r="D6" s="2" t="n">
        <v>0.075</v>
      </c>
      <c r="E6" s="2" t="n">
        <v>0.015</v>
      </c>
    </row>
    <row r="7" customFormat="false" ht="15" hidden="false" customHeight="false" outlineLevel="0" collapsed="false">
      <c r="B7" s="0" t="s">
        <v>16</v>
      </c>
      <c r="C7" s="3" t="n">
        <v>21000000</v>
      </c>
      <c r="D7" s="2" t="n">
        <v>0.08</v>
      </c>
      <c r="E7" s="2" t="n">
        <v>0.01</v>
      </c>
    </row>
    <row r="8" customFormat="false" ht="15" hidden="false" customHeight="false" outlineLevel="0" collapsed="false">
      <c r="B8" s="0" t="s">
        <v>17</v>
      </c>
      <c r="C8" s="3" t="n">
        <v>28500000</v>
      </c>
      <c r="D8" s="2" t="n">
        <v>0.07</v>
      </c>
      <c r="E8" s="2" t="n">
        <v>0.03</v>
      </c>
    </row>
    <row r="9" customFormat="false" ht="15" hidden="false" customHeight="false" outlineLevel="0" collapsed="false">
      <c r="B9" s="0" t="s">
        <v>18</v>
      </c>
      <c r="C9" s="3" t="n">
        <v>17500000</v>
      </c>
      <c r="D9" s="2" t="n">
        <v>0.0725</v>
      </c>
      <c r="E9" s="2" t="n">
        <v>0.02</v>
      </c>
    </row>
    <row r="11" customFormat="false" ht="15" hidden="false" customHeight="false" outlineLevel="0" collapsed="false">
      <c r="B11" s="0" t="s">
        <v>19</v>
      </c>
      <c r="C11" s="3" t="n">
        <v>650000000</v>
      </c>
    </row>
    <row r="12" customFormat="false" ht="15" hidden="false" customHeight="false" outlineLevel="0" collapsed="false">
      <c r="B12" s="0" t="s">
        <v>20</v>
      </c>
      <c r="C12" s="2" t="n">
        <v>0.058</v>
      </c>
    </row>
    <row r="13" customFormat="false" ht="15" hidden="false" customHeight="false" outlineLevel="0" collapsed="false">
      <c r="B13" s="0" t="s">
        <v>21</v>
      </c>
      <c r="C13" s="2" t="n">
        <v>0.0085</v>
      </c>
    </row>
    <row r="14" customFormat="false" ht="15" hidden="false" customHeight="false" outlineLevel="0" collapsed="false">
      <c r="B14" s="0" t="s">
        <v>22</v>
      </c>
      <c r="C14" s="4" t="n">
        <v>0.9</v>
      </c>
    </row>
    <row r="15" customFormat="false" ht="15" hidden="false" customHeight="false" outlineLevel="0" collapsed="false">
      <c r="B15" s="0" t="s">
        <v>23</v>
      </c>
      <c r="C15" s="3" t="n">
        <v>120000000</v>
      </c>
    </row>
    <row r="16" customFormat="false" ht="15" hidden="false" customHeight="false" outlineLevel="0" collapsed="false">
      <c r="B16" s="0" t="s">
        <v>24</v>
      </c>
      <c r="C16" s="3" t="n">
        <v>80000000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25</v>
      </c>
    </row>
    <row r="4" customFormat="false" ht="15" hidden="false" customHeight="false" outlineLevel="0" collapsed="false">
      <c r="B4" s="0" t="s">
        <v>26</v>
      </c>
      <c r="C4" s="0" t="n">
        <v>0</v>
      </c>
      <c r="D4" s="0" t="n">
        <v>1</v>
      </c>
      <c r="E4" s="0" t="n">
        <v>2</v>
      </c>
      <c r="F4" s="0" t="n">
        <v>3</v>
      </c>
      <c r="G4" s="0" t="n">
        <v>4</v>
      </c>
      <c r="H4" s="0" t="n">
        <v>5</v>
      </c>
    </row>
    <row r="6" customFormat="false" ht="15" hidden="false" customHeight="false" outlineLevel="0" collapsed="false">
      <c r="B6" s="0" t="s">
        <v>7</v>
      </c>
      <c r="C6" s="0" t="n">
        <f aca="false">Portfolio!$C$5*(1+Portfolio!$E$5)^C$4/Portfolio!$D$5+Portfolio!$C$6*(1+Portfolio!$E$6)^C$4/Portfolio!$D$6+Portfolio!$C$7*(1+Portfolio!$E$7)^C$4/Portfolio!$D$7+Portfolio!$C$8*(1+Portfolio!$E$8)^C$4/Portfolio!$D$8+Portfolio!$C$9*(1+Portfolio!$E$9)^C$4/Portfolio!$D$9</f>
        <v>2019911056.37657</v>
      </c>
      <c r="D6" s="0" t="n">
        <f aca="false">Portfolio!$C$5*(1+Portfolio!$E$5)^D$4/Portfolio!$D$5+Portfolio!$C$6*(1+Portfolio!$E$6)^D$4/Portfolio!$D$6+Portfolio!$C$7*(1+Portfolio!$E$7)^D$4/Portfolio!$D$7+Portfolio!$C$8*(1+Portfolio!$E$8)^D$4/Portfolio!$D$8+Portfolio!$C$9*(1+Portfolio!$E$9)^D$4/Portfolio!$D$9</f>
        <v>2062433483.85331</v>
      </c>
      <c r="E6" s="0" t="n">
        <f aca="false">Portfolio!$C$5*(1+Portfolio!$E$5)^E$4/Portfolio!$D$5+Portfolio!$C$6*(1+Portfolio!$E$6)^E$4/Portfolio!$D$6+Portfolio!$C$7*(1+Portfolio!$E$7)^E$4/Portfolio!$D$7+Portfolio!$C$8*(1+Portfolio!$E$8)^E$4/Portfolio!$D$8+Portfolio!$C$9*(1+Portfolio!$E$9)^E$4/Portfolio!$D$9</f>
        <v>2105943530.5145</v>
      </c>
      <c r="F6" s="0" t="n">
        <f aca="false">Portfolio!$C$5*(1+Portfolio!$E$5)^F$4/Portfolio!$D$5+Portfolio!$C$6*(1+Portfolio!$E$6)^F$4/Portfolio!$D$6+Portfolio!$C$7*(1+Portfolio!$E$7)^F$4/Portfolio!$D$7+Portfolio!$C$8*(1+Portfolio!$E$8)^F$4/Portfolio!$D$8+Portfolio!$C$9*(1+Portfolio!$E$9)^F$4/Portfolio!$D$9</f>
        <v>2150465747.474</v>
      </c>
      <c r="G6" s="0" t="n">
        <f aca="false">Portfolio!$C$5*(1+Portfolio!$E$5)^G$4/Portfolio!$D$5+Portfolio!$C$6*(1+Portfolio!$E$6)^G$4/Portfolio!$D$6+Portfolio!$C$7*(1+Portfolio!$E$7)^G$4/Portfolio!$D$7+Portfolio!$C$8*(1+Portfolio!$E$8)^G$4/Portfolio!$D$8+Portfolio!$C$9*(1+Portfolio!$E$9)^G$4/Portfolio!$D$9</f>
        <v>2196025324.57011</v>
      </c>
      <c r="H6" s="0" t="n">
        <f aca="false">Portfolio!$C$5*(1+Portfolio!$E$5)^H$4/Portfolio!$D$5+Portfolio!$C$6*(1+Portfolio!$E$6)^H$4/Portfolio!$D$6+Portfolio!$C$7*(1+Portfolio!$E$7)^H$4/Portfolio!$D$7+Portfolio!$C$8*(1+Portfolio!$E$8)^H$4/Portfolio!$D$8+Portfolio!$C$9*(1+Portfolio!$E$9)^H$4/Portfolio!$D$9</f>
        <v>2242648107.50378</v>
      </c>
    </row>
    <row r="7" customFormat="false" ht="15" hidden="false" customHeight="false" outlineLevel="0" collapsed="false">
      <c r="B7" s="0" t="s">
        <v>27</v>
      </c>
      <c r="C7" s="0" t="n">
        <f aca="false">0</f>
        <v>0</v>
      </c>
      <c r="D7" s="0" t="n">
        <f aca="false">Portfolio!$C$5*(1+Portfolio!$E$5)^(D$4-1)+Portfolio!$C$6*(1+Portfolio!$E$6)^(D$4-1)+Portfolio!$C$7*(1+Portfolio!$E$7)^(D$4-1)+Portfolio!$C$8*(1+Portfolio!$E$8)^(D$4-1)+Portfolio!$C$9*(1+Portfolio!$E$9)^(D$4-1)</f>
        <v>145500000</v>
      </c>
      <c r="E7" s="0" t="n">
        <f aca="false">Portfolio!$C$5*(1+Portfolio!$E$5)^(E$4-1)+Portfolio!$C$6*(1+Portfolio!$E$6)^(E$4-1)+Portfolio!$C$7*(1+Portfolio!$E$7)^(E$4-1)+Portfolio!$C$8*(1+Portfolio!$E$8)^(E$4-1)+Portfolio!$C$9*(1+Portfolio!$E$9)^(E$4-1)</f>
        <v>148512500</v>
      </c>
      <c r="F7" s="0" t="n">
        <f aca="false">Portfolio!$C$5*(1+Portfolio!$E$5)^(F$4-1)+Portfolio!$C$6*(1+Portfolio!$E$6)^(F$4-1)+Portfolio!$C$7*(1+Portfolio!$E$7)^(F$4-1)+Portfolio!$C$8*(1+Portfolio!$E$8)^(F$4-1)+Portfolio!$C$9*(1+Portfolio!$E$9)^(F$4-1)</f>
        <v>151594212.5</v>
      </c>
      <c r="G7" s="0" t="n">
        <f aca="false">Portfolio!$C$5*(1+Portfolio!$E$5)^(G$4-1)+Portfolio!$C$6*(1+Portfolio!$E$6)^(G$4-1)+Portfolio!$C$7*(1+Portfolio!$E$7)^(G$4-1)+Portfolio!$C$8*(1+Portfolio!$E$8)^(G$4-1)+Portfolio!$C$9*(1+Portfolio!$E$9)^(G$4-1)</f>
        <v>154746847.4375</v>
      </c>
      <c r="H7" s="0" t="n">
        <f aca="false">Portfolio!$C$5*(1+Portfolio!$E$5)^(H$4-1)+Portfolio!$C$6*(1+Portfolio!$E$6)^(H$4-1)+Portfolio!$C$7*(1+Portfolio!$E$7)^(H$4-1)+Portfolio!$C$8*(1+Portfolio!$E$8)^(H$4-1)+Portfolio!$C$9*(1+Portfolio!$E$9)^(H$4-1)</f>
        <v>157972159.099063</v>
      </c>
    </row>
    <row r="8" customFormat="false" ht="15" hidden="false" customHeight="false" outlineLevel="0" collapsed="false">
      <c r="B8" s="0" t="s">
        <v>20</v>
      </c>
      <c r="C8" s="0" t="n">
        <f aca="false">0</f>
        <v>0</v>
      </c>
      <c r="D8" s="0" t="n">
        <f aca="false">-Portfolio!$C$11*Portfolio!$C$12</f>
        <v>-37700000</v>
      </c>
      <c r="E8" s="0" t="n">
        <f aca="false">-Portfolio!$C$11*Portfolio!$C$12</f>
        <v>-37700000</v>
      </c>
      <c r="F8" s="0" t="n">
        <f aca="false">-Portfolio!$C$11*Portfolio!$C$12</f>
        <v>-37700000</v>
      </c>
      <c r="G8" s="0" t="n">
        <f aca="false">-Portfolio!$C$11*Portfolio!$C$12</f>
        <v>-37700000</v>
      </c>
      <c r="H8" s="0" t="n">
        <f aca="false">-Portfolio!$C$11*Portfolio!$C$12</f>
        <v>-37700000</v>
      </c>
    </row>
    <row r="9" customFormat="false" ht="15" hidden="false" customHeight="false" outlineLevel="0" collapsed="false">
      <c r="B9" s="0" t="s">
        <v>28</v>
      </c>
      <c r="C9" s="0" t="n">
        <f aca="false">0</f>
        <v>0</v>
      </c>
      <c r="D9" s="0" t="n">
        <f aca="false">-C6*Portfolio!$C$13</f>
        <v>-17169243.9792009</v>
      </c>
      <c r="E9" s="0" t="n">
        <f aca="false">-D6*Portfolio!$C$13</f>
        <v>-17530684.6127532</v>
      </c>
      <c r="F9" s="0" t="n">
        <f aca="false">-E6*Portfolio!$C$13</f>
        <v>-17900520.0093733</v>
      </c>
      <c r="G9" s="0" t="n">
        <f aca="false">-F6*Portfolio!$C$13</f>
        <v>-18278958.853529</v>
      </c>
      <c r="H9" s="0" t="n">
        <f aca="false">-G6*Portfolio!$C$13</f>
        <v>-18666215.2588459</v>
      </c>
    </row>
    <row r="10" customFormat="false" ht="15" hidden="false" customHeight="false" outlineLevel="0" collapsed="false">
      <c r="B10" s="0" t="s">
        <v>29</v>
      </c>
      <c r="C10" s="0" t="n">
        <f aca="false">SUM(C7:C9)</f>
        <v>0</v>
      </c>
      <c r="D10" s="0" t="n">
        <f aca="false">SUM(D7:D9)</f>
        <v>90630756.0207991</v>
      </c>
      <c r="E10" s="0" t="n">
        <f aca="false">SUM(E7:E9)</f>
        <v>93281815.3872469</v>
      </c>
      <c r="F10" s="0" t="n">
        <f aca="false">SUM(F7:F9)</f>
        <v>95993692.4906267</v>
      </c>
      <c r="G10" s="0" t="n">
        <f aca="false">SUM(G7:G9)</f>
        <v>98767888.583971</v>
      </c>
      <c r="H10" s="0" t="n">
        <f aca="false">SUM(H7:H9)</f>
        <v>101605943.840217</v>
      </c>
    </row>
    <row r="11" customFormat="false" ht="15" hidden="false" customHeight="false" outlineLevel="0" collapsed="false">
      <c r="B11" s="0" t="s">
        <v>30</v>
      </c>
      <c r="C11" s="0" t="n">
        <f aca="false">-C10*Portfolio!$C$14</f>
        <v>-0</v>
      </c>
      <c r="D11" s="0" t="n">
        <f aca="false">-D10*Portfolio!$C$14</f>
        <v>-81567680.4187192</v>
      </c>
      <c r="E11" s="0" t="n">
        <f aca="false">-E10*Portfolio!$C$14</f>
        <v>-83953633.8485222</v>
      </c>
      <c r="F11" s="0" t="n">
        <f aca="false">-F10*Portfolio!$C$14</f>
        <v>-86394323.241564</v>
      </c>
      <c r="G11" s="0" t="n">
        <f aca="false">-G10*Portfolio!$C$14</f>
        <v>-88891099.7255739</v>
      </c>
      <c r="H11" s="0" t="n">
        <f aca="false">-H10*Portfolio!$C$14</f>
        <v>-91445349.4561949</v>
      </c>
    </row>
    <row r="12" customFormat="false" ht="15" hidden="false" customHeight="false" outlineLevel="0" collapsed="false">
      <c r="B12" s="0" t="s">
        <v>31</v>
      </c>
      <c r="C12" s="0" t="n">
        <f aca="false">0</f>
        <v>0</v>
      </c>
      <c r="D12" s="3" t="n">
        <f aca="false">Portfolio!$C$16</f>
        <v>80000000</v>
      </c>
      <c r="E12" s="3" t="n">
        <f aca="false">Portfolio!$C$16</f>
        <v>80000000</v>
      </c>
      <c r="F12" s="3" t="n">
        <f aca="false">Portfolio!$C$16</f>
        <v>80000000</v>
      </c>
      <c r="G12" s="3" t="n">
        <f aca="false">Portfolio!$C$16</f>
        <v>80000000</v>
      </c>
      <c r="H12" s="3" t="n">
        <f aca="false">Portfolio!$C$16</f>
        <v>80000000</v>
      </c>
    </row>
    <row r="13" customFormat="false" ht="15" hidden="false" customHeight="false" outlineLevel="0" collapsed="false">
      <c r="B13" s="0" t="s">
        <v>8</v>
      </c>
      <c r="C13" s="0" t="n">
        <f aca="false">C6-Portfolio!$C$11+C16</f>
        <v>1369911056.37657</v>
      </c>
      <c r="D13" s="0" t="n">
        <f aca="false">D6-Portfolio!$C$11+D16</f>
        <v>1501496559.45539</v>
      </c>
      <c r="E13" s="0" t="n">
        <f aca="false">E6-Portfolio!$C$11+E16</f>
        <v>1634334787.65531</v>
      </c>
      <c r="F13" s="0" t="n">
        <f aca="false">F6-Portfolio!$C$11+F16</f>
        <v>1768456373.86387</v>
      </c>
      <c r="G13" s="0" t="n">
        <f aca="false">G6-Portfolio!$C$11+G16</f>
        <v>1903892739.81837</v>
      </c>
      <c r="H13" s="0" t="n">
        <f aca="false">H6-Portfolio!$C$11+H16</f>
        <v>2040676117.13606</v>
      </c>
    </row>
    <row r="14" customFormat="false" ht="15" hidden="false" customHeight="false" outlineLevel="0" collapsed="false">
      <c r="B14" s="0" t="s">
        <v>32</v>
      </c>
      <c r="C14" s="3" t="n">
        <f aca="false">Portfolio!$C$15</f>
        <v>120000000</v>
      </c>
      <c r="D14" s="0" t="n">
        <f aca="false">C14+D12/C15</f>
        <v>127007754.229966</v>
      </c>
      <c r="E14" s="0" t="n">
        <f aca="false">D14+E12/D15</f>
        <v>133774749.648246</v>
      </c>
      <c r="F14" s="0" t="n">
        <f aca="false">E14+F12/E15</f>
        <v>140322967.340664</v>
      </c>
      <c r="G14" s="0" t="n">
        <f aca="false">F14+G12/F15</f>
        <v>146670784.31436</v>
      </c>
      <c r="H14" s="0" t="n">
        <f aca="false">G14+H12/G15</f>
        <v>152833769.497164</v>
      </c>
    </row>
    <row r="15" customFormat="false" ht="15" hidden="false" customHeight="false" outlineLevel="0" collapsed="false">
      <c r="B15" s="0" t="s">
        <v>33</v>
      </c>
      <c r="C15" s="0" t="n">
        <f aca="false">C13/C14</f>
        <v>11.4159254698048</v>
      </c>
      <c r="D15" s="0" t="n">
        <f aca="false">D13/D14</f>
        <v>11.8220857345191</v>
      </c>
      <c r="E15" s="0" t="n">
        <f aca="false">E13/E14</f>
        <v>12.2170648194276</v>
      </c>
      <c r="F15" s="0" t="n">
        <f aca="false">F13/F14</f>
        <v>12.6027578191855</v>
      </c>
      <c r="G15" s="0" t="n">
        <f aca="false">G13/G14</f>
        <v>12.980722430295</v>
      </c>
      <c r="H15" s="0" t="n">
        <f aca="false">H13/H14</f>
        <v>13.3522592804592</v>
      </c>
    </row>
    <row r="16" customFormat="false" ht="15" hidden="false" customHeight="false" outlineLevel="0" collapsed="false">
      <c r="B16" s="0" t="s">
        <v>34</v>
      </c>
      <c r="C16" s="0" t="n">
        <f aca="false">C10+C11+C12</f>
        <v>0</v>
      </c>
      <c r="D16" s="0" t="n">
        <f aca="false">C16+D10+D11+D12</f>
        <v>89063075.6020799</v>
      </c>
      <c r="E16" s="0" t="n">
        <f aca="false">D16+E10+E11+E12</f>
        <v>178391257.140805</v>
      </c>
      <c r="F16" s="0" t="n">
        <f aca="false">E16+F10+F11+F12</f>
        <v>267990626.389867</v>
      </c>
      <c r="G16" s="0" t="n">
        <f aca="false">F16+G10+G11+G12</f>
        <v>357867415.248264</v>
      </c>
      <c r="H16" s="0" t="n">
        <f aca="false">G16+H10+H11+H12</f>
        <v>448028009.632286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2026-10-19T15:32:21Z</dcterms:created>
  <dc:creator>openpyxl</dc:creator>
  <dc:description/>
  <dc:language>en-US</dc:language>
  <cp:lastModifiedBy/>
  <dcterms:modified xsi:type="dcterms:W3CDTF">2026-10-19T15:32:21Z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