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lts" sheetId="1" state="visible" r:id="rId3"/>
    <sheet name="Inputs" sheetId="2" state="visible" r:id="rId4"/>
    <sheet name="Quarterly C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<sst xmlns="http://schemas.openxmlformats.org/spreadsheetml/2006/main" count="52" uniqueCount="51">
  <si>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NAKHEEL GARDENS · RESULTS (SAR '000)</t>
  </si>
  <si>
    <t xml:space="preserve">Gross development value</t>
  </si>
  <si>
    <t xml:space="preserve">Total development cost</t>
  </si>
  <si>
    <t xml:space="preserve">Developer profit</t>
  </si>
  <si>
    <t xml:space="preserve">Profit on cost</t>
  </si>
  <si>
    <t xml:space="preserve">Project IRR (unlevered)</t>
  </si>
  <si>
    <t xml:space="preserve">Equity IRR</t>
  </si>
  <si>
    <t xml:space="preserve">Peak Murabaha balance</t>
  </si>
  <si>
    <t xml:space="preserve">Equity multiple</t>
  </si>
  <si>
    <t xml:space="preserve">NAKHEEL GARDENS · INPUTS (SAR '000)</t>
  </si>
  <si>
    <t xml:space="preserve">Units</t>
  </si>
  <si>
    <t xml:space="preserve">Average unit price</t>
  </si>
  <si>
    <t xml:space="preserve">Land cost</t>
  </si>
  <si>
    <t xml:space="preserve">Construction cost</t>
  </si>
  <si>
    <t xml:space="preserve">Construction start (quarter)</t>
  </si>
  <si>
    <t xml:space="preserve">Construction length (quarters)</t>
  </si>
  <si>
    <t xml:space="preserve">Soft costs (% of construction)</t>
  </si>
  <si>
    <t xml:space="preserve">Sales and marketing (% of sales)</t>
  </si>
  <si>
    <t xml:space="preserve">Deposit at sale</t>
  </si>
  <si>
    <t xml:space="preserve">Paid at handover</t>
  </si>
  <si>
    <t xml:space="preserve">Escrow release lag (quarters)</t>
  </si>
  <si>
    <t xml:space="preserve">SAIBOR</t>
  </si>
  <si>
    <t xml:space="preserve">Murabaha margin</t>
  </si>
  <si>
    <t xml:space="preserve">Murabaha upfront fee</t>
  </si>
  <si>
    <t xml:space="preserve">Equity (share of land and first costs)</t>
  </si>
  <si>
    <t xml:space="preserve">Sales curve (share of units sold, by quarter from launch)</t>
  </si>
  <si>
    <t xml:space="preserve">Quarter</t>
  </si>
  <si>
    <t xml:space="preserve">Share sold</t>
  </si>
  <si>
    <t xml:space="preserve">QUARTERLY CASH FLOW (SAR '000)</t>
  </si>
  <si>
    <t xml:space="preserve">Quarter ending</t>
  </si>
  <si>
    <t xml:space="preserve">Units sold</t>
  </si>
  <si>
    <t xml:space="preserve">Sales contracted</t>
  </si>
  <si>
    <t xml:space="preserve">Construction progress</t>
  </si>
  <si>
    <t xml:space="preserve">Cumulative progress</t>
  </si>
  <si>
    <t xml:space="preserve">Buyer payments into escrow</t>
  </si>
  <si>
    <t xml:space="preserve">Escrow balance</t>
  </si>
  <si>
    <t xml:space="preserve">Escrow release</t>
  </si>
  <si>
    <t xml:space="preserve">Land</t>
  </si>
  <si>
    <t xml:space="preserve">Construction</t>
  </si>
  <si>
    <t xml:space="preserve">Soft costs</t>
  </si>
  <si>
    <t xml:space="preserve">Sales and marketing</t>
  </si>
  <si>
    <t xml:space="preserve">Total costs</t>
  </si>
  <si>
    <t xml:space="preserve">Project cash flow (unlevered)</t>
  </si>
  <si>
    <t xml:space="preserve">Funding need after escrow</t>
  </si>
  <si>
    <t xml:space="preserve">Equity</t>
  </si>
  <si>
    <t xml:space="preserve">Murabaha draw</t>
  </si>
  <si>
    <t xml:space="preserve">Murabaha profit</t>
  </si>
  <si>
    <t xml:space="preserve">Murabaha fee</t>
  </si>
  <si>
    <t xml:space="preserve">Murabaha repayment</t>
  </si>
  <si>
    <t xml:space="preserve">Murabaha balance</t>
  </si>
  <si>
    <t xml:space="preserve">Equity cash flow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</si>
</sst>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.00\x"/>
    <numFmt numFmtId="168" formatCode="0"/>
    <numFmt numFmtId="169" formatCode="0%"/>
    <numFmt numFmtId="170" formatCode="0.0%"/>
    <numFmt numFmtId="171" formatCode="mmm\-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5" customFormat="false" ht="15" hidden="false" customHeight="false" outlineLevel="0" collapsed="false">
      <c r="B5" s="0" t="s">
        <v>1</v>
      </c>
      <c r="C5" s="1" t="n">
        <f aca="false">SUM('Quarterly CF'!C7:S7)</f>
        <v>348000</v>
      </c>
    </row>
    <row r="6" customFormat="false" ht="15" hidden="false" customHeight="false" outlineLevel="0" collapsed="false">
      <c r="B6" s="0" t="s">
        <v>2</v>
      </c>
      <c r="C6" s="1" t="n">
        <f aca="false">-SUM('Quarterly CF'!C19:S19)</f>
        <v>260600</v>
      </c>
    </row>
    <row r="7" customFormat="false" ht="15" hidden="false" customHeight="false" outlineLevel="0" collapsed="false">
      <c r="B7" s="0" t="s">
        <v>3</v>
      </c>
      <c r="C7" s="1" t="n">
        <f aca="false">C5-C6+SUM('Quarterly CF'!C26:S27)</f>
        <v>79464.766810307</v>
      </c>
    </row>
    <row r="8" customFormat="false" ht="15" hidden="false" customHeight="false" outlineLevel="0" collapsed="false">
      <c r="B8" s="0" t="s">
        <v>4</v>
      </c>
      <c r="C8" s="2" t="n">
        <f aca="false">C7/C6</f>
        <v>0.304930033807778</v>
      </c>
    </row>
    <row r="10" customFormat="false" ht="15" hidden="false" customHeight="false" outlineLevel="0" collapsed="false">
      <c r="B10" s="0" t="s">
        <v>5</v>
      </c>
      <c r="C10" s="2" t="n">
        <f aca="false">(1+IRR('Quarterly CF'!C21:S21))^4-1</f>
        <v>0.356542746681186</v>
      </c>
    </row>
    <row r="11" customFormat="false" ht="15" hidden="false" customHeight="false" outlineLevel="0" collapsed="false">
      <c r="B11" s="0" t="s">
        <v>6</v>
      </c>
      <c r="C11" s="2" t="n">
        <f aca="false">(1+IRR('Quarterly CF'!C31:S31))^4-1</f>
        <v>0.359628714997395</v>
      </c>
    </row>
    <row r="12" customFormat="false" ht="15" hidden="false" customHeight="false" outlineLevel="0" collapsed="false">
      <c r="B12" s="0" t="s">
        <v>7</v>
      </c>
      <c r="C12" s="1" t="n">
        <f aca="false">MAX('Quarterly CF'!C29:S29)</f>
        <v>60680.472237888</v>
      </c>
    </row>
    <row r="13" customFormat="false" ht="15" hidden="false" customHeight="false" outlineLevel="0" collapsed="false">
      <c r="B13" s="0" t="s">
        <v>8</v>
      </c>
      <c r="C13" s="3" t="n">
        <f aca="false">SUMIF('Quarterly CF'!C31:S31,"&gt;0")/-SUMIF('Quarterly CF'!C31:S31,"&lt;0")</f>
        <v>2.27235025328463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9</v>
      </c>
    </row>
    <row r="4" customFormat="false" ht="15" hidden="false" customHeight="false" outlineLevel="0" collapsed="false">
      <c r="B4" s="0" t="s">
        <v>10</v>
      </c>
      <c r="C4" s="4" t="n">
        <v>240</v>
      </c>
    </row>
    <row r="5" customFormat="false" ht="15" hidden="false" customHeight="false" outlineLevel="0" collapsed="false">
      <c r="B5" s="0" t="s">
        <v>11</v>
      </c>
      <c r="C5" s="1" t="n">
        <v>1450</v>
      </c>
    </row>
    <row r="6" customFormat="false" ht="15" hidden="false" customHeight="false" outlineLevel="0" collapsed="false">
      <c r="B6" s="0" t="s">
        <v>12</v>
      </c>
      <c r="C6" s="1" t="n">
        <v>62000</v>
      </c>
    </row>
    <row r="7" customFormat="false" ht="15" hidden="false" customHeight="false" outlineLevel="0" collapsed="false">
      <c r="B7" s="0" t="s">
        <v>13</v>
      </c>
      <c r="C7" s="1" t="n">
        <v>168000</v>
      </c>
    </row>
    <row r="8" customFormat="false" ht="15" hidden="false" customHeight="false" outlineLevel="0" collapsed="false">
      <c r="B8" s="0" t="s">
        <v>14</v>
      </c>
      <c r="C8" s="4" t="n">
        <v>1</v>
      </c>
    </row>
    <row r="9" customFormat="false" ht="15" hidden="false" customHeight="false" outlineLevel="0" collapsed="false">
      <c r="B9" s="0" t="s">
        <v>15</v>
      </c>
      <c r="C9" s="4" t="n">
        <v>10</v>
      </c>
    </row>
    <row r="10" customFormat="false" ht="15" hidden="false" customHeight="false" outlineLevel="0" collapsed="false">
      <c r="B10" s="0" t="s">
        <v>16</v>
      </c>
      <c r="C10" s="2" t="n">
        <v>0.12</v>
      </c>
    </row>
    <row r="11" customFormat="false" ht="15" hidden="false" customHeight="false" outlineLevel="0" collapsed="false">
      <c r="B11" s="0" t="s">
        <v>17</v>
      </c>
      <c r="C11" s="2" t="n">
        <v>0.03</v>
      </c>
    </row>
    <row r="12" customFormat="false" ht="15" hidden="false" customHeight="false" outlineLevel="0" collapsed="false">
      <c r="B12" s="0" t="s">
        <v>18</v>
      </c>
      <c r="C12" s="2" t="n">
        <v>0.1</v>
      </c>
    </row>
    <row r="13" customFormat="false" ht="15" hidden="false" customHeight="false" outlineLevel="0" collapsed="false">
      <c r="B13" s="0" t="s">
        <v>19</v>
      </c>
      <c r="C13" s="2" t="n">
        <v>0.3</v>
      </c>
    </row>
    <row r="14" customFormat="false" ht="15" hidden="false" customHeight="false" outlineLevel="0" collapsed="false">
      <c r="B14" s="0" t="s">
        <v>20</v>
      </c>
      <c r="C14" s="4" t="n">
        <v>1</v>
      </c>
    </row>
    <row r="15" customFormat="false" ht="15" hidden="false" customHeight="false" outlineLevel="0" collapsed="false">
      <c r="B15" s="0" t="s">
        <v>21</v>
      </c>
      <c r="C15" s="2" t="n">
        <v>0.055</v>
      </c>
    </row>
    <row r="16" customFormat="false" ht="15" hidden="false" customHeight="false" outlineLevel="0" collapsed="false">
      <c r="B16" s="0" t="s">
        <v>22</v>
      </c>
      <c r="C16" s="2" t="n">
        <v>0.025</v>
      </c>
    </row>
    <row r="17" customFormat="false" ht="15" hidden="false" customHeight="false" outlineLevel="0" collapsed="false">
      <c r="B17" s="0" t="s">
        <v>23</v>
      </c>
      <c r="C17" s="2" t="n">
        <v>0.0075</v>
      </c>
    </row>
    <row r="18" customFormat="false" ht="15" hidden="false" customHeight="false" outlineLevel="0" collapsed="false">
      <c r="B18" s="0" t="s">
        <v>24</v>
      </c>
      <c r="C18" s="5" t="n">
        <v>1</v>
      </c>
    </row>
    <row r="20" customFormat="false" ht="15" hidden="false" customHeight="false" outlineLevel="0" collapsed="false">
      <c r="B20" s="0" t="s">
        <v>25</v>
      </c>
    </row>
    <row r="21" customFormat="false" ht="15" hidden="false" customHeight="false" outlineLevel="0" collapsed="false">
      <c r="B21" s="0" t="s">
        <v>26</v>
      </c>
      <c r="C21" s="0" t="n">
        <v>0</v>
      </c>
      <c r="D21" s="0" t="n">
        <v>1</v>
      </c>
      <c r="E21" s="0" t="n">
        <v>2</v>
      </c>
      <c r="F21" s="0" t="n">
        <v>3</v>
      </c>
      <c r="G21" s="0" t="n">
        <v>4</v>
      </c>
      <c r="H21" s="0" t="n">
        <v>5</v>
      </c>
      <c r="I21" s="0" t="n">
        <v>6</v>
      </c>
      <c r="J21" s="0" t="n">
        <v>7</v>
      </c>
      <c r="K21" s="0" t="n">
        <v>8</v>
      </c>
      <c r="L21" s="0" t="n">
        <v>9</v>
      </c>
      <c r="M21" s="0" t="n">
        <v>10</v>
      </c>
      <c r="N21" s="0" t="n">
        <v>11</v>
      </c>
      <c r="O21" s="0" t="n">
        <v>12</v>
      </c>
      <c r="P21" s="0" t="n">
        <v>13</v>
      </c>
      <c r="Q21" s="0" t="n">
        <v>14</v>
      </c>
      <c r="R21" s="0" t="n">
        <v>15</v>
      </c>
      <c r="S21" s="0" t="n">
        <v>16</v>
      </c>
    </row>
    <row r="22" customFormat="false" ht="15" hidden="false" customHeight="false" outlineLevel="0" collapsed="false">
      <c r="B22" s="0" t="s">
        <v>27</v>
      </c>
      <c r="C22" s="6" t="n">
        <v>0</v>
      </c>
      <c r="D22" s="6" t="n">
        <v>0.15</v>
      </c>
      <c r="E22" s="6" t="n">
        <v>0.15</v>
      </c>
      <c r="F22" s="6" t="n">
        <v>0.12</v>
      </c>
      <c r="G22" s="6" t="n">
        <v>0.1</v>
      </c>
      <c r="H22" s="6" t="n">
        <v>0.1</v>
      </c>
      <c r="I22" s="6" t="n">
        <v>0.08</v>
      </c>
      <c r="J22" s="6" t="n">
        <v>0.08</v>
      </c>
      <c r="K22" s="6" t="n">
        <v>0.07</v>
      </c>
      <c r="L22" s="6" t="n">
        <v>0.06</v>
      </c>
      <c r="M22" s="6" t="n">
        <v>0.05</v>
      </c>
      <c r="N22" s="6" t="n">
        <v>0.04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28</v>
      </c>
    </row>
    <row r="3" customFormat="false" ht="15" hidden="false" customHeight="false" outlineLevel="0" collapsed="false">
      <c r="B3" s="0" t="s">
        <v>29</v>
      </c>
      <c r="C3" s="7" t="n">
        <v>46112</v>
      </c>
      <c r="D3" s="7" t="n">
        <v>46203</v>
      </c>
      <c r="E3" s="7" t="n">
        <v>46295</v>
      </c>
      <c r="F3" s="7" t="n">
        <v>46387</v>
      </c>
      <c r="G3" s="7" t="n">
        <v>46477</v>
      </c>
      <c r="H3" s="7" t="n">
        <v>46568</v>
      </c>
      <c r="I3" s="7" t="n">
        <v>46660</v>
      </c>
      <c r="J3" s="7" t="n">
        <v>46752</v>
      </c>
      <c r="K3" s="7" t="n">
        <v>46843</v>
      </c>
      <c r="L3" s="7" t="n">
        <v>46934</v>
      </c>
      <c r="M3" s="7" t="n">
        <v>47026</v>
      </c>
      <c r="N3" s="7" t="n">
        <v>47118</v>
      </c>
      <c r="O3" s="7" t="n">
        <v>47208</v>
      </c>
      <c r="P3" s="7" t="n">
        <v>47299</v>
      </c>
      <c r="Q3" s="7" t="n">
        <v>47391</v>
      </c>
      <c r="R3" s="7" t="n">
        <v>47483</v>
      </c>
      <c r="S3" s="7" t="n">
        <v>47573</v>
      </c>
    </row>
    <row r="4" customFormat="false" ht="15" hidden="false" customHeight="false" outlineLevel="0" collapsed="false">
      <c r="B4" s="0" t="s">
        <v>26</v>
      </c>
      <c r="C4" s="0" t="n">
        <v>0</v>
      </c>
      <c r="D4" s="0" t="n">
        <v>1</v>
      </c>
      <c r="E4" s="0" t="n">
        <v>2</v>
      </c>
      <c r="F4" s="0" t="n">
        <v>3</v>
      </c>
      <c r="G4" s="0" t="n">
        <v>4</v>
      </c>
      <c r="H4" s="0" t="n">
        <v>5</v>
      </c>
      <c r="I4" s="0" t="n">
        <v>6</v>
      </c>
      <c r="J4" s="0" t="n">
        <v>7</v>
      </c>
      <c r="K4" s="0" t="n">
        <v>8</v>
      </c>
      <c r="L4" s="0" t="n">
        <v>9</v>
      </c>
      <c r="M4" s="0" t="n">
        <v>10</v>
      </c>
      <c r="N4" s="0" t="n">
        <v>11</v>
      </c>
      <c r="O4" s="0" t="n">
        <v>12</v>
      </c>
      <c r="P4" s="0" t="n">
        <v>13</v>
      </c>
      <c r="Q4" s="0" t="n">
        <v>14</v>
      </c>
      <c r="R4" s="0" t="n">
        <v>15</v>
      </c>
      <c r="S4" s="0" t="n">
        <v>16</v>
      </c>
    </row>
    <row r="6" customFormat="false" ht="15" hidden="false" customHeight="false" outlineLevel="0" collapsed="false">
      <c r="B6" s="0" t="s">
        <v>30</v>
      </c>
      <c r="C6" s="0" t="n">
        <f aca="false">Inputs!$C$4*Inputs!C22</f>
        <v>0</v>
      </c>
      <c r="D6" s="0" t="n">
        <f aca="false">Inputs!$C$4*Inputs!D22</f>
        <v>36</v>
      </c>
      <c r="E6" s="0" t="n">
        <f aca="false">Inputs!$C$4*Inputs!E22</f>
        <v>36</v>
      </c>
      <c r="F6" s="0" t="n">
        <f aca="false">Inputs!$C$4*Inputs!F22</f>
        <v>28.8</v>
      </c>
      <c r="G6" s="0" t="n">
        <f aca="false">Inputs!$C$4*Inputs!G22</f>
        <v>24</v>
      </c>
      <c r="H6" s="0" t="n">
        <f aca="false">Inputs!$C$4*Inputs!H22</f>
        <v>24</v>
      </c>
      <c r="I6" s="0" t="n">
        <f aca="false">Inputs!$C$4*Inputs!I22</f>
        <v>19.2</v>
      </c>
      <c r="J6" s="0" t="n">
        <f aca="false">Inputs!$C$4*Inputs!J22</f>
        <v>19.2</v>
      </c>
      <c r="K6" s="0" t="n">
        <f aca="false">Inputs!$C$4*Inputs!K22</f>
        <v>16.8</v>
      </c>
      <c r="L6" s="0" t="n">
        <f aca="false">Inputs!$C$4*Inputs!L22</f>
        <v>14.4</v>
      </c>
      <c r="M6" s="0" t="n">
        <f aca="false">Inputs!$C$4*Inputs!M22</f>
        <v>12</v>
      </c>
      <c r="N6" s="0" t="n">
        <f aca="false">Inputs!$C$4*Inputs!N22</f>
        <v>9.6</v>
      </c>
      <c r="O6" s="0" t="n">
        <f aca="false">Inputs!$C$4*Inputs!O22</f>
        <v>0</v>
      </c>
      <c r="P6" s="0" t="n">
        <f aca="false">Inputs!$C$4*Inputs!P22</f>
        <v>0</v>
      </c>
      <c r="Q6" s="0" t="n">
        <f aca="false">Inputs!$C$4*Inputs!Q22</f>
        <v>0</v>
      </c>
      <c r="R6" s="0" t="n">
        <f aca="false">Inputs!$C$4*Inputs!R22</f>
        <v>0</v>
      </c>
      <c r="S6" s="0" t="n">
        <f aca="false">Inputs!$C$4*Inputs!S22</f>
        <v>0</v>
      </c>
    </row>
    <row r="7" customFormat="false" ht="15" hidden="false" customHeight="false" outlineLevel="0" collapsed="false">
      <c r="B7" s="0" t="s">
        <v>31</v>
      </c>
      <c r="C7" s="0" t="n">
        <f aca="false">C6*Inputs!$C$5</f>
        <v>0</v>
      </c>
      <c r="D7" s="0" t="n">
        <f aca="false">D6*Inputs!$C$5</f>
        <v>52200</v>
      </c>
      <c r="E7" s="0" t="n">
        <f aca="false">E6*Inputs!$C$5</f>
        <v>52200</v>
      </c>
      <c r="F7" s="0" t="n">
        <f aca="false">F6*Inputs!$C$5</f>
        <v>41760</v>
      </c>
      <c r="G7" s="0" t="n">
        <f aca="false">G6*Inputs!$C$5</f>
        <v>34800</v>
      </c>
      <c r="H7" s="0" t="n">
        <f aca="false">H6*Inputs!$C$5</f>
        <v>34800</v>
      </c>
      <c r="I7" s="0" t="n">
        <f aca="false">I6*Inputs!$C$5</f>
        <v>27840</v>
      </c>
      <c r="J7" s="0" t="n">
        <f aca="false">J6*Inputs!$C$5</f>
        <v>27840</v>
      </c>
      <c r="K7" s="0" t="n">
        <f aca="false">K6*Inputs!$C$5</f>
        <v>24360</v>
      </c>
      <c r="L7" s="0" t="n">
        <f aca="false">L6*Inputs!$C$5</f>
        <v>20880</v>
      </c>
      <c r="M7" s="0" t="n">
        <f aca="false">M6*Inputs!$C$5</f>
        <v>17400</v>
      </c>
      <c r="N7" s="0" t="n">
        <f aca="false">N6*Inputs!$C$5</f>
        <v>13920</v>
      </c>
      <c r="O7" s="0" t="n">
        <f aca="false">O6*Inputs!$C$5</f>
        <v>0</v>
      </c>
      <c r="P7" s="0" t="n">
        <f aca="false">P6*Inputs!$C$5</f>
        <v>0</v>
      </c>
      <c r="Q7" s="0" t="n">
        <f aca="false">Q6*Inputs!$C$5</f>
        <v>0</v>
      </c>
      <c r="R7" s="0" t="n">
        <f aca="false">R6*Inputs!$C$5</f>
        <v>0</v>
      </c>
      <c r="S7" s="0" t="n">
        <f aca="false">S6*Inputs!$C$5</f>
        <v>0</v>
      </c>
    </row>
    <row r="8" customFormat="false" ht="15" hidden="false" customHeight="false" outlineLevel="0" collapsed="false">
      <c r="B8" s="0" t="s">
        <v>32</v>
      </c>
      <c r="C8" s="0" t="n">
        <f aca="false">IF(AND(C$4&gt;=Inputs!$C$8,C$4&lt;Inputs!$C$8+ROUND(Inputs!$C$9,0)),1/ROUND(Inputs!$C$9,0),0)</f>
        <v>0</v>
      </c>
      <c r="D8" s="0" t="n">
        <f aca="false">IF(AND(D$4&gt;=Inputs!$C$8,D$4&lt;Inputs!$C$8+ROUND(Inputs!$C$9,0)),1/ROUND(Inputs!$C$9,0),0)</f>
        <v>0.1</v>
      </c>
      <c r="E8" s="0" t="n">
        <f aca="false">IF(AND(E$4&gt;=Inputs!$C$8,E$4&lt;Inputs!$C$8+ROUND(Inputs!$C$9,0)),1/ROUND(Inputs!$C$9,0),0)</f>
        <v>0.1</v>
      </c>
      <c r="F8" s="0" t="n">
        <f aca="false">IF(AND(F$4&gt;=Inputs!$C$8,F$4&lt;Inputs!$C$8+ROUND(Inputs!$C$9,0)),1/ROUND(Inputs!$C$9,0),0)</f>
        <v>0.1</v>
      </c>
      <c r="G8" s="0" t="n">
        <f aca="false">IF(AND(G$4&gt;=Inputs!$C$8,G$4&lt;Inputs!$C$8+ROUND(Inputs!$C$9,0)),1/ROUND(Inputs!$C$9,0),0)</f>
        <v>0.1</v>
      </c>
      <c r="H8" s="0" t="n">
        <f aca="false">IF(AND(H$4&gt;=Inputs!$C$8,H$4&lt;Inputs!$C$8+ROUND(Inputs!$C$9,0)),1/ROUND(Inputs!$C$9,0),0)</f>
        <v>0.1</v>
      </c>
      <c r="I8" s="0" t="n">
        <f aca="false">IF(AND(I$4&gt;=Inputs!$C$8,I$4&lt;Inputs!$C$8+ROUND(Inputs!$C$9,0)),1/ROUND(Inputs!$C$9,0),0)</f>
        <v>0.1</v>
      </c>
      <c r="J8" s="0" t="n">
        <f aca="false">IF(AND(J$4&gt;=Inputs!$C$8,J$4&lt;Inputs!$C$8+ROUND(Inputs!$C$9,0)),1/ROUND(Inputs!$C$9,0),0)</f>
        <v>0.1</v>
      </c>
      <c r="K8" s="0" t="n">
        <f aca="false">IF(AND(K$4&gt;=Inputs!$C$8,K$4&lt;Inputs!$C$8+ROUND(Inputs!$C$9,0)),1/ROUND(Inputs!$C$9,0),0)</f>
        <v>0.1</v>
      </c>
      <c r="L8" s="0" t="n">
        <f aca="false">IF(AND(L$4&gt;=Inputs!$C$8,L$4&lt;Inputs!$C$8+ROUND(Inputs!$C$9,0)),1/ROUND(Inputs!$C$9,0),0)</f>
        <v>0.1</v>
      </c>
      <c r="M8" s="0" t="n">
        <f aca="false">IF(AND(M$4&gt;=Inputs!$C$8,M$4&lt;Inputs!$C$8+ROUND(Inputs!$C$9,0)),1/ROUND(Inputs!$C$9,0),0)</f>
        <v>0.1</v>
      </c>
      <c r="N8" s="0" t="n">
        <f aca="false">IF(AND(N$4&gt;=Inputs!$C$8,N$4&lt;Inputs!$C$8+ROUND(Inputs!$C$9,0)),1/ROUND(Inputs!$C$9,0),0)</f>
        <v>0</v>
      </c>
      <c r="O8" s="0" t="n">
        <f aca="false">IF(AND(O$4&gt;=Inputs!$C$8,O$4&lt;Inputs!$C$8+ROUND(Inputs!$C$9,0)),1/ROUND(Inputs!$C$9,0),0)</f>
        <v>0</v>
      </c>
      <c r="P8" s="0" t="n">
        <f aca="false">IF(AND(P$4&gt;=Inputs!$C$8,P$4&lt;Inputs!$C$8+ROUND(Inputs!$C$9,0)),1/ROUND(Inputs!$C$9,0),0)</f>
        <v>0</v>
      </c>
      <c r="Q8" s="0" t="n">
        <f aca="false">IF(AND(Q$4&gt;=Inputs!$C$8,Q$4&lt;Inputs!$C$8+ROUND(Inputs!$C$9,0)),1/ROUND(Inputs!$C$9,0),0)</f>
        <v>0</v>
      </c>
      <c r="R8" s="0" t="n">
        <f aca="false">IF(AND(R$4&gt;=Inputs!$C$8,R$4&lt;Inputs!$C$8+ROUND(Inputs!$C$9,0)),1/ROUND(Inputs!$C$9,0),0)</f>
        <v>0</v>
      </c>
      <c r="S8" s="0" t="n">
        <f aca="false">IF(AND(S$4&gt;=Inputs!$C$8,S$4&lt;Inputs!$C$8+ROUND(Inputs!$C$9,0)),1/ROUND(Inputs!$C$9,0),0)</f>
        <v>0</v>
      </c>
    </row>
    <row r="9" customFormat="false" ht="15" hidden="false" customHeight="false" outlineLevel="0" collapsed="false">
      <c r="B9" s="0" t="s">
        <v>33</v>
      </c>
      <c r="C9" s="0" t="n">
        <f aca="false">SUM($C$8:C8)</f>
        <v>0</v>
      </c>
      <c r="D9" s="0" t="n">
        <f aca="false">SUM($C$8:D8)</f>
        <v>0.1</v>
      </c>
      <c r="E9" s="0" t="n">
        <f aca="false">SUM($C$8:E8)</f>
        <v>0.2</v>
      </c>
      <c r="F9" s="0" t="n">
        <f aca="false">SUM($C$8:F8)</f>
        <v>0.3</v>
      </c>
      <c r="G9" s="0" t="n">
        <f aca="false">SUM($C$8:G8)</f>
        <v>0.4</v>
      </c>
      <c r="H9" s="0" t="n">
        <f aca="false">SUM($C$8:H8)</f>
        <v>0.5</v>
      </c>
      <c r="I9" s="0" t="n">
        <f aca="false">SUM($C$8:I8)</f>
        <v>0.6</v>
      </c>
      <c r="J9" s="0" t="n">
        <f aca="false">SUM($C$8:J8)</f>
        <v>0.7</v>
      </c>
      <c r="K9" s="0" t="n">
        <f aca="false">SUM($C$8:K8)</f>
        <v>0.8</v>
      </c>
      <c r="L9" s="0" t="n">
        <f aca="false">SUM($C$8:L8)</f>
        <v>0.9</v>
      </c>
      <c r="M9" s="0" t="n">
        <f aca="false">SUM($C$8:M8)</f>
        <v>1</v>
      </c>
      <c r="N9" s="0" t="n">
        <f aca="false">SUM($C$8:N8)</f>
        <v>1</v>
      </c>
      <c r="O9" s="0" t="n">
        <f aca="false">SUM($C$8:O8)</f>
        <v>1</v>
      </c>
      <c r="P9" s="0" t="n">
        <f aca="false">SUM($C$8:P8)</f>
        <v>1</v>
      </c>
      <c r="Q9" s="0" t="n">
        <f aca="false">SUM($C$8:Q8)</f>
        <v>1</v>
      </c>
      <c r="R9" s="0" t="n">
        <f aca="false">SUM($C$8:R8)</f>
        <v>1</v>
      </c>
      <c r="S9" s="0" t="n">
        <f aca="false">SUM($C$8:S8)</f>
        <v>1</v>
      </c>
    </row>
    <row r="11" customFormat="false" ht="15" hidden="false" customHeight="false" outlineLevel="0" collapsed="false">
      <c r="B11" s="0" t="s">
        <v>34</v>
      </c>
      <c r="C11" s="0" t="n">
        <f aca="false">IF(C$4&lt;Inputs!$C$8+ROUND(Inputs!$C$9,0),C7*(Inputs!$C$12+(1-Inputs!$C$12-Inputs!$C$13)*C9)+0*(1-Inputs!$C$12-Inputs!$C$13)*C8,0)+IF(C$4=Inputs!$C$8+ROUND(Inputs!$C$9,0),0*Inputs!$C$13+C7,0)+IF(C$4&gt;Inputs!$C$8+ROUND(Inputs!$C$9,0),C7,0)</f>
        <v>0</v>
      </c>
      <c r="D11" s="0" t="n">
        <f aca="false">IF(D$4&lt;Inputs!$C$8+ROUND(Inputs!$C$9,0),D7*(Inputs!$C$12+(1-Inputs!$C$12-Inputs!$C$13)*D9)+SUM($C$7:C7)*(1-Inputs!$C$12-Inputs!$C$13)*D8,0)+IF(D$4=Inputs!$C$8+ROUND(Inputs!$C$9,0),SUM($C$7:C7)*Inputs!$C$13+D7,0)+IF(D$4&gt;Inputs!$C$8+ROUND(Inputs!$C$9,0),D7,0)</f>
        <v>8352</v>
      </c>
      <c r="E11" s="0" t="n">
        <f aca="false">IF(E$4&lt;Inputs!$C$8+ROUND(Inputs!$C$9,0),E7*(Inputs!$C$12+(1-Inputs!$C$12-Inputs!$C$13)*E9)+SUM($C$7:D7)*(1-Inputs!$C$12-Inputs!$C$13)*E8,0)+IF(E$4=Inputs!$C$8+ROUND(Inputs!$C$9,0),SUM($C$7:D7)*Inputs!$C$13+E7,0)+IF(E$4&gt;Inputs!$C$8+ROUND(Inputs!$C$9,0),E7,0)</f>
        <v>14616</v>
      </c>
      <c r="F11" s="0" t="n">
        <f aca="false">IF(F$4&lt;Inputs!$C$8+ROUND(Inputs!$C$9,0),F7*(Inputs!$C$12+(1-Inputs!$C$12-Inputs!$C$13)*F9)+SUM($C$7:E7)*(1-Inputs!$C$12-Inputs!$C$13)*F8,0)+IF(F$4=Inputs!$C$8+ROUND(Inputs!$C$9,0),SUM($C$7:E7)*Inputs!$C$13+F7,0)+IF(F$4&gt;Inputs!$C$8+ROUND(Inputs!$C$9,0),F7,0)</f>
        <v>17956.8</v>
      </c>
      <c r="G11" s="0" t="n">
        <f aca="false">IF(G$4&lt;Inputs!$C$8+ROUND(Inputs!$C$9,0),G7*(Inputs!$C$12+(1-Inputs!$C$12-Inputs!$C$13)*G9)+SUM($C$7:F7)*(1-Inputs!$C$12-Inputs!$C$13)*G8,0)+IF(G$4=Inputs!$C$8+ROUND(Inputs!$C$9,0),SUM($C$7:F7)*Inputs!$C$13+G7,0)+IF(G$4&gt;Inputs!$C$8+ROUND(Inputs!$C$9,0),G7,0)</f>
        <v>20601.6</v>
      </c>
      <c r="H11" s="0" t="n">
        <f aca="false">IF(H$4&lt;Inputs!$C$8+ROUND(Inputs!$C$9,0),H7*(Inputs!$C$12+(1-Inputs!$C$12-Inputs!$C$13)*H9)+SUM($C$7:G7)*(1-Inputs!$C$12-Inputs!$C$13)*H8,0)+IF(H$4=Inputs!$C$8+ROUND(Inputs!$C$9,0),SUM($C$7:G7)*Inputs!$C$13+H7,0)+IF(H$4&gt;Inputs!$C$8+ROUND(Inputs!$C$9,0),H7,0)</f>
        <v>24777.6</v>
      </c>
      <c r="I11" s="0" t="n">
        <f aca="false">IF(I$4&lt;Inputs!$C$8+ROUND(Inputs!$C$9,0),I7*(Inputs!$C$12+(1-Inputs!$C$12-Inputs!$C$13)*I9)+SUM($C$7:H7)*(1-Inputs!$C$12-Inputs!$C$13)*I8,0)+IF(I$4=Inputs!$C$8+ROUND(Inputs!$C$9,0),SUM($C$7:H7)*Inputs!$C$13+I7,0)+IF(I$4&gt;Inputs!$C$8+ROUND(Inputs!$C$9,0),I7,0)</f>
        <v>25752</v>
      </c>
      <c r="J11" s="0" t="n">
        <f aca="false">IF(J$4&lt;Inputs!$C$8+ROUND(Inputs!$C$9,0),J7*(Inputs!$C$12+(1-Inputs!$C$12-Inputs!$C$13)*J9)+SUM($C$7:I7)*(1-Inputs!$C$12-Inputs!$C$13)*J8,0)+IF(J$4=Inputs!$C$8+ROUND(Inputs!$C$9,0),SUM($C$7:I7)*Inputs!$C$13+J7,0)+IF(J$4&gt;Inputs!$C$8+ROUND(Inputs!$C$9,0),J7,0)</f>
        <v>29092.8</v>
      </c>
      <c r="K11" s="0" t="n">
        <f aca="false">IF(K$4&lt;Inputs!$C$8+ROUND(Inputs!$C$9,0),K7*(Inputs!$C$12+(1-Inputs!$C$12-Inputs!$C$13)*K9)+SUM($C$7:J7)*(1-Inputs!$C$12-Inputs!$C$13)*K8,0)+IF(K$4=Inputs!$C$8+ROUND(Inputs!$C$9,0),SUM($C$7:J7)*Inputs!$C$13+K7,0)+IF(K$4&gt;Inputs!$C$8+ROUND(Inputs!$C$9,0),K7,0)</f>
        <v>30415.2</v>
      </c>
      <c r="L11" s="0" t="n">
        <f aca="false">IF(L$4&lt;Inputs!$C$8+ROUND(Inputs!$C$9,0),L7*(Inputs!$C$12+(1-Inputs!$C$12-Inputs!$C$13)*L9)+SUM($C$7:K7)*(1-Inputs!$C$12-Inputs!$C$13)*L8,0)+IF(L$4=Inputs!$C$8+ROUND(Inputs!$C$9,0),SUM($C$7:K7)*Inputs!$C$13+L7,0)+IF(L$4&gt;Inputs!$C$8+ROUND(Inputs!$C$9,0),L7,0)</f>
        <v>31111.2</v>
      </c>
      <c r="M11" s="0" t="n">
        <f aca="false">IF(M$4&lt;Inputs!$C$8+ROUND(Inputs!$C$9,0),M7*(Inputs!$C$12+(1-Inputs!$C$12-Inputs!$C$13)*M9)+SUM($C$7:L7)*(1-Inputs!$C$12-Inputs!$C$13)*M8,0)+IF(M$4=Inputs!$C$8+ROUND(Inputs!$C$9,0),SUM($C$7:L7)*Inputs!$C$13+M7,0)+IF(M$4&gt;Inputs!$C$8+ROUND(Inputs!$C$9,0),M7,0)</f>
        <v>31180.8</v>
      </c>
      <c r="N11" s="0" t="n">
        <f aca="false">IF(N$4&lt;Inputs!$C$8+ROUND(Inputs!$C$9,0),N7*(Inputs!$C$12+(1-Inputs!$C$12-Inputs!$C$13)*N9)+SUM($C$7:M7)*(1-Inputs!$C$12-Inputs!$C$13)*N8,0)+IF(N$4=Inputs!$C$8+ROUND(Inputs!$C$9,0),SUM($C$7:M7)*Inputs!$C$13+N7,0)+IF(N$4&gt;Inputs!$C$8+ROUND(Inputs!$C$9,0),N7,0)</f>
        <v>114144</v>
      </c>
      <c r="O11" s="0" t="n">
        <f aca="false">IF(O$4&lt;Inputs!$C$8+ROUND(Inputs!$C$9,0),O7*(Inputs!$C$12+(1-Inputs!$C$12-Inputs!$C$13)*O9)+SUM($C$7:N7)*(1-Inputs!$C$12-Inputs!$C$13)*O8,0)+IF(O$4=Inputs!$C$8+ROUND(Inputs!$C$9,0),SUM($C$7:N7)*Inputs!$C$13+O7,0)+IF(O$4&gt;Inputs!$C$8+ROUND(Inputs!$C$9,0),O7,0)</f>
        <v>0</v>
      </c>
      <c r="P11" s="0" t="n">
        <f aca="false">IF(P$4&lt;Inputs!$C$8+ROUND(Inputs!$C$9,0),P7*(Inputs!$C$12+(1-Inputs!$C$12-Inputs!$C$13)*P9)+SUM($C$7:O7)*(1-Inputs!$C$12-Inputs!$C$13)*P8,0)+IF(P$4=Inputs!$C$8+ROUND(Inputs!$C$9,0),SUM($C$7:O7)*Inputs!$C$13+P7,0)+IF(P$4&gt;Inputs!$C$8+ROUND(Inputs!$C$9,0),P7,0)</f>
        <v>0</v>
      </c>
      <c r="Q11" s="0" t="n">
        <f aca="false">IF(Q$4&lt;Inputs!$C$8+ROUND(Inputs!$C$9,0),Q7*(Inputs!$C$12+(1-Inputs!$C$12-Inputs!$C$13)*Q9)+SUM($C$7:P7)*(1-Inputs!$C$12-Inputs!$C$13)*Q8,0)+IF(Q$4=Inputs!$C$8+ROUND(Inputs!$C$9,0),SUM($C$7:P7)*Inputs!$C$13+Q7,0)+IF(Q$4&gt;Inputs!$C$8+ROUND(Inputs!$C$9,0),Q7,0)</f>
        <v>0</v>
      </c>
      <c r="R11" s="0" t="n">
        <f aca="false">IF(R$4&lt;Inputs!$C$8+ROUND(Inputs!$C$9,0),R7*(Inputs!$C$12+(1-Inputs!$C$12-Inputs!$C$13)*R9)+SUM($C$7:Q7)*(1-Inputs!$C$12-Inputs!$C$13)*R8,0)+IF(R$4=Inputs!$C$8+ROUND(Inputs!$C$9,0),SUM($C$7:Q7)*Inputs!$C$13+R7,0)+IF(R$4&gt;Inputs!$C$8+ROUND(Inputs!$C$9,0),R7,0)</f>
        <v>0</v>
      </c>
      <c r="S11" s="0" t="n">
        <f aca="false">IF(S$4&lt;Inputs!$C$8+ROUND(Inputs!$C$9,0),S7*(Inputs!$C$12+(1-Inputs!$C$12-Inputs!$C$13)*S9)+SUM($C$7:R7)*(1-Inputs!$C$12-Inputs!$C$13)*S8,0)+IF(S$4=Inputs!$C$8+ROUND(Inputs!$C$9,0),SUM($C$7:R7)*Inputs!$C$13+S7,0)+IF(S$4&gt;Inputs!$C$8+ROUND(Inputs!$C$9,0),S7,0)</f>
        <v>0</v>
      </c>
    </row>
    <row r="12" customFormat="false" ht="15" hidden="false" customHeight="false" outlineLevel="0" collapsed="false">
      <c r="B12" s="0" t="s">
        <v>35</v>
      </c>
      <c r="C12" s="0" t="n">
        <f aca="false">0+C11-C13</f>
        <v>0</v>
      </c>
      <c r="D12" s="0" t="n">
        <f aca="false">C12+D11-D13</f>
        <v>7516.8</v>
      </c>
      <c r="E12" s="0" t="n">
        <f aca="false">D12+E11-E13</f>
        <v>18374.4</v>
      </c>
      <c r="F12" s="0" t="n">
        <f aca="false">E12+F11-F13</f>
        <v>28647.36</v>
      </c>
      <c r="G12" s="0" t="n">
        <f aca="false">F12+G11-G13</f>
        <v>36915.84</v>
      </c>
      <c r="H12" s="0" t="n">
        <f aca="false">G12+H11-H13</f>
        <v>43152</v>
      </c>
      <c r="I12" s="0" t="n">
        <f aca="false">H12+I11-I13</f>
        <v>44822.4</v>
      </c>
      <c r="J12" s="0" t="n">
        <f aca="false">I12+J11-J13</f>
        <v>42344.64</v>
      </c>
      <c r="K12" s="0" t="n">
        <f aca="false">J12+K11-K13</f>
        <v>34312.8</v>
      </c>
      <c r="L12" s="0" t="n">
        <f aca="false">K12+L11-L13</f>
        <v>20267.52</v>
      </c>
      <c r="M12" s="0" t="n">
        <f aca="false">L12+M11-M13</f>
        <v>0</v>
      </c>
      <c r="N12" s="0" t="n">
        <f aca="false">M12+N11-N13</f>
        <v>0</v>
      </c>
      <c r="O12" s="0" t="n">
        <f aca="false">N12+O11-O13</f>
        <v>0</v>
      </c>
      <c r="P12" s="0" t="n">
        <f aca="false">O12+P11-P13</f>
        <v>0</v>
      </c>
      <c r="Q12" s="0" t="n">
        <f aca="false">P12+Q11-Q13</f>
        <v>0</v>
      </c>
      <c r="R12" s="0" t="n">
        <f aca="false">Q12+R11-R13</f>
        <v>0</v>
      </c>
      <c r="S12" s="0" t="n">
        <f aca="false">R12+S11-S13</f>
        <v>0</v>
      </c>
    </row>
    <row r="13" customFormat="false" ht="15" hidden="false" customHeight="false" outlineLevel="0" collapsed="false">
      <c r="B13" s="0" t="s">
        <v>36</v>
      </c>
      <c r="C13" s="0" t="n">
        <f aca="false">0</f>
        <v>0</v>
      </c>
      <c r="D13" s="0" t="n">
        <f aca="false">IF(D$4&gt;=Inputs!$C$8+ROUND(Inputs!$C$9,0),C12+D11,MIN(C12+D11,MAX(0,D9*SUM($C$11:D11)-SUM($C$13:C13))))</f>
        <v>835.2</v>
      </c>
      <c r="E13" s="0" t="n">
        <f aca="false">IF(E$4&gt;=Inputs!$C$8+ROUND(Inputs!$C$9,0),D12+E11,MIN(D12+E11,MAX(0,E9*SUM($C$11:E11)-SUM($C$13:D13))))</f>
        <v>3758.4</v>
      </c>
      <c r="F13" s="0" t="n">
        <f aca="false">IF(F$4&gt;=Inputs!$C$8+ROUND(Inputs!$C$9,0),E12+F11,MIN(E12+F11,MAX(0,F9*SUM($C$11:F11)-SUM($C$13:E13))))</f>
        <v>7683.84</v>
      </c>
      <c r="G13" s="0" t="n">
        <f aca="false">IF(G$4&gt;=Inputs!$C$8+ROUND(Inputs!$C$9,0),F12+G11,MIN(F12+G11,MAX(0,G9*SUM($C$11:G11)-SUM($C$13:F13))))</f>
        <v>12333.12</v>
      </c>
      <c r="H13" s="0" t="n">
        <f aca="false">IF(H$4&gt;=Inputs!$C$8+ROUND(Inputs!$C$9,0),G12+H11,MIN(G12+H11,MAX(0,H9*SUM($C$11:H11)-SUM($C$13:G13))))</f>
        <v>18541.44</v>
      </c>
      <c r="I13" s="0" t="n">
        <f aca="false">IF(I$4&gt;=Inputs!$C$8+ROUND(Inputs!$C$9,0),H12+I11,MIN(H12+I11,MAX(0,I9*SUM($C$11:I11)-SUM($C$13:H13))))</f>
        <v>24081.6</v>
      </c>
      <c r="J13" s="0" t="n">
        <f aca="false">IF(J$4&gt;=Inputs!$C$8+ROUND(Inputs!$C$9,0),I12+J11,MIN(I12+J11,MAX(0,J9*SUM($C$11:J11)-SUM($C$13:I13))))</f>
        <v>31570.56</v>
      </c>
      <c r="K13" s="0" t="n">
        <f aca="false">IF(K$4&gt;=Inputs!$C$8+ROUND(Inputs!$C$9,0),J12+K11,MIN(J12+K11,MAX(0,K9*SUM($C$11:K11)-SUM($C$13:J13))))</f>
        <v>38447.04</v>
      </c>
      <c r="L13" s="0" t="n">
        <f aca="false">IF(L$4&gt;=Inputs!$C$8+ROUND(Inputs!$C$9,0),K12+L11,MIN(K12+L11,MAX(0,L9*SUM($C$11:L11)-SUM($C$13:K13))))</f>
        <v>45156.48</v>
      </c>
      <c r="M13" s="0" t="n">
        <f aca="false">IF(M$4&gt;=Inputs!$C$8+ROUND(Inputs!$C$9,0),L12+M11,MIN(L12+M11,MAX(0,M9*SUM($C$11:M11)-SUM($C$13:L13))))</f>
        <v>51448.32</v>
      </c>
      <c r="N13" s="0" t="n">
        <f aca="false">IF(N$4&gt;=Inputs!$C$8+ROUND(Inputs!$C$9,0),M12+N11,MIN(M12+N11,MAX(0,N9*SUM($C$11:N11)-SUM($C$13:M13))))</f>
        <v>114144</v>
      </c>
      <c r="O13" s="0" t="n">
        <f aca="false">IF(O$4&gt;=Inputs!$C$8+ROUND(Inputs!$C$9,0),N12+O11,MIN(N12+O11,MAX(0,O9*SUM($C$11:O11)-SUM($C$13:N13))))</f>
        <v>0</v>
      </c>
      <c r="P13" s="0" t="n">
        <f aca="false">IF(P$4&gt;=Inputs!$C$8+ROUND(Inputs!$C$9,0),O12+P11,MIN(O12+P11,MAX(0,P9*SUM($C$11:P11)-SUM($C$13:O13))))</f>
        <v>0</v>
      </c>
      <c r="Q13" s="0" t="n">
        <f aca="false">IF(Q$4&gt;=Inputs!$C$8+ROUND(Inputs!$C$9,0),P12+Q11,MIN(P12+Q11,MAX(0,Q9*SUM($C$11:Q11)-SUM($C$13:P13))))</f>
        <v>0</v>
      </c>
      <c r="R13" s="0" t="n">
        <f aca="false">IF(R$4&gt;=Inputs!$C$8+ROUND(Inputs!$C$9,0),Q12+R11,MIN(Q12+R11,MAX(0,R9*SUM($C$11:R11)-SUM($C$13:Q13))))</f>
        <v>0</v>
      </c>
      <c r="S13" s="0" t="n">
        <f aca="false">IF(S$4&gt;=Inputs!$C$8+ROUND(Inputs!$C$9,0),R12+S11,MIN(R12+S11,MAX(0,S9*SUM($C$11:S11)-SUM($C$13:R13))))</f>
        <v>0</v>
      </c>
    </row>
    <row r="15" customFormat="false" ht="15" hidden="false" customHeight="false" outlineLevel="0" collapsed="false">
      <c r="B15" s="0" t="s">
        <v>37</v>
      </c>
      <c r="C15" s="0" t="n">
        <f aca="false">IF(C$4=0,-Inputs!$C$6,0)</f>
        <v>-62000</v>
      </c>
      <c r="D15" s="0" t="n">
        <f aca="false">IF(D$4=0,-Inputs!$C$6,0)</f>
        <v>0</v>
      </c>
      <c r="E15" s="0" t="n">
        <f aca="false">IF(E$4=0,-Inputs!$C$6,0)</f>
        <v>0</v>
      </c>
      <c r="F15" s="0" t="n">
        <f aca="false">IF(F$4=0,-Inputs!$C$6,0)</f>
        <v>0</v>
      </c>
      <c r="G15" s="0" t="n">
        <f aca="false">IF(G$4=0,-Inputs!$C$6,0)</f>
        <v>0</v>
      </c>
      <c r="H15" s="0" t="n">
        <f aca="false">IF(H$4=0,-Inputs!$C$6,0)</f>
        <v>0</v>
      </c>
      <c r="I15" s="0" t="n">
        <f aca="false">IF(I$4=0,-Inputs!$C$6,0)</f>
        <v>0</v>
      </c>
      <c r="J15" s="0" t="n">
        <f aca="false">IF(J$4=0,-Inputs!$C$6,0)</f>
        <v>0</v>
      </c>
      <c r="K15" s="0" t="n">
        <f aca="false">IF(K$4=0,-Inputs!$C$6,0)</f>
        <v>0</v>
      </c>
      <c r="L15" s="0" t="n">
        <f aca="false">IF(L$4=0,-Inputs!$C$6,0)</f>
        <v>0</v>
      </c>
      <c r="M15" s="0" t="n">
        <f aca="false">IF(M$4=0,-Inputs!$C$6,0)</f>
        <v>0</v>
      </c>
      <c r="N15" s="0" t="n">
        <f aca="false">IF(N$4=0,-Inputs!$C$6,0)</f>
        <v>0</v>
      </c>
      <c r="O15" s="0" t="n">
        <f aca="false">IF(O$4=0,-Inputs!$C$6,0)</f>
        <v>0</v>
      </c>
      <c r="P15" s="0" t="n">
        <f aca="false">IF(P$4=0,-Inputs!$C$6,0)</f>
        <v>0</v>
      </c>
      <c r="Q15" s="0" t="n">
        <f aca="false">IF(Q$4=0,-Inputs!$C$6,0)</f>
        <v>0</v>
      </c>
      <c r="R15" s="0" t="n">
        <f aca="false">IF(R$4=0,-Inputs!$C$6,0)</f>
        <v>0</v>
      </c>
      <c r="S15" s="0" t="n">
        <f aca="false">IF(S$4=0,-Inputs!$C$6,0)</f>
        <v>0</v>
      </c>
    </row>
    <row r="16" customFormat="false" ht="15" hidden="false" customHeight="false" outlineLevel="0" collapsed="false">
      <c r="B16" s="0" t="s">
        <v>38</v>
      </c>
      <c r="C16" s="0" t="n">
        <f aca="false">-Inputs!$C$7*C8</f>
        <v>-0</v>
      </c>
      <c r="D16" s="0" t="n">
        <f aca="false">-Inputs!$C$7*D8</f>
        <v>-16800</v>
      </c>
      <c r="E16" s="0" t="n">
        <f aca="false">-Inputs!$C$7*E8</f>
        <v>-16800</v>
      </c>
      <c r="F16" s="0" t="n">
        <f aca="false">-Inputs!$C$7*F8</f>
        <v>-16800</v>
      </c>
      <c r="G16" s="0" t="n">
        <f aca="false">-Inputs!$C$7*G8</f>
        <v>-16800</v>
      </c>
      <c r="H16" s="0" t="n">
        <f aca="false">-Inputs!$C$7*H8</f>
        <v>-16800</v>
      </c>
      <c r="I16" s="0" t="n">
        <f aca="false">-Inputs!$C$7*I8</f>
        <v>-16800</v>
      </c>
      <c r="J16" s="0" t="n">
        <f aca="false">-Inputs!$C$7*J8</f>
        <v>-16800</v>
      </c>
      <c r="K16" s="0" t="n">
        <f aca="false">-Inputs!$C$7*K8</f>
        <v>-16800</v>
      </c>
      <c r="L16" s="0" t="n">
        <f aca="false">-Inputs!$C$7*L8</f>
        <v>-16800</v>
      </c>
      <c r="M16" s="0" t="n">
        <f aca="false">-Inputs!$C$7*M8</f>
        <v>-16800</v>
      </c>
      <c r="N16" s="0" t="n">
        <f aca="false">-Inputs!$C$7*N8</f>
        <v>-0</v>
      </c>
      <c r="O16" s="0" t="n">
        <f aca="false">-Inputs!$C$7*O8</f>
        <v>-0</v>
      </c>
      <c r="P16" s="0" t="n">
        <f aca="false">-Inputs!$C$7*P8</f>
        <v>-0</v>
      </c>
      <c r="Q16" s="0" t="n">
        <f aca="false">-Inputs!$C$7*Q8</f>
        <v>-0</v>
      </c>
      <c r="R16" s="0" t="n">
        <f aca="false">-Inputs!$C$7*R8</f>
        <v>-0</v>
      </c>
      <c r="S16" s="0" t="n">
        <f aca="false">-Inputs!$C$7*S8</f>
        <v>-0</v>
      </c>
    </row>
    <row r="17" customFormat="false" ht="15" hidden="false" customHeight="false" outlineLevel="0" collapsed="false">
      <c r="B17" s="0" t="s">
        <v>39</v>
      </c>
      <c r="C17" s="0" t="n">
        <f aca="false">C16*Inputs!$C$10</f>
        <v>-0</v>
      </c>
      <c r="D17" s="0" t="n">
        <f aca="false">D16*Inputs!$C$10</f>
        <v>-2016</v>
      </c>
      <c r="E17" s="0" t="n">
        <f aca="false">E16*Inputs!$C$10</f>
        <v>-2016</v>
      </c>
      <c r="F17" s="0" t="n">
        <f aca="false">F16*Inputs!$C$10</f>
        <v>-2016</v>
      </c>
      <c r="G17" s="0" t="n">
        <f aca="false">G16*Inputs!$C$10</f>
        <v>-2016</v>
      </c>
      <c r="H17" s="0" t="n">
        <f aca="false">H16*Inputs!$C$10</f>
        <v>-2016</v>
      </c>
      <c r="I17" s="0" t="n">
        <f aca="false">I16*Inputs!$C$10</f>
        <v>-2016</v>
      </c>
      <c r="J17" s="0" t="n">
        <f aca="false">J16*Inputs!$C$10</f>
        <v>-2016</v>
      </c>
      <c r="K17" s="0" t="n">
        <f aca="false">K16*Inputs!$C$10</f>
        <v>-2016</v>
      </c>
      <c r="L17" s="0" t="n">
        <f aca="false">L16*Inputs!$C$10</f>
        <v>-2016</v>
      </c>
      <c r="M17" s="0" t="n">
        <f aca="false">M16*Inputs!$C$10</f>
        <v>-2016</v>
      </c>
      <c r="N17" s="0" t="n">
        <f aca="false">N16*Inputs!$C$10</f>
        <v>-0</v>
      </c>
      <c r="O17" s="0" t="n">
        <f aca="false">O16*Inputs!$C$10</f>
        <v>-0</v>
      </c>
      <c r="P17" s="0" t="n">
        <f aca="false">P16*Inputs!$C$10</f>
        <v>-0</v>
      </c>
      <c r="Q17" s="0" t="n">
        <f aca="false">Q16*Inputs!$C$10</f>
        <v>-0</v>
      </c>
      <c r="R17" s="0" t="n">
        <f aca="false">R16*Inputs!$C$10</f>
        <v>-0</v>
      </c>
      <c r="S17" s="0" t="n">
        <f aca="false">S16*Inputs!$C$10</f>
        <v>-0</v>
      </c>
    </row>
    <row r="18" customFormat="false" ht="15" hidden="false" customHeight="false" outlineLevel="0" collapsed="false">
      <c r="B18" s="0" t="s">
        <v>40</v>
      </c>
      <c r="C18" s="0" t="n">
        <f aca="false">-C7*Inputs!$C$11</f>
        <v>-0</v>
      </c>
      <c r="D18" s="0" t="n">
        <f aca="false">-D7*Inputs!$C$11</f>
        <v>-1566</v>
      </c>
      <c r="E18" s="0" t="n">
        <f aca="false">-E7*Inputs!$C$11</f>
        <v>-1566</v>
      </c>
      <c r="F18" s="0" t="n">
        <f aca="false">-F7*Inputs!$C$11</f>
        <v>-1252.8</v>
      </c>
      <c r="G18" s="0" t="n">
        <f aca="false">-G7*Inputs!$C$11</f>
        <v>-1044</v>
      </c>
      <c r="H18" s="0" t="n">
        <f aca="false">-H7*Inputs!$C$11</f>
        <v>-1044</v>
      </c>
      <c r="I18" s="0" t="n">
        <f aca="false">-I7*Inputs!$C$11</f>
        <v>-835.2</v>
      </c>
      <c r="J18" s="0" t="n">
        <f aca="false">-J7*Inputs!$C$11</f>
        <v>-835.2</v>
      </c>
      <c r="K18" s="0" t="n">
        <f aca="false">-K7*Inputs!$C$11</f>
        <v>-730.8</v>
      </c>
      <c r="L18" s="0" t="n">
        <f aca="false">-L7*Inputs!$C$11</f>
        <v>-626.4</v>
      </c>
      <c r="M18" s="0" t="n">
        <f aca="false">-M7*Inputs!$C$11</f>
        <v>-522</v>
      </c>
      <c r="N18" s="0" t="n">
        <f aca="false">-N7*Inputs!$C$11</f>
        <v>-417.6</v>
      </c>
      <c r="O18" s="0" t="n">
        <f aca="false">-O7*Inputs!$C$11</f>
        <v>-0</v>
      </c>
      <c r="P18" s="0" t="n">
        <f aca="false">-P7*Inputs!$C$11</f>
        <v>-0</v>
      </c>
      <c r="Q18" s="0" t="n">
        <f aca="false">-Q7*Inputs!$C$11</f>
        <v>-0</v>
      </c>
      <c r="R18" s="0" t="n">
        <f aca="false">-R7*Inputs!$C$11</f>
        <v>-0</v>
      </c>
      <c r="S18" s="0" t="n">
        <f aca="false">-S7*Inputs!$C$11</f>
        <v>-0</v>
      </c>
    </row>
    <row r="19" customFormat="false" ht="15" hidden="false" customHeight="false" outlineLevel="0" collapsed="false">
      <c r="B19" s="0" t="s">
        <v>41</v>
      </c>
      <c r="C19" s="0" t="n">
        <f aca="false">SUM(C15:C18)</f>
        <v>-62000</v>
      </c>
      <c r="D19" s="0" t="n">
        <f aca="false">SUM(D15:D18)</f>
        <v>-20382</v>
      </c>
      <c r="E19" s="0" t="n">
        <f aca="false">SUM(E15:E18)</f>
        <v>-20382</v>
      </c>
      <c r="F19" s="0" t="n">
        <f aca="false">SUM(F15:F18)</f>
        <v>-20068.8</v>
      </c>
      <c r="G19" s="0" t="n">
        <f aca="false">SUM(G15:G18)</f>
        <v>-19860</v>
      </c>
      <c r="H19" s="0" t="n">
        <f aca="false">SUM(H15:H18)</f>
        <v>-19860</v>
      </c>
      <c r="I19" s="0" t="n">
        <f aca="false">SUM(I15:I18)</f>
        <v>-19651.2</v>
      </c>
      <c r="J19" s="0" t="n">
        <f aca="false">SUM(J15:J18)</f>
        <v>-19651.2</v>
      </c>
      <c r="K19" s="0" t="n">
        <f aca="false">SUM(K15:K18)</f>
        <v>-19546.8</v>
      </c>
      <c r="L19" s="0" t="n">
        <f aca="false">SUM(L15:L18)</f>
        <v>-19442.4</v>
      </c>
      <c r="M19" s="0" t="n">
        <f aca="false">SUM(M15:M18)</f>
        <v>-19338</v>
      </c>
      <c r="N19" s="0" t="n">
        <f aca="false">SUM(N15:N18)</f>
        <v>-417.6</v>
      </c>
      <c r="O19" s="0" t="n">
        <f aca="false">SUM(O15:O18)</f>
        <v>0</v>
      </c>
      <c r="P19" s="0" t="n">
        <f aca="false">SUM(P15:P18)</f>
        <v>0</v>
      </c>
      <c r="Q19" s="0" t="n">
        <f aca="false">SUM(Q15:Q18)</f>
        <v>0</v>
      </c>
      <c r="R19" s="0" t="n">
        <f aca="false">SUM(R15:R18)</f>
        <v>0</v>
      </c>
      <c r="S19" s="0" t="n">
        <f aca="false">SUM(S15:S18)</f>
        <v>0</v>
      </c>
    </row>
    <row r="21" customFormat="false" ht="15" hidden="false" customHeight="false" outlineLevel="0" collapsed="false">
      <c r="B21" s="0" t="s">
        <v>42</v>
      </c>
      <c r="C21" s="0" t="n">
        <f aca="false">C11+C19</f>
        <v>-62000</v>
      </c>
      <c r="D21" s="0" t="n">
        <f aca="false">D11+D19</f>
        <v>-12030</v>
      </c>
      <c r="E21" s="0" t="n">
        <f aca="false">E11+E19</f>
        <v>-5766</v>
      </c>
      <c r="F21" s="0" t="n">
        <f aca="false">F11+F19</f>
        <v>-2112</v>
      </c>
      <c r="G21" s="0" t="n">
        <f aca="false">G11+G19</f>
        <v>741.600000000006</v>
      </c>
      <c r="H21" s="0" t="n">
        <f aca="false">H11+H19</f>
        <v>4917.6</v>
      </c>
      <c r="I21" s="0" t="n">
        <f aca="false">I11+I19</f>
        <v>6100.8</v>
      </c>
      <c r="J21" s="0" t="n">
        <f aca="false">J11+J19</f>
        <v>9441.60000000001</v>
      </c>
      <c r="K21" s="0" t="n">
        <f aca="false">K11+K19</f>
        <v>10868.4</v>
      </c>
      <c r="L21" s="0" t="n">
        <f aca="false">L11+L19</f>
        <v>11668.8</v>
      </c>
      <c r="M21" s="0" t="n">
        <f aca="false">M11+M19</f>
        <v>11842.8</v>
      </c>
      <c r="N21" s="0" t="n">
        <f aca="false">N11+N19</f>
        <v>113726.4</v>
      </c>
      <c r="O21" s="0" t="n">
        <f aca="false">O11+O19</f>
        <v>0</v>
      </c>
      <c r="P21" s="0" t="n">
        <f aca="false">P11+P19</f>
        <v>0</v>
      </c>
      <c r="Q21" s="0" t="n">
        <f aca="false">Q11+Q19</f>
        <v>0</v>
      </c>
      <c r="R21" s="0" t="n">
        <f aca="false">R11+R19</f>
        <v>0</v>
      </c>
      <c r="S21" s="0" t="n">
        <f aca="false">S11+S19</f>
        <v>0</v>
      </c>
    </row>
    <row r="23" customFormat="false" ht="15" hidden="false" customHeight="false" outlineLevel="0" collapsed="false">
      <c r="B23" s="0" t="s">
        <v>43</v>
      </c>
      <c r="C23" s="0" t="n">
        <f aca="false">-MIN(0,C13+C19)</f>
        <v>62000</v>
      </c>
      <c r="D23" s="0" t="n">
        <f aca="false">-MIN(0,D13+D19)</f>
        <v>19546.8</v>
      </c>
      <c r="E23" s="0" t="n">
        <f aca="false">-MIN(0,E13+E19)</f>
        <v>16623.6</v>
      </c>
      <c r="F23" s="0" t="n">
        <f aca="false">-MIN(0,F13+F19)</f>
        <v>12384.96</v>
      </c>
      <c r="G23" s="0" t="n">
        <f aca="false">-MIN(0,G13+G19)</f>
        <v>7526.88</v>
      </c>
      <c r="H23" s="0" t="n">
        <f aca="false">-MIN(0,H13+H19)</f>
        <v>1318.56</v>
      </c>
      <c r="I23" s="0" t="n">
        <f aca="false">-MIN(0,I13+I19)</f>
        <v>-0</v>
      </c>
      <c r="J23" s="0" t="n">
        <f aca="false">-MIN(0,J13+J19)</f>
        <v>-0</v>
      </c>
      <c r="K23" s="0" t="n">
        <f aca="false">-MIN(0,K13+K19)</f>
        <v>-0</v>
      </c>
      <c r="L23" s="0" t="n">
        <f aca="false">-MIN(0,L13+L19)</f>
        <v>-0</v>
      </c>
      <c r="M23" s="0" t="n">
        <f aca="false">-MIN(0,M13+M19)</f>
        <v>-0</v>
      </c>
      <c r="N23" s="0" t="n">
        <f aca="false">-MIN(0,N13+N19)</f>
        <v>-0</v>
      </c>
      <c r="O23" s="0" t="n">
        <f aca="false">-MIN(0,O13+O19)</f>
        <v>-0</v>
      </c>
      <c r="P23" s="0" t="n">
        <f aca="false">-MIN(0,P13+P19)</f>
        <v>-0</v>
      </c>
      <c r="Q23" s="0" t="n">
        <f aca="false">-MIN(0,Q13+Q19)</f>
        <v>-0</v>
      </c>
      <c r="R23" s="0" t="n">
        <f aca="false">-MIN(0,R13+R19)</f>
        <v>-0</v>
      </c>
      <c r="S23" s="0" t="n">
        <f aca="false">-MIN(0,S13+S19)</f>
        <v>-0</v>
      </c>
    </row>
    <row r="24" customFormat="false" ht="15" hidden="false" customHeight="false" outlineLevel="0" collapsed="false">
      <c r="B24" s="0" t="s">
        <v>44</v>
      </c>
      <c r="C24" s="0" t="n">
        <f aca="false">IF(C$4=0,C23,0)</f>
        <v>62000</v>
      </c>
      <c r="D24" s="0" t="n">
        <f aca="false">IF(D$4=0,D23,0)</f>
        <v>0</v>
      </c>
      <c r="E24" s="0" t="n">
        <f aca="false">IF(E$4=0,E23,0)</f>
        <v>0</v>
      </c>
      <c r="F24" s="0" t="n">
        <f aca="false">IF(F$4=0,F23,0)</f>
        <v>0</v>
      </c>
      <c r="G24" s="0" t="n">
        <f aca="false">IF(G$4=0,G23,0)</f>
        <v>0</v>
      </c>
      <c r="H24" s="0" t="n">
        <f aca="false">IF(H$4=0,H23,0)</f>
        <v>0</v>
      </c>
      <c r="I24" s="0" t="n">
        <f aca="false">IF(I$4=0,I23,0)</f>
        <v>0</v>
      </c>
      <c r="J24" s="0" t="n">
        <f aca="false">IF(J$4=0,J23,0)</f>
        <v>0</v>
      </c>
      <c r="K24" s="0" t="n">
        <f aca="false">IF(K$4=0,K23,0)</f>
        <v>0</v>
      </c>
      <c r="L24" s="0" t="n">
        <f aca="false">IF(L$4=0,L23,0)</f>
        <v>0</v>
      </c>
      <c r="M24" s="0" t="n">
        <f aca="false">IF(M$4=0,M23,0)</f>
        <v>0</v>
      </c>
      <c r="N24" s="0" t="n">
        <f aca="false">IF(N$4=0,N23,0)</f>
        <v>0</v>
      </c>
      <c r="O24" s="0" t="n">
        <f aca="false">IF(O$4=0,O23,0)</f>
        <v>0</v>
      </c>
      <c r="P24" s="0" t="n">
        <f aca="false">IF(P$4=0,P23,0)</f>
        <v>0</v>
      </c>
      <c r="Q24" s="0" t="n">
        <f aca="false">IF(Q$4=0,Q23,0)</f>
        <v>0</v>
      </c>
      <c r="R24" s="0" t="n">
        <f aca="false">IF(R$4=0,R23,0)</f>
        <v>0</v>
      </c>
      <c r="S24" s="0" t="n">
        <f aca="false">IF(S$4=0,S23,0)</f>
        <v>0</v>
      </c>
    </row>
    <row r="25" customFormat="false" ht="15" hidden="false" customHeight="false" outlineLevel="0" collapsed="false">
      <c r="B25" s="0" t="s">
        <v>45</v>
      </c>
      <c r="C25" s="0" t="n">
        <f aca="false">IF(C$4=0,0,C23-C26)</f>
        <v>0</v>
      </c>
      <c r="D25" s="0" t="n">
        <f aca="false">IF(D$4=0,0,D23-D26)</f>
        <v>19546.8</v>
      </c>
      <c r="E25" s="0" t="n">
        <f aca="false">IF(E$4=0,0,E23-E26)</f>
        <v>17014.536</v>
      </c>
      <c r="F25" s="0" t="n">
        <f aca="false">IF(F$4=0,0,F23-F26)</f>
        <v>13116.18672</v>
      </c>
      <c r="G25" s="0" t="n">
        <f aca="false">IF(G$4=0,0,G23-G26)</f>
        <v>8520.4304544</v>
      </c>
      <c r="H25" s="0" t="n">
        <f aca="false">IF(H$4=0,0,H23-H26)</f>
        <v>2482.519063488</v>
      </c>
      <c r="I25" s="0" t="n">
        <f aca="false">IF(I$4=0,0,I23-I26)</f>
        <v>1213.60944475776</v>
      </c>
      <c r="J25" s="0" t="n">
        <f aca="false">IF(J$4=0,0,J23-J26)</f>
        <v>1173.72786396478</v>
      </c>
      <c r="K25" s="0" t="n">
        <f aca="false">IF(K$4=0,0,K23-K26)</f>
        <v>982.46583770297</v>
      </c>
      <c r="L25" s="0" t="n">
        <f aca="false">IF(L$4=0,0,L23-L26)</f>
        <v>643.907041086743</v>
      </c>
      <c r="M25" s="0" t="n">
        <f aca="false">IF(M$4=0,0,M23-M26)</f>
        <v>155.478308786376</v>
      </c>
      <c r="N25" s="0" t="n">
        <f aca="false">IF(N$4=0,0,N23-N26)</f>
        <v>0</v>
      </c>
      <c r="O25" s="0" t="n">
        <f aca="false">IF(O$4=0,0,O23-O26)</f>
        <v>0</v>
      </c>
      <c r="P25" s="0" t="n">
        <f aca="false">IF(P$4=0,0,P23-P26)</f>
        <v>0</v>
      </c>
      <c r="Q25" s="0" t="n">
        <f aca="false">IF(Q$4=0,0,Q23-Q26)</f>
        <v>0</v>
      </c>
      <c r="R25" s="0" t="n">
        <f aca="false">IF(R$4=0,0,R23-R26)</f>
        <v>0</v>
      </c>
      <c r="S25" s="0" t="n">
        <f aca="false">IF(S$4=0,0,S23-S26)</f>
        <v>0</v>
      </c>
    </row>
    <row r="26" customFormat="false" ht="15" hidden="false" customHeight="false" outlineLevel="0" collapsed="false">
      <c r="B26" s="0" t="s">
        <v>46</v>
      </c>
      <c r="C26" s="0" t="n">
        <f aca="false">0</f>
        <v>0</v>
      </c>
      <c r="D26" s="0" t="n">
        <f aca="false">-C29*(Inputs!$C$15+Inputs!$C$16)/4</f>
        <v>-0</v>
      </c>
      <c r="E26" s="0" t="n">
        <f aca="false">-D29*(Inputs!$C$15+Inputs!$C$16)/4</f>
        <v>-390.936</v>
      </c>
      <c r="F26" s="0" t="n">
        <f aca="false">-E29*(Inputs!$C$15+Inputs!$C$16)/4</f>
        <v>-731.22672</v>
      </c>
      <c r="G26" s="0" t="n">
        <f aca="false">-F29*(Inputs!$C$15+Inputs!$C$16)/4</f>
        <v>-993.5504544</v>
      </c>
      <c r="H26" s="0" t="n">
        <f aca="false">-G29*(Inputs!$C$15+Inputs!$C$16)/4</f>
        <v>-1163.959063488</v>
      </c>
      <c r="I26" s="0" t="n">
        <f aca="false">-H29*(Inputs!$C$15+Inputs!$C$16)/4</f>
        <v>-1213.60944475776</v>
      </c>
      <c r="J26" s="0" t="n">
        <f aca="false">-I29*(Inputs!$C$15+Inputs!$C$16)/4</f>
        <v>-1173.72786396478</v>
      </c>
      <c r="K26" s="0" t="n">
        <f aca="false">-J29*(Inputs!$C$15+Inputs!$C$16)/4</f>
        <v>-982.46583770297</v>
      </c>
      <c r="L26" s="0" t="n">
        <f aca="false">-K29*(Inputs!$C$15+Inputs!$C$16)/4</f>
        <v>-643.907041086743</v>
      </c>
      <c r="M26" s="0" t="n">
        <f aca="false">-L29*(Inputs!$C$15+Inputs!$C$16)/4</f>
        <v>-155.478308786376</v>
      </c>
      <c r="N26" s="0" t="n">
        <f aca="false">-M29*(Inputs!$C$15+Inputs!$C$16)/4</f>
        <v>-0</v>
      </c>
      <c r="O26" s="0" t="n">
        <f aca="false">-N29*(Inputs!$C$15+Inputs!$C$16)/4</f>
        <v>-0</v>
      </c>
      <c r="P26" s="0" t="n">
        <f aca="false">-O29*(Inputs!$C$15+Inputs!$C$16)/4</f>
        <v>-0</v>
      </c>
      <c r="Q26" s="0" t="n">
        <f aca="false">-P29*(Inputs!$C$15+Inputs!$C$16)/4</f>
        <v>-0</v>
      </c>
      <c r="R26" s="0" t="n">
        <f aca="false">-Q29*(Inputs!$C$15+Inputs!$C$16)/4</f>
        <v>-0</v>
      </c>
      <c r="S26" s="0" t="n">
        <f aca="false">-R29*(Inputs!$C$15+Inputs!$C$16)/4</f>
        <v>-0</v>
      </c>
    </row>
    <row r="27" customFormat="false" ht="15" hidden="false" customHeight="false" outlineLevel="0" collapsed="false">
      <c r="B27" s="0" t="s">
        <v>47</v>
      </c>
      <c r="C27" s="0" t="n">
        <f aca="false">-C25*Inputs!$C$17</f>
        <v>-0</v>
      </c>
      <c r="D27" s="0" t="n">
        <f aca="false">-D25*Inputs!$C$17</f>
        <v>-146.601</v>
      </c>
      <c r="E27" s="0" t="n">
        <f aca="false">-E25*Inputs!$C$17</f>
        <v>-127.60902</v>
      </c>
      <c r="F27" s="0" t="n">
        <f aca="false">-F25*Inputs!$C$17</f>
        <v>-98.3714004</v>
      </c>
      <c r="G27" s="0" t="n">
        <f aca="false">-G25*Inputs!$C$17</f>
        <v>-63.903228408</v>
      </c>
      <c r="H27" s="0" t="n">
        <f aca="false">-H25*Inputs!$C$17</f>
        <v>-18.61889297616</v>
      </c>
      <c r="I27" s="0" t="n">
        <f aca="false">-I25*Inputs!$C$17</f>
        <v>-9.1020708356832</v>
      </c>
      <c r="J27" s="0" t="n">
        <f aca="false">-J25*Inputs!$C$17</f>
        <v>-8.80295897973588</v>
      </c>
      <c r="K27" s="0" t="n">
        <f aca="false">-K25*Inputs!$C$17</f>
        <v>-7.36849378277227</v>
      </c>
      <c r="L27" s="0" t="n">
        <f aca="false">-L25*Inputs!$C$17</f>
        <v>-4.82930280815058</v>
      </c>
      <c r="M27" s="0" t="n">
        <f aca="false">-M25*Inputs!$C$17</f>
        <v>-1.16608731589782</v>
      </c>
      <c r="N27" s="0" t="n">
        <f aca="false">-N25*Inputs!$C$17</f>
        <v>-0</v>
      </c>
      <c r="O27" s="0" t="n">
        <f aca="false">-O25*Inputs!$C$17</f>
        <v>-0</v>
      </c>
      <c r="P27" s="0" t="n">
        <f aca="false">-P25*Inputs!$C$17</f>
        <v>-0</v>
      </c>
      <c r="Q27" s="0" t="n">
        <f aca="false">-Q25*Inputs!$C$17</f>
        <v>-0</v>
      </c>
      <c r="R27" s="0" t="n">
        <f aca="false">-R25*Inputs!$C$17</f>
        <v>-0</v>
      </c>
      <c r="S27" s="0" t="n">
        <f aca="false">-S25*Inputs!$C$17</f>
        <v>-0</v>
      </c>
    </row>
    <row r="28" customFormat="false" ht="15" hidden="false" customHeight="false" outlineLevel="0" collapsed="false">
      <c r="B28" s="0" t="s">
        <v>48</v>
      </c>
      <c r="C28" s="0" t="n">
        <f aca="false">MIN(0+C25,MAX(0,C13+C19+C26+C27))</f>
        <v>0</v>
      </c>
      <c r="D28" s="0" t="n">
        <f aca="false">MIN(C29+D25,MAX(0,D13+D19+D26+D27))</f>
        <v>0</v>
      </c>
      <c r="E28" s="0" t="n">
        <f aca="false">MIN(D29+E25,MAX(0,E13+E19+E26+E27))</f>
        <v>0</v>
      </c>
      <c r="F28" s="0" t="n">
        <f aca="false">MIN(E29+F25,MAX(0,F13+F19+F26+F27))</f>
        <v>0</v>
      </c>
      <c r="G28" s="0" t="n">
        <f aca="false">MIN(F29+G25,MAX(0,G13+G19+G26+G27))</f>
        <v>0</v>
      </c>
      <c r="H28" s="0" t="n">
        <f aca="false">MIN(G29+H25,MAX(0,H13+H19+H26+H27))</f>
        <v>0</v>
      </c>
      <c r="I28" s="0" t="n">
        <f aca="false">MIN(H29+I25,MAX(0,I13+I19+I26+I27))</f>
        <v>3207.68848440656</v>
      </c>
      <c r="J28" s="0" t="n">
        <f aca="false">MIN(I29+J25,MAX(0,J13+J19+J26+J27))</f>
        <v>10736.8291770555</v>
      </c>
      <c r="K28" s="0" t="n">
        <f aca="false">MIN(J29+K25,MAX(0,K13+K19+K26+K27))</f>
        <v>17910.4056685143</v>
      </c>
      <c r="L28" s="0" t="n">
        <f aca="false">MIN(K29+L25,MAX(0,L13+L19+L26+L27))</f>
        <v>25065.3436561051</v>
      </c>
      <c r="M28" s="0" t="n">
        <f aca="false">MIN(L29+M25,MAX(0,M13+M19+M26+M27))</f>
        <v>7929.39374810517</v>
      </c>
      <c r="N28" s="0" t="n">
        <f aca="false">MIN(M29+N25,MAX(0,N13+N19+N26+N27))</f>
        <v>0</v>
      </c>
      <c r="O28" s="0" t="n">
        <f aca="false">MIN(N29+O25,MAX(0,O13+O19+O26+O27))</f>
        <v>0</v>
      </c>
      <c r="P28" s="0" t="n">
        <f aca="false">MIN(O29+P25,MAX(0,P13+P19+P26+P27))</f>
        <v>0</v>
      </c>
      <c r="Q28" s="0" t="n">
        <f aca="false">MIN(P29+Q25,MAX(0,Q13+Q19+Q26+Q27))</f>
        <v>0</v>
      </c>
      <c r="R28" s="0" t="n">
        <f aca="false">MIN(Q29+R25,MAX(0,R13+R19+R26+R27))</f>
        <v>0</v>
      </c>
      <c r="S28" s="0" t="n">
        <f aca="false">MIN(R29+S25,MAX(0,S13+S19+S26+S27))</f>
        <v>0</v>
      </c>
    </row>
    <row r="29" customFormat="false" ht="15" hidden="false" customHeight="false" outlineLevel="0" collapsed="false">
      <c r="B29" s="0" t="s">
        <v>49</v>
      </c>
      <c r="C29" s="0" t="n">
        <f aca="false">0+C25-C28</f>
        <v>0</v>
      </c>
      <c r="D29" s="0" t="n">
        <f aca="false">C29+D25-D28</f>
        <v>19546.8</v>
      </c>
      <c r="E29" s="0" t="n">
        <f aca="false">D29+E25-E28</f>
        <v>36561.336</v>
      </c>
      <c r="F29" s="0" t="n">
        <f aca="false">E29+F25-F28</f>
        <v>49677.52272</v>
      </c>
      <c r="G29" s="0" t="n">
        <f aca="false">F29+G25-G28</f>
        <v>58197.9531744</v>
      </c>
      <c r="H29" s="0" t="n">
        <f aca="false">G29+H25-H28</f>
        <v>60680.472237888</v>
      </c>
      <c r="I29" s="0" t="n">
        <f aca="false">H29+I25-I28</f>
        <v>58686.3931982392</v>
      </c>
      <c r="J29" s="0" t="n">
        <f aca="false">I29+J25-J28</f>
        <v>49123.2918851485</v>
      </c>
      <c r="K29" s="0" t="n">
        <f aca="false">J29+K25-K28</f>
        <v>32195.3520543372</v>
      </c>
      <c r="L29" s="0" t="n">
        <f aca="false">K29+L25-L28</f>
        <v>7773.9154393188</v>
      </c>
      <c r="M29" s="0" t="n">
        <f aca="false">L29+M25-M28</f>
        <v>0</v>
      </c>
      <c r="N29" s="0" t="n">
        <f aca="false">M29+N25-N28</f>
        <v>0</v>
      </c>
      <c r="O29" s="0" t="n">
        <f aca="false">N29+O25-O28</f>
        <v>0</v>
      </c>
      <c r="P29" s="0" t="n">
        <f aca="false">O29+P25-P28</f>
        <v>0</v>
      </c>
      <c r="Q29" s="0" t="n">
        <f aca="false">P29+Q25-Q28</f>
        <v>0</v>
      </c>
      <c r="R29" s="0" t="n">
        <f aca="false">Q29+R25-R28</f>
        <v>0</v>
      </c>
      <c r="S29" s="0" t="n">
        <f aca="false">R29+S25-S28</f>
        <v>0</v>
      </c>
    </row>
    <row r="31" customFormat="false" ht="15" hidden="false" customHeight="false" outlineLevel="0" collapsed="false">
      <c r="B31" s="0" t="s">
        <v>50</v>
      </c>
      <c r="C31" s="0" t="n">
        <f aca="false">C13+C19+C25+C26+C27-C28+IF(C$4=16,C12,0)</f>
        <v>-62000</v>
      </c>
      <c r="D31" s="0" t="n">
        <f aca="false">D13+D19+D25+D26+D27-D28+IF(D$4=16,D12,0)</f>
        <v>-146.601</v>
      </c>
      <c r="E31" s="0" t="n">
        <f aca="false">E13+E19+E25+E26+E27-E28+IF(E$4=16,E12,0)</f>
        <v>-127.609019999998</v>
      </c>
      <c r="F31" s="0" t="n">
        <f aca="false">F13+F19+F25+F26+F27-F28+IF(F$4=16,F12,0)</f>
        <v>-98.3714004</v>
      </c>
      <c r="G31" s="0" t="n">
        <f aca="false">G13+G19+G25+G26+G27-G28+IF(G$4=16,G12,0)</f>
        <v>-63.903228408</v>
      </c>
      <c r="H31" s="0" t="n">
        <f aca="false">H13+H19+H25+H26+H27-H28+IF(H$4=16,H12,0)</f>
        <v>-18.61889297616</v>
      </c>
      <c r="I31" s="0" t="n">
        <f aca="false">I13+I19+I25+I26+I27-I28+IF(I$4=16,I12,0)</f>
        <v>1213.60944475776</v>
      </c>
      <c r="J31" s="0" t="n">
        <f aca="false">J13+J19+J25+J26+J27-J28+IF(J$4=16,J12,0)</f>
        <v>1173.72786396478</v>
      </c>
      <c r="K31" s="0" t="n">
        <f aca="false">K13+K19+K25+K26+K27-K28+IF(K$4=16,K12,0)</f>
        <v>982.46583770297</v>
      </c>
      <c r="L31" s="0" t="n">
        <f aca="false">L13+L19+L25+L26+L27-L28+IF(L$4=16,L12,0)</f>
        <v>643.907041086743</v>
      </c>
      <c r="M31" s="0" t="n">
        <f aca="false">M13+M19+M25+M26+M27-M28+IF(M$4=16,M12,0)</f>
        <v>24179.7601645789</v>
      </c>
      <c r="N31" s="0" t="n">
        <f aca="false">N13+N19+N25+N26+N27-N28+IF(N$4=16,N12,0)</f>
        <v>113726.4</v>
      </c>
      <c r="O31" s="0" t="n">
        <f aca="false">O13+O19+O25+O26+O27-O28+IF(O$4=16,O12,0)</f>
        <v>0</v>
      </c>
      <c r="P31" s="0" t="n">
        <f aca="false">P13+P19+P25+P26+P27-P28+IF(P$4=16,P12,0)</f>
        <v>0</v>
      </c>
      <c r="Q31" s="0" t="n">
        <f aca="false">Q13+Q19+Q25+Q26+Q27-Q28+IF(Q$4=16,Q12,0)</f>
        <v>0</v>
      </c>
      <c r="R31" s="0" t="n">
        <f aca="false">R13+R19+R25+R26+R27-R28+IF(R$4=16,R12,0)</f>
        <v>0</v>
      </c>
      <c r="S31" s="0" t="n">
        <f aca="false">S13+S19+S25+S26+S27-S28+IF(S$4=16,S12,0)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2026-10-19T12:37:32Z</dcterms:created>
  <dc:creator>openpyxl</dc:creator>
  <dc:description/>
  <dc:language>en-US</dc:language>
  <cp:lastModifiedBy/>
  <dcterms:modified xsi:type="dcterms:W3CDTF">2026-10-19T12:37:32Z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