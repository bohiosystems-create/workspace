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roperties" sheetId="2" state="visible" r:id="rId4"/>
    <sheet name="Projection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<sst xmlns="http://schemas.openxmlformats.org/spreadsheetml/2006/main" count="47" uniqueCount="47">
  <si>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AL MANAZIL REIT – LISTED SAUDI REIT (SAR)</t>
  </si>
  <si>
    <t xml:space="preserve">Units in issue</t>
  </si>
  <si>
    <t xml:space="preserve">Unit price on the exchange (SAR)</t>
  </si>
  <si>
    <t xml:space="preserve">Fund manager fee a year (of NAV)</t>
  </si>
  <si>
    <t xml:space="preserve">Distribution of net income</t>
  </si>
  <si>
    <t xml:space="preserve">Murabaha rate</t>
  </si>
  <si>
    <t xml:space="preserve">Murabaha facility (SAR)</t>
  </si>
  <si>
    <t xml:space="preserve">Maintenance capex share of NOI</t>
  </si>
  <si>
    <t xml:space="preserve">Zakat rate</t>
  </si>
  <si>
    <t xml:space="preserve">Rent growth a year</t>
  </si>
  <si>
    <t xml:space="preserve">Valuation cap rate</t>
  </si>
  <si>
    <t xml:space="preserve">Property</t>
  </si>
  <si>
    <t xml:space="preserve">Sector</t>
  </si>
  <si>
    <t xml:space="preserve">NOI a year (SAR)</t>
  </si>
  <si>
    <t xml:space="preserve">Occupancy</t>
  </si>
  <si>
    <t xml:space="preserve">Olaya Towers</t>
  </si>
  <si>
    <t xml:space="preserve">Office</t>
  </si>
  <si>
    <t xml:space="preserve">Jeddah Logistics Park</t>
  </si>
  <si>
    <t xml:space="preserve">Logistics</t>
  </si>
  <si>
    <t xml:space="preserve">Al Khobar Mall</t>
  </si>
  <si>
    <t xml:space="preserve">Retail</t>
  </si>
  <si>
    <t xml:space="preserve">Riyadh Hotel Apartments</t>
  </si>
  <si>
    <t xml:space="preserve">Hospitality</t>
  </si>
  <si>
    <t xml:space="preserve">Dammam Schools</t>
  </si>
  <si>
    <t xml:space="preserve">Education</t>
  </si>
  <si>
    <t xml:space="preserve">Year</t>
  </si>
  <si>
    <t xml:space="preserve">NOI</t>
  </si>
  <si>
    <t xml:space="preserve">Fund manager fee</t>
  </si>
  <si>
    <t xml:space="preserve">Finance cost</t>
  </si>
  <si>
    <t xml:space="preserve">Depreciation</t>
  </si>
  <si>
    <t xml:space="preserve">Net income</t>
  </si>
  <si>
    <t xml:space="preserve">FFO</t>
  </si>
  <si>
    <t xml:space="preserve">Maintenance capex</t>
  </si>
  <si>
    <t xml:space="preserve">AFFO</t>
  </si>
  <si>
    <t xml:space="preserve">Zakat</t>
  </si>
  <si>
    <t xml:space="preserve">Distribution</t>
  </si>
  <si>
    <t xml:space="preserve">Distribution per unit</t>
  </si>
  <si>
    <t xml:space="preserve">Property value</t>
  </si>
  <si>
    <t xml:space="preserve">NAV</t>
  </si>
  <si>
    <t xml:space="preserve">NAV per unit</t>
  </si>
  <si>
    <t xml:space="preserve">Dividend yield on the unit price</t>
  </si>
  <si>
    <t xml:space="preserve">FFO per unit, year 1 (SAR)</t>
  </si>
  <si>
    <t xml:space="preserve">AFFO payout ratio</t>
  </si>
  <si>
    <t xml:space="preserve">NAV per unit (SAR)</t>
  </si>
  <si>
    <t xml:space="preserve">Premium or discount to NAV</t>
  </si>
  <si>
    <t xml:space="preserve">Gearing (debt to property value)</t>
  </si>
  <si>
    <t xml:space="preserve">Total return to unitholders a year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</si>
</sst>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0%"/>
    <numFmt numFmtId="168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150000000</v>
      </c>
    </row>
    <row r="4" customFormat="false" ht="15" hidden="false" customHeight="false" outlineLevel="0" collapsed="false">
      <c r="A4" s="0" t="s">
        <v>2</v>
      </c>
      <c r="B4" s="2" t="n">
        <v>9.2</v>
      </c>
    </row>
    <row r="5" customFormat="false" ht="15" hidden="false" customHeight="false" outlineLevel="0" collapsed="false">
      <c r="A5" s="0" t="s">
        <v>3</v>
      </c>
      <c r="B5" s="3" t="n">
        <v>0.0075</v>
      </c>
    </row>
    <row r="6" customFormat="false" ht="15" hidden="false" customHeight="false" outlineLevel="0" collapsed="false">
      <c r="A6" s="0" t="s">
        <v>4</v>
      </c>
      <c r="B6" s="3" t="n">
        <v>0.9</v>
      </c>
    </row>
    <row r="7" customFormat="false" ht="15" hidden="false" customHeight="false" outlineLevel="0" collapsed="false">
      <c r="A7" s="0" t="s">
        <v>5</v>
      </c>
      <c r="B7" s="3" t="n">
        <v>0.062</v>
      </c>
    </row>
    <row r="8" customFormat="false" ht="15" hidden="false" customHeight="false" outlineLevel="0" collapsed="false">
      <c r="A8" s="0" t="s">
        <v>6</v>
      </c>
      <c r="B8" s="1" t="n">
        <v>520000000</v>
      </c>
    </row>
    <row r="9" customFormat="false" ht="15" hidden="false" customHeight="false" outlineLevel="0" collapsed="false">
      <c r="A9" s="0" t="s">
        <v>7</v>
      </c>
      <c r="B9" s="3" t="n">
        <v>0.06</v>
      </c>
    </row>
    <row r="10" customFormat="false" ht="15" hidden="false" customHeight="false" outlineLevel="0" collapsed="false">
      <c r="A10" s="0" t="s">
        <v>8</v>
      </c>
      <c r="B10" s="3" t="n">
        <v>0.025</v>
      </c>
    </row>
    <row r="11" customFormat="false" ht="15" hidden="false" customHeight="false" outlineLevel="0" collapsed="false">
      <c r="A11" s="0" t="s">
        <v>9</v>
      </c>
      <c r="B11" s="3" t="n">
        <v>0.02</v>
      </c>
    </row>
    <row r="12" customFormat="false" ht="15" hidden="false" customHeight="false" outlineLevel="0" collapsed="false">
      <c r="A12" s="0" t="s">
        <v>10</v>
      </c>
      <c r="B12" s="3" t="n">
        <v>0.075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  <c r="C1" s="0" t="s">
        <v>13</v>
      </c>
      <c r="D1" s="0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n">
        <v>61000000</v>
      </c>
      <c r="D2" s="3" t="n">
        <v>0.93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n">
        <v>38500000</v>
      </c>
      <c r="D3" s="3" t="n">
        <v>1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n">
        <v>47200000</v>
      </c>
      <c r="D4" s="3" t="n">
        <v>0.88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n">
        <v>22800000</v>
      </c>
      <c r="D5" s="3" t="n">
        <v>0.79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n">
        <v>18400000</v>
      </c>
      <c r="D6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</row>
    <row r="4" customFormat="false" ht="15" hidden="false" customHeight="false" outlineLevel="0" collapsed="false">
      <c r="A4" s="0" t="s">
        <v>26</v>
      </c>
      <c r="B4" s="0" t="n">
        <f aca="false">0</f>
        <v>0</v>
      </c>
      <c r="C4" s="0" t="n">
        <f aca="false">SUMPRODUCT(Properties!$C$2:$C$6,Properties!$D$2:$D$6/MAX(Properties!$D$2:$D$6))*(1+Inputs!$B$11)^(C$3-1)</f>
        <v>173178000</v>
      </c>
      <c r="D4" s="0" t="n">
        <f aca="false">SUMPRODUCT(Properties!$C$2:$C$6,Properties!$D$2:$D$6/MAX(Properties!$D$2:$D$6))*(1+Inputs!$B$11)^(D$3-1)</f>
        <v>176641560</v>
      </c>
      <c r="E4" s="0" t="n">
        <f aca="false">SUMPRODUCT(Properties!$C$2:$C$6,Properties!$D$2:$D$6/MAX(Properties!$D$2:$D$6))*(1+Inputs!$B$11)^(E$3-1)</f>
        <v>180174391.2</v>
      </c>
      <c r="F4" s="0" t="n">
        <f aca="false">SUMPRODUCT(Properties!$C$2:$C$6,Properties!$D$2:$D$6/MAX(Properties!$D$2:$D$6))*(1+Inputs!$B$11)^(F$3-1)</f>
        <v>183777879.024</v>
      </c>
      <c r="G4" s="0" t="n">
        <f aca="false">SUMPRODUCT(Properties!$C$2:$C$6,Properties!$D$2:$D$6/MAX(Properties!$D$2:$D$6))*(1+Inputs!$B$11)^(G$3-1)</f>
        <v>187453436.60448</v>
      </c>
    </row>
    <row r="5" customFormat="false" ht="15" hidden="false" customHeight="false" outlineLevel="0" collapsed="false">
      <c r="A5" s="0" t="s">
        <v>27</v>
      </c>
      <c r="B5" s="0" t="n">
        <f aca="false">0</f>
        <v>0</v>
      </c>
      <c r="C5" s="0" t="n">
        <f aca="false">B16*Inputs!$B$5</f>
        <v>13417800</v>
      </c>
      <c r="D5" s="0" t="n">
        <f aca="false">C16*Inputs!$B$5</f>
        <v>13764156</v>
      </c>
      <c r="E5" s="0" t="n">
        <f aca="false">D16*Inputs!$B$5</f>
        <v>14117439.12</v>
      </c>
      <c r="F5" s="0" t="n">
        <f aca="false">E16*Inputs!$B$5</f>
        <v>14477787.9024</v>
      </c>
      <c r="G5" s="0" t="n">
        <f aca="false">F16*Inputs!$B$5</f>
        <v>14845343.660448</v>
      </c>
    </row>
    <row r="6" customFormat="false" ht="15" hidden="false" customHeight="false" outlineLevel="0" collapsed="false">
      <c r="A6" s="0" t="s">
        <v>28</v>
      </c>
      <c r="B6" s="0" t="n">
        <f aca="false">0</f>
        <v>0</v>
      </c>
      <c r="C6" s="0" t="n">
        <f aca="false">Inputs!$B$8*Inputs!$B$7</f>
        <v>32240000</v>
      </c>
      <c r="D6" s="0" t="n">
        <f aca="false">Inputs!$B$8*Inputs!$B$7</f>
        <v>32240000</v>
      </c>
      <c r="E6" s="0" t="n">
        <f aca="false">Inputs!$B$8*Inputs!$B$7</f>
        <v>32240000</v>
      </c>
      <c r="F6" s="0" t="n">
        <f aca="false">Inputs!$B$8*Inputs!$B$7</f>
        <v>32240000</v>
      </c>
      <c r="G6" s="0" t="n">
        <f aca="false">Inputs!$B$8*Inputs!$B$7</f>
        <v>32240000</v>
      </c>
    </row>
    <row r="7" customFormat="false" ht="15" hidden="false" customHeight="false" outlineLevel="0" collapsed="false">
      <c r="A7" s="0" t="s">
        <v>29</v>
      </c>
      <c r="B7" s="0" t="n">
        <f aca="false">0</f>
        <v>0</v>
      </c>
      <c r="C7" s="0" t="n">
        <f aca="false">C15*0.012</f>
        <v>28262649.6</v>
      </c>
      <c r="D7" s="0" t="n">
        <f aca="false">D15*0.012</f>
        <v>28827902.592</v>
      </c>
      <c r="E7" s="0" t="n">
        <f aca="false">E15*0.012</f>
        <v>29404460.64384</v>
      </c>
      <c r="F7" s="0" t="n">
        <f aca="false">F15*0.012</f>
        <v>29992549.8567168</v>
      </c>
      <c r="G7" s="0" t="n">
        <f aca="false">G15*0.012</f>
        <v>30592400.8538511</v>
      </c>
    </row>
    <row r="8" customFormat="false" ht="15" hidden="false" customHeight="false" outlineLevel="0" collapsed="false">
      <c r="A8" s="0" t="s">
        <v>30</v>
      </c>
      <c r="B8" s="0" t="n">
        <f aca="false">B4-B5-B6-B7</f>
        <v>0</v>
      </c>
      <c r="C8" s="0" t="n">
        <f aca="false">C4-C5-C6-C7</f>
        <v>99257550.4</v>
      </c>
      <c r="D8" s="0" t="n">
        <f aca="false">D4-D5-D6-D7</f>
        <v>101809501.408</v>
      </c>
      <c r="E8" s="0" t="n">
        <f aca="false">E4-E5-E6-E7</f>
        <v>104412491.43616</v>
      </c>
      <c r="F8" s="0" t="n">
        <f aca="false">F4-F5-F6-F7</f>
        <v>107067541.264883</v>
      </c>
      <c r="G8" s="0" t="n">
        <f aca="false">G4-G5-G6-G7</f>
        <v>109775692.090181</v>
      </c>
    </row>
    <row r="9" customFormat="false" ht="15" hidden="false" customHeight="false" outlineLevel="0" collapsed="false">
      <c r="A9" s="0" t="s">
        <v>31</v>
      </c>
      <c r="B9" s="0" t="n">
        <f aca="false">B8+B7</f>
        <v>0</v>
      </c>
      <c r="C9" s="0" t="n">
        <f aca="false">C8+C7</f>
        <v>127520200</v>
      </c>
      <c r="D9" s="0" t="n">
        <f aca="false">D8+D7</f>
        <v>130637404</v>
      </c>
      <c r="E9" s="0" t="n">
        <f aca="false">E8+E7</f>
        <v>133816952.08</v>
      </c>
      <c r="F9" s="0" t="n">
        <f aca="false">F8+F7</f>
        <v>137060091.1216</v>
      </c>
      <c r="G9" s="0" t="n">
        <f aca="false">G8+G7</f>
        <v>140368092.944032</v>
      </c>
    </row>
    <row r="10" customFormat="false" ht="15" hidden="false" customHeight="false" outlineLevel="0" collapsed="false">
      <c r="A10" s="0" t="s">
        <v>32</v>
      </c>
      <c r="B10" s="0" t="n">
        <f aca="false">B4*Inputs!$B$9</f>
        <v>0</v>
      </c>
      <c r="C10" s="0" t="n">
        <f aca="false">C4*Inputs!$B$9</f>
        <v>10390680</v>
      </c>
      <c r="D10" s="0" t="n">
        <f aca="false">D4*Inputs!$B$9</f>
        <v>10598493.6</v>
      </c>
      <c r="E10" s="0" t="n">
        <f aca="false">E4*Inputs!$B$9</f>
        <v>10810463.472</v>
      </c>
      <c r="F10" s="0" t="n">
        <f aca="false">F4*Inputs!$B$9</f>
        <v>11026672.74144</v>
      </c>
      <c r="G10" s="0" t="n">
        <f aca="false">G4*Inputs!$B$9</f>
        <v>11247206.1962688</v>
      </c>
    </row>
    <row r="11" customFormat="false" ht="15" hidden="false" customHeight="false" outlineLevel="0" collapsed="false">
      <c r="A11" s="0" t="s">
        <v>33</v>
      </c>
      <c r="B11" s="0" t="n">
        <f aca="false">B9-B10</f>
        <v>0</v>
      </c>
      <c r="C11" s="0" t="n">
        <f aca="false">C9-C10</f>
        <v>117129520</v>
      </c>
      <c r="D11" s="0" t="n">
        <f aca="false">D9-D10</f>
        <v>120038910.4</v>
      </c>
      <c r="E11" s="0" t="n">
        <f aca="false">E9-E10</f>
        <v>123006488.608</v>
      </c>
      <c r="F11" s="0" t="n">
        <f aca="false">F9-F10</f>
        <v>126033418.38016</v>
      </c>
      <c r="G11" s="0" t="n">
        <f aca="false">G9-G10</f>
        <v>129120886.747763</v>
      </c>
    </row>
    <row r="12" customFormat="false" ht="15" hidden="false" customHeight="false" outlineLevel="0" collapsed="false">
      <c r="A12" s="0" t="s">
        <v>34</v>
      </c>
      <c r="B12" s="0" t="n">
        <f aca="false">MAX(0,B8)*Inputs!$B$10</f>
        <v>0</v>
      </c>
      <c r="C12" s="0" t="n">
        <f aca="false">MAX(0,C8)*Inputs!$B$10</f>
        <v>2481438.76</v>
      </c>
      <c r="D12" s="0" t="n">
        <f aca="false">MAX(0,D8)*Inputs!$B$10</f>
        <v>2545237.5352</v>
      </c>
      <c r="E12" s="0" t="n">
        <f aca="false">MAX(0,E8)*Inputs!$B$10</f>
        <v>2610312.285904</v>
      </c>
      <c r="F12" s="0" t="n">
        <f aca="false">MAX(0,F8)*Inputs!$B$10</f>
        <v>2676688.53162208</v>
      </c>
      <c r="G12" s="0" t="n">
        <f aca="false">MAX(0,G8)*Inputs!$B$10</f>
        <v>2744392.30225452</v>
      </c>
    </row>
    <row r="13" customFormat="false" ht="15" hidden="false" customHeight="false" outlineLevel="0" collapsed="false">
      <c r="A13" s="0" t="s">
        <v>35</v>
      </c>
      <c r="B13" s="0" t="n">
        <f aca="false">MAX(0,B8-B12)*Inputs!$B$6</f>
        <v>0</v>
      </c>
      <c r="C13" s="0" t="n">
        <f aca="false">MAX(0,C8-C12)*Inputs!$B$6</f>
        <v>87098500.476</v>
      </c>
      <c r="D13" s="0" t="n">
        <f aca="false">MAX(0,D8-D12)*Inputs!$B$6</f>
        <v>89337837.48552</v>
      </c>
      <c r="E13" s="0" t="n">
        <f aca="false">MAX(0,E8-E12)*Inputs!$B$6</f>
        <v>91621961.2352304</v>
      </c>
      <c r="F13" s="0" t="n">
        <f aca="false">MAX(0,F8-F12)*Inputs!$B$6</f>
        <v>93951767.459935</v>
      </c>
      <c r="G13" s="0" t="n">
        <f aca="false">MAX(0,G8-G12)*Inputs!$B$6</f>
        <v>96328169.8091337</v>
      </c>
    </row>
    <row r="14" customFormat="false" ht="15" hidden="false" customHeight="false" outlineLevel="0" collapsed="false">
      <c r="A14" s="0" t="s">
        <v>36</v>
      </c>
      <c r="B14" s="0" t="n">
        <f aca="false">B13/Inputs!$B$3</f>
        <v>0</v>
      </c>
      <c r="C14" s="0" t="n">
        <f aca="false">C13/Inputs!$B$3</f>
        <v>0.58065666984</v>
      </c>
      <c r="D14" s="0" t="n">
        <f aca="false">D13/Inputs!$B$3</f>
        <v>0.5955855832368</v>
      </c>
      <c r="E14" s="0" t="n">
        <f aca="false">E13/Inputs!$B$3</f>
        <v>0.610813074901536</v>
      </c>
      <c r="F14" s="0" t="n">
        <f aca="false">F13/Inputs!$B$3</f>
        <v>0.626345116399567</v>
      </c>
      <c r="G14" s="0" t="n">
        <f aca="false">G13/Inputs!$B$3</f>
        <v>0.642187798727558</v>
      </c>
    </row>
    <row r="15" customFormat="false" ht="15" hidden="false" customHeight="false" outlineLevel="0" collapsed="false">
      <c r="A15" s="0" t="s">
        <v>37</v>
      </c>
      <c r="B15" s="0" t="n">
        <f aca="false">SUMPRODUCT(Properties!$C$2:$C$6,Properties!$D$2:$D$6/MAX(Properties!$D$2:$D$6))*(1+Inputs!$B$11)^B$3/Inputs!$B$12</f>
        <v>2309040000</v>
      </c>
      <c r="C15" s="0" t="n">
        <f aca="false">SUMPRODUCT(Properties!$C$2:$C$6,Properties!$D$2:$D$6/MAX(Properties!$D$2:$D$6))*(1+Inputs!$B$11)^C$3/Inputs!$B$12</f>
        <v>2355220800</v>
      </c>
      <c r="D15" s="0" t="n">
        <f aca="false">SUMPRODUCT(Properties!$C$2:$C$6,Properties!$D$2:$D$6/MAX(Properties!$D$2:$D$6))*(1+Inputs!$B$11)^D$3/Inputs!$B$12</f>
        <v>2402325216</v>
      </c>
      <c r="E15" s="0" t="n">
        <f aca="false">SUMPRODUCT(Properties!$C$2:$C$6,Properties!$D$2:$D$6/MAX(Properties!$D$2:$D$6))*(1+Inputs!$B$11)^E$3/Inputs!$B$12</f>
        <v>2450371720.32</v>
      </c>
      <c r="F15" s="0" t="n">
        <f aca="false">SUMPRODUCT(Properties!$C$2:$C$6,Properties!$D$2:$D$6/MAX(Properties!$D$2:$D$6))*(1+Inputs!$B$11)^F$3/Inputs!$B$12</f>
        <v>2499379154.7264</v>
      </c>
      <c r="G15" s="0" t="n">
        <f aca="false">SUMPRODUCT(Properties!$C$2:$C$6,Properties!$D$2:$D$6/MAX(Properties!$D$2:$D$6))*(1+Inputs!$B$11)^G$3/Inputs!$B$12</f>
        <v>2549366737.82093</v>
      </c>
    </row>
    <row r="16" customFormat="false" ht="15" hidden="false" customHeight="false" outlineLevel="0" collapsed="false">
      <c r="A16" s="0" t="s">
        <v>38</v>
      </c>
      <c r="B16" s="0" t="n">
        <f aca="false">B15-Inputs!$B$8</f>
        <v>1789040000</v>
      </c>
      <c r="C16" s="0" t="n">
        <f aca="false">C15-Inputs!$B$8</f>
        <v>1835220800</v>
      </c>
      <c r="D16" s="0" t="n">
        <f aca="false">D15-Inputs!$B$8</f>
        <v>1882325216</v>
      </c>
      <c r="E16" s="0" t="n">
        <f aca="false">E15-Inputs!$B$8</f>
        <v>1930371720.32</v>
      </c>
      <c r="F16" s="0" t="n">
        <f aca="false">F15-Inputs!$B$8</f>
        <v>1979379154.7264</v>
      </c>
      <c r="G16" s="0" t="n">
        <f aca="false">G15-Inputs!$B$8</f>
        <v>2029366737.82093</v>
      </c>
    </row>
    <row r="17" customFormat="false" ht="15" hidden="false" customHeight="false" outlineLevel="0" collapsed="false">
      <c r="A17" s="0" t="s">
        <v>39</v>
      </c>
      <c r="B17" s="0" t="n">
        <f aca="false">B16/Inputs!$B$3</f>
        <v>11.9269333333333</v>
      </c>
      <c r="C17" s="0" t="n">
        <f aca="false">C16/Inputs!$B$3</f>
        <v>12.2348053333333</v>
      </c>
      <c r="D17" s="0" t="n">
        <f aca="false">D16/Inputs!$B$3</f>
        <v>12.5488347733333</v>
      </c>
      <c r="E17" s="0" t="n">
        <f aca="false">E16/Inputs!$B$3</f>
        <v>12.8691448021333</v>
      </c>
      <c r="F17" s="0" t="n">
        <f aca="false">F16/Inputs!$B$3</f>
        <v>13.1958610315093</v>
      </c>
      <c r="G17" s="0" t="n">
        <f aca="false">G16/Inputs!$B$3</f>
        <v>13.5291115854729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40</v>
      </c>
      <c r="B3" s="3" t="n">
        <f aca="false">Projection!C14/Inputs!$B$4</f>
        <v>0.0631148554173913</v>
      </c>
    </row>
    <row r="4" customFormat="false" ht="15" hidden="false" customHeight="false" outlineLevel="0" collapsed="false">
      <c r="A4" s="0" t="s">
        <v>41</v>
      </c>
      <c r="B4" s="4" t="n">
        <f aca="false">Projection!C9/Inputs!$B$3</f>
        <v>0.850134666666667</v>
      </c>
    </row>
    <row r="5" customFormat="false" ht="15" hidden="false" customHeight="false" outlineLevel="0" collapsed="false">
      <c r="A5" s="0" t="s">
        <v>42</v>
      </c>
      <c r="B5" s="3" t="n">
        <f aca="false">Projection!C13/Projection!C11</f>
        <v>0.74360844709344</v>
      </c>
    </row>
    <row r="6" customFormat="false" ht="15" hidden="false" customHeight="false" outlineLevel="0" collapsed="false">
      <c r="A6" s="0" t="s">
        <v>43</v>
      </c>
      <c r="B6" s="2" t="n">
        <f aca="false">Projection!B17</f>
        <v>11.9269333333333</v>
      </c>
    </row>
    <row r="7" customFormat="false" ht="15" hidden="false" customHeight="false" outlineLevel="0" collapsed="false">
      <c r="A7" s="0" t="s">
        <v>44</v>
      </c>
      <c r="B7" s="3" t="n">
        <f aca="false">Inputs!$B$4/Projection!B17-1</f>
        <v>-0.228636587219962</v>
      </c>
    </row>
    <row r="8" customFormat="false" ht="15" hidden="false" customHeight="false" outlineLevel="0" collapsed="false">
      <c r="A8" s="0" t="s">
        <v>45</v>
      </c>
      <c r="B8" s="3" t="n">
        <f aca="false">Inputs!$B$8/Projection!B15</f>
        <v>0.225201815473097</v>
      </c>
    </row>
    <row r="9" customFormat="false" ht="15" hidden="false" customHeight="false" outlineLevel="0" collapsed="false">
      <c r="A9" s="0" t="s">
        <v>46</v>
      </c>
      <c r="B9" s="3" t="n">
        <f aca="false">((Projection!G17+SUM(Projection!C14:G14))/Inputs!$B$4)^(1/5)-1</f>
        <v>0.125081432905924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2026-10-18T00:22:16Z</dcterms:created>
  <dc:creator>openpyxl</dc:creator>
  <dc:description/>
  <dc:language>en-US</dc:language>
  <cp:lastModifiedBy/>
  <dcterms:modified xsi:type="dcterms:W3CDTF">2026-10-18T00:22:16Z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