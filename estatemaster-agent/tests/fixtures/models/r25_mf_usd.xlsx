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Assumptions" sheetId="1" state="visible" r:id="rId3"/>
    <sheet name="Cash Flow" sheetId="2" state="visible" r:id="rId4"/>
    <sheet name="Returns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<sst xmlns="http://schemas.openxmlformats.org/spreadsheetml/2006/main" count="46" uniqueCount="46">
  <si>
    <t xml:space="preserve">CEDAR HOLLOW APARTMENTS – VALUE-ADD MULTIFAMILY ($000s)</t>
  </si>
  <si>
    <t xml:space="preserve">Units</t>
  </si>
  <si>
    <t xml:space="preserve">Average rent per unit a month ($)</t>
  </si>
  <si>
    <t xml:space="preserve">Renovation premium per unit a month ($)</t>
  </si>
  <si>
    <t xml:space="preserve">Units renovated a year</t>
  </si>
  <si>
    <t xml:space="preserve">Renovation cost per unit ($000s)</t>
  </si>
  <si>
    <t xml:space="preserve">Rent growth</t>
  </si>
  <si>
    <t xml:space="preserve">Vacancy and credit loss</t>
  </si>
  <si>
    <t xml:space="preserve">Operating expenses a unit a year ($)</t>
  </si>
  <si>
    <t xml:space="preserve">Expense growth</t>
  </si>
  <si>
    <t xml:space="preserve">Purchase price ($000s)</t>
  </si>
  <si>
    <t xml:space="preserve">Loan ($000s)</t>
  </si>
  <si>
    <t xml:space="preserve">Loan rate</t>
  </si>
  <si>
    <t xml:space="preserve">Exit cap rate</t>
  </si>
  <si>
    <t xml:space="preserve">Selling costs</t>
  </si>
  <si>
    <t xml:space="preserve">LP share of equity</t>
  </si>
  <si>
    <t xml:space="preserve">Preferred return</t>
  </si>
  <si>
    <t xml:space="preserve">IRR hurdle for the second split</t>
  </si>
  <si>
    <t xml:space="preserve">GP promote to the hurdle</t>
  </si>
  <si>
    <t xml:space="preserve">GP promote above the hurdle</t>
  </si>
  <si>
    <t xml:space="preserve">Year</t>
  </si>
  <si>
    <t xml:space="preserve">Renovated units</t>
  </si>
  <si>
    <t xml:space="preserve">Gross potential rent</t>
  </si>
  <si>
    <t xml:space="preserve">Effective rent</t>
  </si>
  <si>
    <t xml:space="preserve">Operating expenses</t>
  </si>
  <si>
    <t xml:space="preserve">NOI</t>
  </si>
  <si>
    <t xml:space="preserve">Renovation capex</t>
  </si>
  <si>
    <t xml:space="preserve">Debt service</t>
  </si>
  <si>
    <t xml:space="preserve">Sale proceeds</t>
  </si>
  <si>
    <t xml:space="preserve">Project cash flow</t>
  </si>
  <si>
    <t xml:space="preserve">LP pref balance</t>
  </si>
  <si>
    <t xml:space="preserve">LP to pref</t>
  </si>
  <si>
    <t xml:space="preserve">LP 8% hurdle met</t>
  </si>
  <si>
    <t xml:space="preserve">LP 15% balance</t>
  </si>
  <si>
    <t xml:space="preserve">Split 1 cash</t>
  </si>
  <si>
    <t xml:space="preserve">Split 2 cash</t>
  </si>
  <si>
    <t xml:space="preserve">LP cash flow</t>
  </si>
  <si>
    <t xml:space="preserve">GP cash flow</t>
  </si>
  <si>
    <t xml:space="preserve">Project IRR</t>
  </si>
  <si>
    <t xml:space="preserve">LP net IRR</t>
  </si>
  <si>
    <t xml:space="preserve">GP IRR</t>
  </si>
  <si>
    <t xml:space="preserve">LP equity multiple</t>
  </si>
  <si>
    <t xml:space="preserve">GP promote ($000s)</t>
  </si>
  <si>
    <t xml:space="preserve">Exit value ($000s)</t>
  </si>
  <si>
    <t xml:space="preserve">Net profit ($000s)</t>
  </si>
  <si>
    <t xml:space="preserve">Year-1 debt yield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</si>
</sst>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#,##0"/>
    <numFmt numFmtId="166" formatCode="#,##0.0"/>
    <numFmt numFmtId="167" formatCode="0.00%"/>
    <numFmt numFmtId="168" formatCode="_(* #,##0_);_(* \(#,##0\);_(* \-??_);_(@_)"/>
    <numFmt numFmtId="169" formatCode="0.00\x"/>
  </numFmts>
  <fonts count="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sheetData>
    <row r="1" customFormat="false" ht="15" hidden="false" customHeight="false" outlineLevel="0" collapsed="false">
      <c r="A1" s="0" t="s">
        <v>0</v>
      </c>
    </row>
    <row r="3" customFormat="false" ht="15" hidden="false" customHeight="false" outlineLevel="0" collapsed="false">
      <c r="A3" s="0" t="s">
        <v>1</v>
      </c>
      <c r="B3" s="1" t="n">
        <v>286</v>
      </c>
    </row>
    <row r="4" customFormat="false" ht="15" hidden="false" customHeight="false" outlineLevel="0" collapsed="false">
      <c r="A4" s="0" t="s">
        <v>2</v>
      </c>
      <c r="B4" s="1" t="n">
        <v>1840</v>
      </c>
    </row>
    <row r="5" customFormat="false" ht="15" hidden="false" customHeight="false" outlineLevel="0" collapsed="false">
      <c r="A5" s="0" t="s">
        <v>3</v>
      </c>
      <c r="B5" s="1" t="n">
        <v>165</v>
      </c>
    </row>
    <row r="6" customFormat="false" ht="15" hidden="false" customHeight="false" outlineLevel="0" collapsed="false">
      <c r="A6" s="0" t="s">
        <v>4</v>
      </c>
      <c r="B6" s="1" t="n">
        <v>72</v>
      </c>
    </row>
    <row r="7" customFormat="false" ht="15" hidden="false" customHeight="false" outlineLevel="0" collapsed="false">
      <c r="A7" s="0" t="s">
        <v>5</v>
      </c>
      <c r="B7" s="2" t="n">
        <v>14.5</v>
      </c>
    </row>
    <row r="8" customFormat="false" ht="15" hidden="false" customHeight="false" outlineLevel="0" collapsed="false">
      <c r="A8" s="0" t="s">
        <v>6</v>
      </c>
      <c r="B8" s="3" t="n">
        <v>0.03</v>
      </c>
    </row>
    <row r="9" customFormat="false" ht="15" hidden="false" customHeight="false" outlineLevel="0" collapsed="false">
      <c r="A9" s="0" t="s">
        <v>7</v>
      </c>
      <c r="B9" s="3" t="n">
        <v>0.06</v>
      </c>
    </row>
    <row r="10" customFormat="false" ht="15" hidden="false" customHeight="false" outlineLevel="0" collapsed="false">
      <c r="A10" s="0" t="s">
        <v>8</v>
      </c>
      <c r="B10" s="1" t="n">
        <v>6400</v>
      </c>
    </row>
    <row r="11" customFormat="false" ht="15" hidden="false" customHeight="false" outlineLevel="0" collapsed="false">
      <c r="A11" s="0" t="s">
        <v>9</v>
      </c>
      <c r="B11" s="3" t="n">
        <v>0.028</v>
      </c>
    </row>
    <row r="12" customFormat="false" ht="15" hidden="false" customHeight="false" outlineLevel="0" collapsed="false">
      <c r="A12" s="0" t="s">
        <v>10</v>
      </c>
      <c r="B12" s="4" t="n">
        <v>58500</v>
      </c>
    </row>
    <row r="13" customFormat="false" ht="15" hidden="false" customHeight="false" outlineLevel="0" collapsed="false">
      <c r="A13" s="0" t="s">
        <v>11</v>
      </c>
      <c r="B13" s="4" t="n">
        <v>38000</v>
      </c>
    </row>
    <row r="14" customFormat="false" ht="15" hidden="false" customHeight="false" outlineLevel="0" collapsed="false">
      <c r="A14" s="0" t="s">
        <v>12</v>
      </c>
      <c r="B14" s="3" t="n">
        <v>0.0585</v>
      </c>
    </row>
    <row r="15" customFormat="false" ht="15" hidden="false" customHeight="false" outlineLevel="0" collapsed="false">
      <c r="A15" s="0" t="s">
        <v>13</v>
      </c>
      <c r="B15" s="3" t="n">
        <v>0.0575</v>
      </c>
    </row>
    <row r="16" customFormat="false" ht="15" hidden="false" customHeight="false" outlineLevel="0" collapsed="false">
      <c r="A16" s="0" t="s">
        <v>14</v>
      </c>
      <c r="B16" s="3" t="n">
        <v>0.015</v>
      </c>
    </row>
    <row r="17" customFormat="false" ht="15" hidden="false" customHeight="false" outlineLevel="0" collapsed="false">
      <c r="A17" s="0" t="s">
        <v>15</v>
      </c>
      <c r="B17" s="3" t="n">
        <v>0.9</v>
      </c>
    </row>
    <row r="18" customFormat="false" ht="15" hidden="false" customHeight="false" outlineLevel="0" collapsed="false">
      <c r="A18" s="0" t="s">
        <v>16</v>
      </c>
      <c r="B18" s="3" t="n">
        <v>0.08</v>
      </c>
    </row>
    <row r="19" customFormat="false" ht="15" hidden="false" customHeight="false" outlineLevel="0" collapsed="false">
      <c r="A19" s="0" t="s">
        <v>17</v>
      </c>
      <c r="B19" s="3" t="n">
        <v>0.15</v>
      </c>
    </row>
    <row r="20" customFormat="false" ht="15" hidden="false" customHeight="false" outlineLevel="0" collapsed="false">
      <c r="A20" s="0" t="s">
        <v>18</v>
      </c>
      <c r="B20" s="3" t="n">
        <v>0.3</v>
      </c>
    </row>
    <row r="21" customFormat="false" ht="15" hidden="false" customHeight="false" outlineLevel="0" collapsed="false">
      <c r="A21" s="0" t="s">
        <v>19</v>
      </c>
      <c r="B21" s="3" t="n">
        <v>0.5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3:G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sheetData>
    <row r="3" customFormat="false" ht="15" hidden="false" customHeight="false" outlineLevel="0" collapsed="false">
      <c r="A3" s="0" t="s">
        <v>20</v>
      </c>
      <c r="B3" s="0" t="n">
        <v>0</v>
      </c>
      <c r="C3" s="0" t="n">
        <v>1</v>
      </c>
      <c r="D3" s="0" t="n">
        <v>2</v>
      </c>
      <c r="E3" s="0" t="n">
        <v>3</v>
      </c>
      <c r="F3" s="0" t="n">
        <v>4</v>
      </c>
      <c r="G3" s="0" t="n">
        <v>5</v>
      </c>
    </row>
    <row r="4" customFormat="false" ht="15" hidden="false" customHeight="false" outlineLevel="0" collapsed="false">
      <c r="A4" s="0" t="s">
        <v>21</v>
      </c>
      <c r="B4" s="4" t="n">
        <f aca="false">0</f>
        <v>0</v>
      </c>
      <c r="C4" s="4" t="n">
        <f aca="false">MIN(Assumptions!$B$3,C$3*Assumptions!$B$6)</f>
        <v>72</v>
      </c>
      <c r="D4" s="4" t="n">
        <f aca="false">MIN(Assumptions!$B$3,D$3*Assumptions!$B$6)</f>
        <v>144</v>
      </c>
      <c r="E4" s="4" t="n">
        <f aca="false">MIN(Assumptions!$B$3,E$3*Assumptions!$B$6)</f>
        <v>216</v>
      </c>
      <c r="F4" s="4" t="n">
        <f aca="false">MIN(Assumptions!$B$3,F$3*Assumptions!$B$6)</f>
        <v>286</v>
      </c>
      <c r="G4" s="4" t="n">
        <f aca="false">MIN(Assumptions!$B$3,G$3*Assumptions!$B$6)</f>
        <v>286</v>
      </c>
    </row>
    <row r="5" customFormat="false" ht="15" hidden="false" customHeight="false" outlineLevel="0" collapsed="false">
      <c r="A5" s="0" t="s">
        <v>22</v>
      </c>
      <c r="B5" s="4" t="n">
        <f aca="false">0</f>
        <v>0</v>
      </c>
      <c r="C5" s="4" t="n">
        <f aca="false">(Assumptions!$B$3*Assumptions!$B$4+C4*Assumptions!$B$5)*12*(1+Assumptions!$B$8)^(C$3-1)/1000</f>
        <v>6457.44</v>
      </c>
      <c r="D5" s="4" t="n">
        <f aca="false">(Assumptions!$B$3*Assumptions!$B$4+D4*Assumptions!$B$5)*12*(1+Assumptions!$B$8)^(D$3-1)/1000</f>
        <v>6798</v>
      </c>
      <c r="E5" s="4" t="n">
        <f aca="false">(Assumptions!$B$3*Assumptions!$B$4+E4*Assumptions!$B$5)*12*(1+Assumptions!$B$8)^(E$3-1)/1000</f>
        <v>7153.181904</v>
      </c>
      <c r="F5" s="4" t="n">
        <f aca="false">(Assumptions!$B$3*Assumptions!$B$4+F4*Assumptions!$B$5)*12*(1+Assumptions!$B$8)^(F$3-1)/1000</f>
        <v>7519.22932332</v>
      </c>
      <c r="G5" s="4" t="n">
        <f aca="false">(Assumptions!$B$3*Assumptions!$B$4+G4*Assumptions!$B$5)*12*(1+Assumptions!$B$8)^(G$3-1)/1000</f>
        <v>7744.8062030196</v>
      </c>
    </row>
    <row r="6" customFormat="false" ht="15" hidden="false" customHeight="false" outlineLevel="0" collapsed="false">
      <c r="A6" s="0" t="s">
        <v>23</v>
      </c>
      <c r="B6" s="4" t="n">
        <f aca="false">B5*(1-Assumptions!$B$9)</f>
        <v>0</v>
      </c>
      <c r="C6" s="4" t="n">
        <f aca="false">C5*(1-Assumptions!$B$9)</f>
        <v>6069.9936</v>
      </c>
      <c r="D6" s="4" t="n">
        <f aca="false">D5*(1-Assumptions!$B$9)</f>
        <v>6390.12</v>
      </c>
      <c r="E6" s="4" t="n">
        <f aca="false">E5*(1-Assumptions!$B$9)</f>
        <v>6723.99098976</v>
      </c>
      <c r="F6" s="4" t="n">
        <f aca="false">F5*(1-Assumptions!$B$9)</f>
        <v>7068.0755639208</v>
      </c>
      <c r="G6" s="4" t="n">
        <f aca="false">G5*(1-Assumptions!$B$9)</f>
        <v>7280.11783083843</v>
      </c>
    </row>
    <row r="7" customFormat="false" ht="15" hidden="false" customHeight="false" outlineLevel="0" collapsed="false">
      <c r="A7" s="0" t="s">
        <v>24</v>
      </c>
      <c r="B7" s="4" t="n">
        <f aca="false">0</f>
        <v>0</v>
      </c>
      <c r="C7" s="4" t="n">
        <f aca="false">Assumptions!$B$3*Assumptions!$B$10*(1+Assumptions!$B$11)^(C$3-1)/1000</f>
        <v>1830.4</v>
      </c>
      <c r="D7" s="4" t="n">
        <f aca="false">Assumptions!$B$3*Assumptions!$B$10*(1+Assumptions!$B$11)^(D$3-1)/1000</f>
        <v>1881.6512</v>
      </c>
      <c r="E7" s="4" t="n">
        <f aca="false">Assumptions!$B$3*Assumptions!$B$10*(1+Assumptions!$B$11)^(E$3-1)/1000</f>
        <v>1934.3374336</v>
      </c>
      <c r="F7" s="4" t="n">
        <f aca="false">Assumptions!$B$3*Assumptions!$B$10*(1+Assumptions!$B$11)^(F$3-1)/1000</f>
        <v>1988.4988817408</v>
      </c>
      <c r="G7" s="4" t="n">
        <f aca="false">Assumptions!$B$3*Assumptions!$B$10*(1+Assumptions!$B$11)^(G$3-1)/1000</f>
        <v>2044.17685042954</v>
      </c>
    </row>
    <row r="8" customFormat="false" ht="15" hidden="false" customHeight="false" outlineLevel="0" collapsed="false">
      <c r="A8" s="0" t="s">
        <v>25</v>
      </c>
      <c r="B8" s="4" t="n">
        <f aca="false">B6-B7</f>
        <v>0</v>
      </c>
      <c r="C8" s="4" t="n">
        <f aca="false">C6-C7</f>
        <v>4239.5936</v>
      </c>
      <c r="D8" s="4" t="n">
        <f aca="false">D6-D7</f>
        <v>4508.4688</v>
      </c>
      <c r="E8" s="4" t="n">
        <f aca="false">E6-E7</f>
        <v>4789.65355616</v>
      </c>
      <c r="F8" s="4" t="n">
        <f aca="false">F6-F7</f>
        <v>5079.57668218</v>
      </c>
      <c r="G8" s="4" t="n">
        <f aca="false">G6-G7</f>
        <v>5235.94098040888</v>
      </c>
    </row>
    <row r="9" customFormat="false" ht="15" hidden="false" customHeight="false" outlineLevel="0" collapsed="false">
      <c r="A9" s="0" t="s">
        <v>26</v>
      </c>
      <c r="B9" s="4" t="n">
        <f aca="false">0</f>
        <v>0</v>
      </c>
      <c r="C9" s="4" t="n">
        <f aca="false">(C4-B4)*Assumptions!$B$7</f>
        <v>1044</v>
      </c>
      <c r="D9" s="4" t="n">
        <f aca="false">(D4-C4)*Assumptions!$B$7</f>
        <v>1044</v>
      </c>
      <c r="E9" s="4" t="n">
        <f aca="false">(E4-D4)*Assumptions!$B$7</f>
        <v>1044</v>
      </c>
      <c r="F9" s="4" t="n">
        <f aca="false">(F4-E4)*Assumptions!$B$7</f>
        <v>1015</v>
      </c>
      <c r="G9" s="4" t="n">
        <f aca="false">(G4-F4)*Assumptions!$B$7</f>
        <v>0</v>
      </c>
    </row>
    <row r="10" customFormat="false" ht="15" hidden="false" customHeight="false" outlineLevel="0" collapsed="false">
      <c r="A10" s="0" t="s">
        <v>27</v>
      </c>
      <c r="B10" s="4" t="n">
        <f aca="false">0</f>
        <v>0</v>
      </c>
      <c r="C10" s="4" t="n">
        <f aca="false">Assumptions!$B$13*Assumptions!$B$14</f>
        <v>2223</v>
      </c>
      <c r="D10" s="4" t="n">
        <f aca="false">Assumptions!$B$13*Assumptions!$B$14</f>
        <v>2223</v>
      </c>
      <c r="E10" s="4" t="n">
        <f aca="false">Assumptions!$B$13*Assumptions!$B$14</f>
        <v>2223</v>
      </c>
      <c r="F10" s="4" t="n">
        <f aca="false">Assumptions!$B$13*Assumptions!$B$14</f>
        <v>2223</v>
      </c>
      <c r="G10" s="4" t="n">
        <f aca="false">Assumptions!$B$13*Assumptions!$B$14</f>
        <v>2223</v>
      </c>
    </row>
    <row r="11" customFormat="false" ht="15" hidden="false" customHeight="false" outlineLevel="0" collapsed="false">
      <c r="A11" s="0" t="s">
        <v>28</v>
      </c>
      <c r="B11" s="4" t="n">
        <f aca="false">IF(B$3=5,(B8*(1+Assumptions!$B$8)/Assumptions!$B$15)*(1-Assumptions!$B$16)-Assumptions!$B$13,0)</f>
        <v>0</v>
      </c>
      <c r="C11" s="4" t="n">
        <f aca="false">IF(C$3=5,(C8*(1+Assumptions!$B$8)/Assumptions!$B$15)*(1-Assumptions!$B$16)-Assumptions!$B$13,0)</f>
        <v>0</v>
      </c>
      <c r="D11" s="4" t="n">
        <f aca="false">IF(D$3=5,(D8*(1+Assumptions!$B$8)/Assumptions!$B$15)*(1-Assumptions!$B$16)-Assumptions!$B$13,0)</f>
        <v>0</v>
      </c>
      <c r="E11" s="4" t="n">
        <f aca="false">IF(E$3=5,(E8*(1+Assumptions!$B$8)/Assumptions!$B$15)*(1-Assumptions!$B$16)-Assumptions!$B$13,0)</f>
        <v>0</v>
      </c>
      <c r="F11" s="4" t="n">
        <f aca="false">IF(F$3=5,(F8*(1+Assumptions!$B$8)/Assumptions!$B$15)*(1-Assumptions!$B$16)-Assumptions!$B$13,0)</f>
        <v>0</v>
      </c>
      <c r="G11" s="4" t="n">
        <f aca="false">IF(G$3=5,(G8*(1+Assumptions!$B$8)/Assumptions!$B$15)*(1-Assumptions!$B$16)-Assumptions!$B$13,0)</f>
        <v>54384.7638551971</v>
      </c>
    </row>
    <row r="12" customFormat="false" ht="15" hidden="false" customHeight="false" outlineLevel="0" collapsed="false">
      <c r="A12" s="0" t="s">
        <v>29</v>
      </c>
      <c r="B12" s="4" t="n">
        <f aca="false">-(Assumptions!$B$12-Assumptions!$B$13)</f>
        <v>-20500</v>
      </c>
      <c r="C12" s="4" t="n">
        <f aca="false">C8-C9-C10+C11</f>
        <v>972.593599999998</v>
      </c>
      <c r="D12" s="4" t="n">
        <f aca="false">D8-D9-D10+D11</f>
        <v>1241.4688</v>
      </c>
      <c r="E12" s="4" t="n">
        <f aca="false">E8-E9-E10+E11</f>
        <v>1522.65355616</v>
      </c>
      <c r="F12" s="4" t="n">
        <f aca="false">F8-F9-F10+F11</f>
        <v>1841.57668218</v>
      </c>
      <c r="G12" s="4" t="n">
        <f aca="false">G8-G9-G10+G11</f>
        <v>57397.704835606</v>
      </c>
    </row>
    <row r="13" customFormat="false" ht="15" hidden="false" customHeight="false" outlineLevel="0" collapsed="false">
      <c r="A13" s="0" t="s">
        <v>30</v>
      </c>
      <c r="B13" s="4" t="n">
        <f aca="false">-B12*Assumptions!$B$17</f>
        <v>18450</v>
      </c>
      <c r="C13" s="4" t="n">
        <f aca="false">B13*(1+Assumptions!$B$18)-B14</f>
        <v>19926</v>
      </c>
      <c r="D13" s="4" t="n">
        <f aca="false">C13*(1+Assumptions!$B$18)-C14</f>
        <v>20644.74576</v>
      </c>
      <c r="E13" s="4" t="n">
        <f aca="false">D13*(1+Assumptions!$B$18)-D14</f>
        <v>21179.0035008</v>
      </c>
      <c r="F13" s="4" t="n">
        <f aca="false">E13*(1+Assumptions!$B$18)-E14</f>
        <v>21502.93558032</v>
      </c>
      <c r="G13" s="4" t="n">
        <f aca="false">F13*(1+Assumptions!$B$18)-F14</f>
        <v>21565.7514127836</v>
      </c>
    </row>
    <row r="14" customFormat="false" ht="15" hidden="false" customHeight="false" outlineLevel="0" collapsed="false">
      <c r="A14" s="0" t="s">
        <v>31</v>
      </c>
      <c r="B14" s="4" t="n">
        <f aca="false">0</f>
        <v>0</v>
      </c>
      <c r="C14" s="4" t="n">
        <f aca="false">MIN(C13*(1+Assumptions!$B$18),MAX(0,C12)*Assumptions!$B$17)</f>
        <v>875.334239999999</v>
      </c>
      <c r="D14" s="4" t="n">
        <f aca="false">MIN(D13*(1+Assumptions!$B$18),MAX(0,D12)*Assumptions!$B$17)</f>
        <v>1117.32192</v>
      </c>
      <c r="E14" s="4" t="n">
        <f aca="false">MIN(E13*(1+Assumptions!$B$18),MAX(0,E12)*Assumptions!$B$17)</f>
        <v>1370.388200544</v>
      </c>
      <c r="F14" s="4" t="n">
        <f aca="false">MIN(F13*(1+Assumptions!$B$18),MAX(0,F12)*Assumptions!$B$17)</f>
        <v>1657.419013962</v>
      </c>
      <c r="G14" s="4" t="n">
        <f aca="false">MIN(G13*(1+Assumptions!$B$18),MAX(0,G12)*Assumptions!$B$17)</f>
        <v>23291.0115258063</v>
      </c>
    </row>
    <row r="15" customFormat="false" ht="15" hidden="false" customHeight="false" outlineLevel="0" collapsed="false">
      <c r="A15" s="0" t="s">
        <v>32</v>
      </c>
      <c r="B15" s="4" t="n">
        <f aca="false">0</f>
        <v>0</v>
      </c>
      <c r="C15" s="4" t="n">
        <f aca="false">IF(C14&gt;=C13*(1+Assumptions!$B$18)-0.001,1,0)</f>
        <v>0</v>
      </c>
      <c r="D15" s="4" t="n">
        <f aca="false">IF(D14&gt;=D13*(1+Assumptions!$B$18)-0.001,1,0)</f>
        <v>0</v>
      </c>
      <c r="E15" s="4" t="n">
        <f aca="false">IF(E14&gt;=E13*(1+Assumptions!$B$18)-0.001,1,0)</f>
        <v>0</v>
      </c>
      <c r="F15" s="4" t="n">
        <f aca="false">IF(F14&gt;=F13*(1+Assumptions!$B$18)-0.001,1,0)</f>
        <v>0</v>
      </c>
      <c r="G15" s="4" t="n">
        <f aca="false">IF(G14&gt;=G13*(1+Assumptions!$B$18)-0.001,1,0)</f>
        <v>1</v>
      </c>
    </row>
    <row r="16" customFormat="false" ht="15" hidden="false" customHeight="false" outlineLevel="0" collapsed="false">
      <c r="A16" s="0" t="s">
        <v>33</v>
      </c>
      <c r="B16" s="4" t="n">
        <f aca="false">-B12*Assumptions!$B$17</f>
        <v>18450</v>
      </c>
      <c r="C16" s="4" t="n">
        <f aca="false">MAX(0,B16*(1+Assumptions!$B$19)-B14-B17*(1-Assumptions!$B$20))</f>
        <v>21217.5</v>
      </c>
      <c r="D16" s="4" t="n">
        <f aca="false">MAX(0,C16*(1+Assumptions!$B$19)-C14-C17*(1-Assumptions!$B$20))</f>
        <v>23524.79076</v>
      </c>
      <c r="E16" s="4" t="n">
        <f aca="false">MAX(0,D16*(1+Assumptions!$B$19)-D14-D17*(1-Assumptions!$B$20))</f>
        <v>25936.187454</v>
      </c>
      <c r="F16" s="4" t="n">
        <f aca="false">MAX(0,E16*(1+Assumptions!$B$19)-E14-E17*(1-Assumptions!$B$20))</f>
        <v>28456.227371556</v>
      </c>
      <c r="G16" s="4" t="n">
        <f aca="false">MAX(0,F16*(1+Assumptions!$B$19)-F14-F17*(1-Assumptions!$B$20))</f>
        <v>31067.2424633274</v>
      </c>
    </row>
    <row r="17" customFormat="false" ht="15" hidden="false" customHeight="false" outlineLevel="0" collapsed="false">
      <c r="A17" s="0" t="s">
        <v>34</v>
      </c>
      <c r="B17" s="4" t="n">
        <f aca="false">0</f>
        <v>0</v>
      </c>
      <c r="C17" s="4" t="n">
        <f aca="false">MIN(MAX(0,C12-C14/Assumptions!$B$17),MAX(0,C16*(1+Assumptions!$B$19)-C14)/(1-Assumptions!$B$20))</f>
        <v>0</v>
      </c>
      <c r="D17" s="4" t="n">
        <f aca="false">MIN(MAX(0,D12-D14/Assumptions!$B$17),MAX(0,D16*(1+Assumptions!$B$19)-D14)/(1-Assumptions!$B$20))</f>
        <v>0</v>
      </c>
      <c r="E17" s="4" t="n">
        <f aca="false">MIN(MAX(0,E12-E14/Assumptions!$B$17),MAX(0,E16*(1+Assumptions!$B$19)-E14)/(1-Assumptions!$B$20))</f>
        <v>0</v>
      </c>
      <c r="F17" s="4" t="n">
        <f aca="false">MIN(MAX(0,F12-F14/Assumptions!$B$17),MAX(0,F16*(1+Assumptions!$B$19)-F14)/(1-Assumptions!$B$20))</f>
        <v>0</v>
      </c>
      <c r="G17" s="4" t="n">
        <f aca="false">MIN(MAX(0,G12-G14/Assumptions!$B$17),MAX(0,G16*(1+Assumptions!$B$19)-G14)/(1-Assumptions!$B$20))</f>
        <v>17766.1675814574</v>
      </c>
    </row>
    <row r="18" customFormat="false" ht="15" hidden="false" customHeight="false" outlineLevel="0" collapsed="false">
      <c r="A18" s="0" t="s">
        <v>35</v>
      </c>
      <c r="B18" s="4" t="n">
        <f aca="false">0</f>
        <v>0</v>
      </c>
      <c r="C18" s="4" t="n">
        <f aca="false">MAX(0,C12-C14/Assumptions!$B$17)-C17</f>
        <v>0</v>
      </c>
      <c r="D18" s="4" t="n">
        <f aca="false">MAX(0,D12-D14/Assumptions!$B$17)-D17</f>
        <v>0</v>
      </c>
      <c r="E18" s="4" t="n">
        <f aca="false">MAX(0,E12-E14/Assumptions!$B$17)-E17</f>
        <v>0</v>
      </c>
      <c r="F18" s="4" t="n">
        <f aca="false">MAX(0,F12-F14/Assumptions!$B$17)-F17</f>
        <v>0</v>
      </c>
      <c r="G18" s="4" t="n">
        <f aca="false">MAX(0,G12-G14/Assumptions!$B$17)-G17</f>
        <v>13752.6355588082</v>
      </c>
    </row>
    <row r="19" customFormat="false" ht="15" hidden="false" customHeight="false" outlineLevel="0" collapsed="false">
      <c r="A19" s="0" t="s">
        <v>36</v>
      </c>
      <c r="B19" s="4" t="n">
        <f aca="false">B12*Assumptions!$B$17</f>
        <v>-18450</v>
      </c>
      <c r="C19" s="4" t="n">
        <f aca="false">C14+C17*(1-Assumptions!$B$20)+C18*(1-Assumptions!$B$21)</f>
        <v>875.334239999999</v>
      </c>
      <c r="D19" s="4" t="n">
        <f aca="false">D14+D17*(1-Assumptions!$B$20)+D18*(1-Assumptions!$B$21)</f>
        <v>1117.32192</v>
      </c>
      <c r="E19" s="4" t="n">
        <f aca="false">E14+E17*(1-Assumptions!$B$20)+E18*(1-Assumptions!$B$21)</f>
        <v>1370.388200544</v>
      </c>
      <c r="F19" s="4" t="n">
        <f aca="false">F14+F17*(1-Assumptions!$B$20)+F18*(1-Assumptions!$B$21)</f>
        <v>1657.419013962</v>
      </c>
      <c r="G19" s="4" t="n">
        <f aca="false">G14+G17*(1-Assumptions!$B$20)+G18*(1-Assumptions!$B$21)</f>
        <v>42603.6466122306</v>
      </c>
    </row>
    <row r="20" customFormat="false" ht="15" hidden="false" customHeight="false" outlineLevel="0" collapsed="false">
      <c r="A20" s="0" t="s">
        <v>37</v>
      </c>
      <c r="B20" s="4" t="n">
        <f aca="false">B12*(1-Assumptions!$B$17)</f>
        <v>-2050</v>
      </c>
      <c r="C20" s="4" t="n">
        <f aca="false">C12-C19</f>
        <v>97.2593599999998</v>
      </c>
      <c r="D20" s="4" t="n">
        <f aca="false">D12-D19</f>
        <v>124.14688</v>
      </c>
      <c r="E20" s="4" t="n">
        <f aca="false">E12-E19</f>
        <v>152.265355616</v>
      </c>
      <c r="F20" s="4" t="n">
        <f aca="false">F12-F19</f>
        <v>184.157668218</v>
      </c>
      <c r="G20" s="4" t="n">
        <f aca="false">G12-G19</f>
        <v>14794.0582233754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3:B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sheetData>
    <row r="3" customFormat="false" ht="15" hidden="false" customHeight="false" outlineLevel="0" collapsed="false">
      <c r="A3" s="0" t="s">
        <v>38</v>
      </c>
      <c r="B3" s="3" t="n">
        <f aca="false">IRR('Cash Flow'!$B$12:$G$12)</f>
        <v>0.26811900385948</v>
      </c>
    </row>
    <row r="4" customFormat="false" ht="15" hidden="false" customHeight="false" outlineLevel="0" collapsed="false">
      <c r="A4" s="0" t="s">
        <v>39</v>
      </c>
      <c r="B4" s="3" t="n">
        <f aca="false">IRR('Cash Flow'!$B$19:$G$19)</f>
        <v>0.224058921721093</v>
      </c>
    </row>
    <row r="5" customFormat="false" ht="15" hidden="false" customHeight="false" outlineLevel="0" collapsed="false">
      <c r="A5" s="0" t="s">
        <v>40</v>
      </c>
      <c r="B5" s="3" t="n">
        <f aca="false">IRR('Cash Flow'!$B$20:$G$20)</f>
        <v>0.515104189511541</v>
      </c>
    </row>
    <row r="6" customFormat="false" ht="15" hidden="false" customHeight="false" outlineLevel="0" collapsed="false">
      <c r="A6" s="0" t="s">
        <v>41</v>
      </c>
      <c r="B6" s="5" t="n">
        <f aca="false">SUM('Cash Flow'!$C$19:$G$19)/-'Cash Flow'!$B$19</f>
        <v>2.58125257380686</v>
      </c>
    </row>
    <row r="7" customFormat="false" ht="15" hidden="false" customHeight="false" outlineLevel="0" collapsed="false">
      <c r="A7" s="0" t="s">
        <v>42</v>
      </c>
      <c r="B7" s="4" t="n">
        <f aca="false">SUM('Cash Flow'!$B$20:$G$20)-SUM('Cash Flow'!$B$12:$G$12)*(1-Assumptions!$B$17)</f>
        <v>9054.28773981477</v>
      </c>
    </row>
    <row r="8" customFormat="false" ht="15" hidden="false" customHeight="false" outlineLevel="0" collapsed="false">
      <c r="A8" s="0" t="s">
        <v>43</v>
      </c>
      <c r="B8" s="4" t="n">
        <f aca="false">'Cash Flow'!$G$11+Assumptions!$B$13</f>
        <v>92384.7638551971</v>
      </c>
    </row>
    <row r="9" customFormat="false" ht="15" hidden="false" customHeight="false" outlineLevel="0" collapsed="false">
      <c r="A9" s="0" t="s">
        <v>44</v>
      </c>
      <c r="B9" s="4" t="n">
        <f aca="false">SUM('Cash Flow'!$B$12:$G$12)</f>
        <v>42475.997473946</v>
      </c>
    </row>
    <row r="10" customFormat="false" ht="15" hidden="false" customHeight="false" outlineLevel="0" collapsed="false">
      <c r="A10" s="0" t="s">
        <v>45</v>
      </c>
      <c r="B10" s="3" t="n">
        <f aca="false">'Cash Flow'!C8/Assumptions!$B$13</f>
        <v>0.111568252631579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2026-10-17T22:07:25Z</dcterms:created>
  <dc:creator>openpyxl</dc:creator>
  <dc:description/>
  <dc:language>en-US</dc:language>
  <cp:lastModifiedBy/>
  <dcterms:modified xsi:type="dcterms:W3CDTF">2026-10-17T22:07:25Z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