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Seasonality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<sst xmlns="http://schemas.openxmlformats.org/spreadsheetml/2006/main" count="40" uniqueCount="40">
  <si>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COSTA AZUL RESORT – SEASONAL OPERATING MODEL (EUR)</t>
  </si>
  <si>
    <t xml:space="preserve">Keys</t>
  </si>
  <si>
    <t xml:space="preserve">F&amp;B revenue (% of rooms)</t>
  </si>
  <si>
    <t xml:space="preserve">GOP margin</t>
  </si>
  <si>
    <t xml:space="preserve">FF&amp;E reserve</t>
  </si>
  <si>
    <t xml:space="preserve">Purchase price</t>
  </si>
  <si>
    <t xml:space="preserve">Exit cap rate</t>
  </si>
  <si>
    <t xml:space="preserve">Hold (years)</t>
  </si>
  <si>
    <t xml:space="preserve">RevPAR growth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</si>
  <si>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</si>
  <si>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</si>
  <si>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</si>
  <si>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</si>
  <si>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</si>
  <si>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</si>
  <si>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</si>
  <si>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</si>
  <si>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</si>
  <si>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</si>
  <si>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</si>
  <si>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</si>
  <si>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</si>
  <si>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Days</t>
  </si>
  <si>
    <t xml:space="preserve">ADR (EUR)</t>
  </si>
  <si>
    <t xml:space="preserve">Occupancy</t>
  </si>
  <si>
    <t xml:space="preserve">Rooms revenue</t>
  </si>
  <si>
    <t xml:space="preserve">Annual rooms revenue</t>
  </si>
  <si>
    <t xml:space="preserve">Annual RevPAR</t>
  </si>
  <si>
    <t xml:space="preserve">Year</t>
  </si>
  <si>
    <t xml:space="preserve">Total revenue</t>
  </si>
  <si>
    <t xml:space="preserve">EBITDA</t>
  </si>
  <si>
    <t xml:space="preserve">Sale</t>
  </si>
  <si>
    <t xml:space="preserve">Purchase</t>
  </si>
  <si>
    <t xml:space="preserve">Net cash flow</t>
  </si>
  <si>
    <t xml:space="preserve">Unlevered IRR</t>
  </si>
  <si>
    <t xml:space="preserve">Net profit</t>
  </si>
  <si>
    <t xml:space="preserve">Year 1 EBITDA</t>
  </si>
  <si>
    <t xml:space="preserve">Annual RevPAR (EUR)</t>
  </si>
  <si>
    <t xml:space="preserve">Price per key</t>
  </si>
  <si>
    <t xml:space="preserve">Going-in yield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</si>
</sst>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240</v>
      </c>
    </row>
    <row r="4" customFormat="false" ht="15" hidden="false" customHeight="false" outlineLevel="0" collapsed="false">
      <c r="A4" s="0" t="s">
        <v>2</v>
      </c>
      <c r="B4" s="2" t="n">
        <v>0.45</v>
      </c>
    </row>
    <row r="5" customFormat="false" ht="15" hidden="false" customHeight="false" outlineLevel="0" collapsed="false">
      <c r="A5" s="0" t="s">
        <v>3</v>
      </c>
      <c r="B5" s="2" t="n">
        <v>0.36</v>
      </c>
    </row>
    <row r="6" customFormat="false" ht="15" hidden="false" customHeight="false" outlineLevel="0" collapsed="false">
      <c r="A6" s="0" t="s">
        <v>4</v>
      </c>
      <c r="B6" s="2" t="n">
        <v>0.04</v>
      </c>
    </row>
    <row r="7" customFormat="false" ht="15" hidden="false" customHeight="false" outlineLevel="0" collapsed="false">
      <c r="A7" s="0" t="s">
        <v>5</v>
      </c>
      <c r="B7" s="1" t="n">
        <v>72000000</v>
      </c>
    </row>
    <row r="8" customFormat="false" ht="15" hidden="false" customHeight="false" outlineLevel="0" collapsed="false">
      <c r="A8" s="0" t="s">
        <v>6</v>
      </c>
      <c r="B8" s="2" t="n">
        <v>0.075</v>
      </c>
    </row>
    <row r="9" customFormat="false" ht="15" hidden="false" customHeight="false" outlineLevel="0" collapsed="false">
      <c r="A9" s="0" t="s">
        <v>7</v>
      </c>
      <c r="B9" s="3" t="n">
        <v>5</v>
      </c>
    </row>
    <row r="10" customFormat="false" ht="15" hidden="false" customHeight="false" outlineLevel="0" collapsed="false">
      <c r="A10" s="0" t="s">
        <v>8</v>
      </c>
      <c r="B10" s="2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 customFormat="false" ht="15" hidden="false" customHeight="false" outlineLevel="0" collapsed="false">
      <c r="A2" s="0" t="s">
        <v>22</v>
      </c>
      <c r="B2" s="0" t="n">
        <v>31</v>
      </c>
      <c r="C2" s="0" t="n">
        <v>28</v>
      </c>
      <c r="D2" s="0" t="n">
        <v>31</v>
      </c>
      <c r="E2" s="0" t="n">
        <v>30</v>
      </c>
      <c r="F2" s="0" t="n">
        <v>31</v>
      </c>
      <c r="G2" s="0" t="n">
        <v>30</v>
      </c>
      <c r="H2" s="0" t="n">
        <v>31</v>
      </c>
      <c r="I2" s="0" t="n">
        <v>31</v>
      </c>
      <c r="J2" s="0" t="n">
        <v>30</v>
      </c>
      <c r="K2" s="0" t="n">
        <v>31</v>
      </c>
      <c r="L2" s="0" t="n">
        <v>30</v>
      </c>
      <c r="M2" s="0" t="n">
        <v>31</v>
      </c>
    </row>
    <row r="3" customFormat="false" ht="15" hidden="false" customHeight="false" outlineLevel="0" collapsed="false">
      <c r="A3" s="0" t="s">
        <v>23</v>
      </c>
      <c r="B3" s="0" t="n">
        <v>120</v>
      </c>
      <c r="C3" s="0" t="n">
        <v>125</v>
      </c>
      <c r="D3" s="0" t="n">
        <v>140</v>
      </c>
      <c r="E3" s="0" t="n">
        <v>165</v>
      </c>
      <c r="F3" s="0" t="n">
        <v>190</v>
      </c>
      <c r="G3" s="0" t="n">
        <v>245</v>
      </c>
      <c r="H3" s="0" t="n">
        <v>290</v>
      </c>
      <c r="I3" s="0" t="n">
        <v>300</v>
      </c>
      <c r="J3" s="0" t="n">
        <v>220</v>
      </c>
      <c r="K3" s="0" t="n">
        <v>170</v>
      </c>
      <c r="L3" s="0" t="n">
        <v>130</v>
      </c>
      <c r="M3" s="0" t="n">
        <v>135</v>
      </c>
    </row>
    <row r="4" customFormat="false" ht="15" hidden="false" customHeight="false" outlineLevel="0" collapsed="false">
      <c r="A4" s="0" t="s">
        <v>24</v>
      </c>
      <c r="B4" s="2" t="n">
        <v>0.42</v>
      </c>
      <c r="C4" s="2" t="n">
        <v>0.48</v>
      </c>
      <c r="D4" s="2" t="n">
        <v>0.58</v>
      </c>
      <c r="E4" s="2" t="n">
        <v>0.68</v>
      </c>
      <c r="F4" s="2" t="n">
        <v>0.76</v>
      </c>
      <c r="G4" s="2" t="n">
        <v>0.88</v>
      </c>
      <c r="H4" s="2" t="n">
        <v>0.94</v>
      </c>
      <c r="I4" s="2" t="n">
        <v>0.95</v>
      </c>
      <c r="J4" s="2" t="n">
        <v>0.84</v>
      </c>
      <c r="K4" s="2" t="n">
        <v>0.7</v>
      </c>
      <c r="L4" s="2" t="n">
        <v>0.5</v>
      </c>
      <c r="M4" s="2" t="n">
        <v>0.47</v>
      </c>
    </row>
    <row r="5" customFormat="false" ht="15" hidden="false" customHeight="false" outlineLevel="0" collapsed="false">
      <c r="A5" s="0" t="s">
        <v>25</v>
      </c>
      <c r="B5" s="0" t="n">
        <f aca="false">B3*B4*B2*Assumptions!$B$3</f>
        <v>374976</v>
      </c>
      <c r="C5" s="0" t="n">
        <f aca="false">C3*C4*C2*Assumptions!$B$3</f>
        <v>403200</v>
      </c>
      <c r="D5" s="0" t="n">
        <f aca="false">D3*D4*D2*Assumptions!$B$3</f>
        <v>604128</v>
      </c>
      <c r="E5" s="0" t="n">
        <f aca="false">E3*E4*E2*Assumptions!$B$3</f>
        <v>807840</v>
      </c>
      <c r="F5" s="0" t="n">
        <f aca="false">F3*F4*F2*Assumptions!$B$3</f>
        <v>1074336</v>
      </c>
      <c r="G5" s="0" t="n">
        <f aca="false">G3*G4*G2*Assumptions!$B$3</f>
        <v>1552320</v>
      </c>
      <c r="H5" s="0" t="n">
        <f aca="false">H3*H4*H2*Assumptions!$B$3</f>
        <v>2028144</v>
      </c>
      <c r="I5" s="0" t="n">
        <f aca="false">I3*I4*I2*Assumptions!$B$3</f>
        <v>2120400</v>
      </c>
      <c r="J5" s="0" t="n">
        <f aca="false">J3*J4*J2*Assumptions!$B$3</f>
        <v>1330560</v>
      </c>
      <c r="K5" s="0" t="n">
        <f aca="false">K3*K4*K2*Assumptions!$B$3</f>
        <v>885360</v>
      </c>
      <c r="L5" s="0" t="n">
        <f aca="false">L3*L4*L2*Assumptions!$B$3</f>
        <v>468000</v>
      </c>
      <c r="M5" s="0" t="n">
        <f aca="false">M3*M4*M2*Assumptions!$B$3</f>
        <v>472068</v>
      </c>
    </row>
    <row r="7" customFormat="false" ht="15" hidden="false" customHeight="false" outlineLevel="0" collapsed="false">
      <c r="A7" s="0" t="s">
        <v>26</v>
      </c>
      <c r="B7" s="0" t="n">
        <f aca="false">SUM(B5:M5)</f>
        <v>12121332</v>
      </c>
    </row>
    <row r="8" customFormat="false" ht="15" hidden="false" customHeight="false" outlineLevel="0" collapsed="false">
      <c r="A8" s="0" t="s">
        <v>27</v>
      </c>
      <c r="B8" s="0" t="n">
        <f aca="false">B7/(Assumptions!$B$3*365)</f>
        <v>138.371369863014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28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</row>
    <row r="4" customFormat="false" ht="15" hidden="false" customHeight="false" outlineLevel="0" collapsed="false">
      <c r="A4" s="0" t="s">
        <v>29</v>
      </c>
      <c r="B4" s="0" t="n">
        <f aca="false">(B$3&gt;=1)*(B$3&lt;=Assumptions!$B$9)*Seasonality!$B$7*(1+Assumptions!$B$4)*(1+Assumptions!$B$10)^MAX(0,B$3-1)</f>
        <v>0</v>
      </c>
      <c r="C4" s="0" t="n">
        <f aca="false">(C$3&gt;=1)*(C$3&lt;=Assumptions!$B$9)*Seasonality!$B$7*(1+Assumptions!$B$4)*(1+Assumptions!$B$10)^MAX(0,C$3-1)</f>
        <v>17575931.4</v>
      </c>
      <c r="D4" s="0" t="n">
        <f aca="false">(D$3&gt;=1)*(D$3&lt;=Assumptions!$B$9)*Seasonality!$B$7*(1+Assumptions!$B$4)*(1+Assumptions!$B$10)^MAX(0,D$3-1)</f>
        <v>18103209.342</v>
      </c>
      <c r="E4" s="0" t="n">
        <f aca="false">(E$3&gt;=1)*(E$3&lt;=Assumptions!$B$9)*Seasonality!$B$7*(1+Assumptions!$B$4)*(1+Assumptions!$B$10)^MAX(0,E$3-1)</f>
        <v>18646305.62226</v>
      </c>
      <c r="F4" s="0" t="n">
        <f aca="false">(F$3&gt;=1)*(F$3&lt;=Assumptions!$B$9)*Seasonality!$B$7*(1+Assumptions!$B$4)*(1+Assumptions!$B$10)^MAX(0,F$3-1)</f>
        <v>19205694.7909278</v>
      </c>
      <c r="G4" s="0" t="n">
        <f aca="false">(G$3&gt;=1)*(G$3&lt;=Assumptions!$B$9)*Seasonality!$B$7*(1+Assumptions!$B$4)*(1+Assumptions!$B$10)^MAX(0,G$3-1)</f>
        <v>19781865.6346556</v>
      </c>
      <c r="H4" s="0" t="n">
        <f aca="false">(H$3&gt;=1)*(H$3&lt;=Assumptions!$B$9)*Seasonality!$B$7*(1+Assumptions!$B$4)*(1+Assumptions!$B$10)^MAX(0,H$3-1)</f>
        <v>0</v>
      </c>
    </row>
    <row r="5" customFormat="false" ht="15" hidden="false" customHeight="false" outlineLevel="0" collapsed="false">
      <c r="A5" s="0" t="s">
        <v>30</v>
      </c>
      <c r="B5" s="0" t="n">
        <f aca="false">B4*(Assumptions!$B$5-Assumptions!$B$6)</f>
        <v>0</v>
      </c>
      <c r="C5" s="0" t="n">
        <f aca="false">C4*(Assumptions!$B$5-Assumptions!$B$6)</f>
        <v>5624298.048</v>
      </c>
      <c r="D5" s="0" t="n">
        <f aca="false">D4*(Assumptions!$B$5-Assumptions!$B$6)</f>
        <v>5793026.98944</v>
      </c>
      <c r="E5" s="0" t="n">
        <f aca="false">E4*(Assumptions!$B$5-Assumptions!$B$6)</f>
        <v>5966817.7991232</v>
      </c>
      <c r="F5" s="0" t="n">
        <f aca="false">F4*(Assumptions!$B$5-Assumptions!$B$6)</f>
        <v>6145822.3330969</v>
      </c>
      <c r="G5" s="0" t="n">
        <f aca="false">G4*(Assumptions!$B$5-Assumptions!$B$6)</f>
        <v>6330197.0030898</v>
      </c>
      <c r="H5" s="0" t="n">
        <f aca="false">H4*(Assumptions!$B$5-Assumptions!$B$6)</f>
        <v>0</v>
      </c>
    </row>
    <row r="6" customFormat="false" ht="15" hidden="false" customHeight="false" outlineLevel="0" collapsed="false">
      <c r="A6" s="0" t="s">
        <v>31</v>
      </c>
      <c r="B6" s="0" t="n">
        <f aca="false">IF(B$3=Assumptions!$B$9,B5*(1+Assumptions!$B$10)/Assumptions!$B$8,0)</f>
        <v>0</v>
      </c>
      <c r="C6" s="0" t="n">
        <f aca="false">IF(C$3=Assumptions!$B$9,C5*(1+Assumptions!$B$10)/Assumptions!$B$8,0)</f>
        <v>0</v>
      </c>
      <c r="D6" s="0" t="n">
        <f aca="false">IF(D$3=Assumptions!$B$9,D5*(1+Assumptions!$B$10)/Assumptions!$B$8,0)</f>
        <v>0</v>
      </c>
      <c r="E6" s="0" t="n">
        <f aca="false">IF(E$3=Assumptions!$B$9,E5*(1+Assumptions!$B$10)/Assumptions!$B$8,0)</f>
        <v>0</v>
      </c>
      <c r="F6" s="0" t="n">
        <f aca="false">IF(F$3=Assumptions!$B$9,F5*(1+Assumptions!$B$10)/Assumptions!$B$8,0)</f>
        <v>0</v>
      </c>
      <c r="G6" s="0" t="n">
        <f aca="false">IF(G$3=Assumptions!$B$9,G5*(1+Assumptions!$B$10)/Assumptions!$B$8,0)</f>
        <v>86934705.5091</v>
      </c>
      <c r="H6" s="0" t="n">
        <f aca="false">IF(H$3=Assumptions!$B$9,H5*(1+Assumptions!$B$10)/Assumptions!$B$8,0)</f>
        <v>0</v>
      </c>
    </row>
    <row r="7" customFormat="false" ht="15" hidden="false" customHeight="false" outlineLevel="0" collapsed="false">
      <c r="A7" s="0" t="s">
        <v>32</v>
      </c>
      <c r="B7" s="0" t="n">
        <f aca="false">IF(B$3=0,-Assumptions!$B$7,0)</f>
        <v>-72000000</v>
      </c>
      <c r="C7" s="0" t="n">
        <f aca="false">IF(C$3=0,-Assumptions!$B$7,0)</f>
        <v>0</v>
      </c>
      <c r="D7" s="0" t="n">
        <f aca="false">IF(D$3=0,-Assumptions!$B$7,0)</f>
        <v>0</v>
      </c>
      <c r="E7" s="0" t="n">
        <f aca="false">IF(E$3=0,-Assumptions!$B$7,0)</f>
        <v>0</v>
      </c>
      <c r="F7" s="0" t="n">
        <f aca="false">IF(F$3=0,-Assumptions!$B$7,0)</f>
        <v>0</v>
      </c>
      <c r="G7" s="0" t="n">
        <f aca="false">IF(G$3=0,-Assumptions!$B$7,0)</f>
        <v>0</v>
      </c>
      <c r="H7" s="0" t="n">
        <f aca="false">IF(H$3=0,-Assumptions!$B$7,0)</f>
        <v>0</v>
      </c>
    </row>
    <row r="8" customFormat="false" ht="15" hidden="false" customHeight="false" outlineLevel="0" collapsed="false">
      <c r="A8" s="0" t="s">
        <v>33</v>
      </c>
      <c r="B8" s="0" t="n">
        <f aca="false">SUM(B5:B7)</f>
        <v>-72000000</v>
      </c>
      <c r="C8" s="0" t="n">
        <f aca="false">SUM(C5:C7)</f>
        <v>5624298.048</v>
      </c>
      <c r="D8" s="0" t="n">
        <f aca="false">SUM(D5:D7)</f>
        <v>5793026.98944</v>
      </c>
      <c r="E8" s="0" t="n">
        <f aca="false">SUM(E5:E7)</f>
        <v>5966817.7991232</v>
      </c>
      <c r="F8" s="0" t="n">
        <f aca="false">SUM(F5:F7)</f>
        <v>6145822.3330969</v>
      </c>
      <c r="G8" s="0" t="n">
        <f aca="false">SUM(G5:G7)</f>
        <v>93264902.5121898</v>
      </c>
      <c r="H8" s="0" t="n">
        <f aca="false">SUM(H5:H7)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34</v>
      </c>
      <c r="B3" s="2" t="n">
        <f aca="false">IRR('Cash Flow'!B8:H8)</f>
        <v>0.115366100055549</v>
      </c>
    </row>
    <row r="4" customFormat="false" ht="15" hidden="false" customHeight="false" outlineLevel="0" collapsed="false">
      <c r="A4" s="0" t="s">
        <v>35</v>
      </c>
      <c r="B4" s="1" t="n">
        <f aca="false">SUM('Cash Flow'!B8:H8)</f>
        <v>44794867.6818499</v>
      </c>
    </row>
    <row r="5" customFormat="false" ht="15" hidden="false" customHeight="false" outlineLevel="0" collapsed="false">
      <c r="A5" s="0" t="s">
        <v>36</v>
      </c>
      <c r="B5" s="1" t="n">
        <f aca="false">'Cash Flow'!C5</f>
        <v>5624298.048</v>
      </c>
    </row>
    <row r="6" customFormat="false" ht="15" hidden="false" customHeight="false" outlineLevel="0" collapsed="false">
      <c r="A6" s="0" t="s">
        <v>37</v>
      </c>
      <c r="B6" s="4" t="n">
        <f aca="false">Seasonality!B8</f>
        <v>138.371369863014</v>
      </c>
    </row>
    <row r="7" customFormat="false" ht="15" hidden="false" customHeight="false" outlineLevel="0" collapsed="false">
      <c r="A7" s="0" t="s">
        <v>38</v>
      </c>
      <c r="B7" s="1" t="n">
        <f aca="false">Assumptions!$B$7/Assumptions!$B$3</f>
        <v>300000</v>
      </c>
    </row>
    <row r="8" customFormat="false" ht="15" hidden="false" customHeight="false" outlineLevel="0" collapsed="false">
      <c r="A8" s="0" t="s">
        <v>39</v>
      </c>
      <c r="B8" s="2" t="n">
        <f aca="false">'Cash Flow'!C5/Assumptions!$B$7</f>
        <v>0.0781152506666667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2026-10-16T21:42:31Z</dcterms:created>
  <dc:creator>openpyxl</dc:creator>
  <dc:description/>
  <dc:language>en-US</dc:language>
  <cp:lastModifiedBy/>
  <dcterms:modified xsi:type="dcterms:W3CDTF">2026-10-16T21:42:31Z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