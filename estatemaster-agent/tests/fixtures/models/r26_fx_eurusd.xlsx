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<sst xmlns="http://schemas.openxmlformats.org/spreadsheetml/2006/main" count="27" uniqueCount="27">
  <si>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TOUR LUMIÈRE – PARIS OFFICE IN A USD FUND (EUR / USD)</t>
  </si>
  <si>
    <t xml:space="preserve">Purchase price (EUR)</t>
  </si>
  <si>
    <t xml:space="preserve">Rent a year (EUR)</t>
  </si>
  <si>
    <t xml:space="preserve">Indexation</t>
  </si>
  <si>
    <t xml:space="preserve">Void at lease break (months)</t>
  </si>
  <si>
    <t xml:space="preserve">Lease break in year</t>
  </si>
  <si>
    <t xml:space="preserve">Exit yield</t>
  </si>
  <si>
    <t xml:space="preserve">EURUSD today</t>
  </si>
  <si>
    <t xml:space="preserve">EURUSD at exit</t>
  </si>
  <si>
    <t xml:space="preserve">Hedge cost a year</t>
  </si>
  <si>
    <t xml:space="preserve">LTV</t>
  </si>
  <si>
    <t xml:space="preserve">Loan rate</t>
  </si>
  <si>
    <t xml:space="preserve">Year</t>
  </si>
  <si>
    <t xml:space="preserve">Rent</t>
  </si>
  <si>
    <t xml:space="preserve">Interest</t>
  </si>
  <si>
    <t xml:space="preserve">Exit</t>
  </si>
  <si>
    <t xml:space="preserve">Loan</t>
  </si>
  <si>
    <t xml:space="preserve">Cash flow (EUR)</t>
  </si>
  <si>
    <t xml:space="preserve">FX rate</t>
  </si>
  <si>
    <t xml:space="preserve">Hedge cost (USD)</t>
  </si>
  <si>
    <t xml:space="preserve">Cash flow (USD)</t>
  </si>
  <si>
    <t xml:space="preserve">Levered IRR (EUR)</t>
  </si>
  <si>
    <t xml:space="preserve">Levered IRR (USD)</t>
  </si>
  <si>
    <t xml:space="preserve">Net profit (EUR)</t>
  </si>
  <si>
    <t xml:space="preserve">Net profit (USD)</t>
  </si>
  <si>
    <t xml:space="preserve">FX gain or loss (USD)</t>
  </si>
  <si>
    <t xml:space="preserve">Hedge cost over the hold (USD)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</si>
</sst>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0.0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212000000</v>
      </c>
    </row>
    <row r="4" customFormat="false" ht="15" hidden="false" customHeight="false" outlineLevel="0" collapsed="false">
      <c r="A4" s="0" t="s">
        <v>2</v>
      </c>
      <c r="B4" s="1" t="n">
        <v>11800000</v>
      </c>
    </row>
    <row r="5" customFormat="false" ht="15" hidden="false" customHeight="false" outlineLevel="0" collapsed="false">
      <c r="A5" s="0" t="s">
        <v>3</v>
      </c>
      <c r="B5" s="2" t="n">
        <v>0.021</v>
      </c>
    </row>
    <row r="6" customFormat="false" ht="15" hidden="false" customHeight="false" outlineLevel="0" collapsed="false">
      <c r="A6" s="0" t="s">
        <v>4</v>
      </c>
      <c r="B6" s="3" t="n">
        <v>9</v>
      </c>
    </row>
    <row r="7" customFormat="false" ht="15" hidden="false" customHeight="false" outlineLevel="0" collapsed="false">
      <c r="A7" s="0" t="s">
        <v>5</v>
      </c>
      <c r="B7" s="3" t="n">
        <v>4</v>
      </c>
    </row>
    <row r="8" customFormat="false" ht="15" hidden="false" customHeight="false" outlineLevel="0" collapsed="false">
      <c r="A8" s="0" t="s">
        <v>6</v>
      </c>
      <c r="B8" s="2" t="n">
        <v>0.0475</v>
      </c>
    </row>
    <row r="9" customFormat="false" ht="15" hidden="false" customHeight="false" outlineLevel="0" collapsed="false">
      <c r="A9" s="0" t="s">
        <v>7</v>
      </c>
      <c r="B9" s="4" t="n">
        <v>1.085</v>
      </c>
    </row>
    <row r="10" customFormat="false" ht="15" hidden="false" customHeight="false" outlineLevel="0" collapsed="false">
      <c r="A10" s="0" t="s">
        <v>8</v>
      </c>
      <c r="B10" s="4" t="n">
        <v>1.12</v>
      </c>
    </row>
    <row r="11" customFormat="false" ht="15" hidden="false" customHeight="false" outlineLevel="0" collapsed="false">
      <c r="A11" s="0" t="s">
        <v>9</v>
      </c>
      <c r="B11" s="2" t="n">
        <v>0.0115</v>
      </c>
    </row>
    <row r="12" customFormat="false" ht="15" hidden="false" customHeight="false" outlineLevel="0" collapsed="false">
      <c r="A12" s="0" t="s">
        <v>10</v>
      </c>
      <c r="B12" s="2" t="n">
        <v>0.45</v>
      </c>
    </row>
    <row r="13" customFormat="false" ht="15" hidden="false" customHeight="false" outlineLevel="0" collapsed="false">
      <c r="A13" s="0" t="s">
        <v>11</v>
      </c>
      <c r="B13" s="2" t="n">
        <v>0.039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12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</row>
    <row r="4" customFormat="false" ht="15" hidden="false" customHeight="false" outlineLevel="0" collapsed="false">
      <c r="A4" s="0" t="s">
        <v>13</v>
      </c>
      <c r="B4" s="0" t="n">
        <f aca="false">0</f>
        <v>0</v>
      </c>
      <c r="C4" s="0" t="n">
        <f aca="false">Inputs!$B$4*(1+Inputs!$B$5)^(C$3-1)*IF(C$3=Inputs!$B$7+1,1-Inputs!$B$6/12,1)</f>
        <v>11800000</v>
      </c>
      <c r="D4" s="0" t="n">
        <f aca="false">Inputs!$B$4*(1+Inputs!$B$5)^(D$3-1)*IF(D$3=Inputs!$B$7+1,1-Inputs!$B$6/12,1)</f>
        <v>12047800</v>
      </c>
      <c r="E4" s="0" t="n">
        <f aca="false">Inputs!$B$4*(1+Inputs!$B$5)^(E$3-1)*IF(E$3=Inputs!$B$7+1,1-Inputs!$B$6/12,1)</f>
        <v>12300803.8</v>
      </c>
      <c r="F4" s="0" t="n">
        <f aca="false">Inputs!$B$4*(1+Inputs!$B$5)^(F$3-1)*IF(F$3=Inputs!$B$7+1,1-Inputs!$B$6/12,1)</f>
        <v>12559120.6798</v>
      </c>
      <c r="G4" s="0" t="n">
        <f aca="false">Inputs!$B$4*(1+Inputs!$B$5)^(G$3-1)*IF(G$3=Inputs!$B$7+1,1-Inputs!$B$6/12,1)</f>
        <v>3205715.55351895</v>
      </c>
      <c r="H4" s="0" t="n">
        <f aca="false">Inputs!$B$4*(1+Inputs!$B$5)^(H$3-1)*IF(H$3=Inputs!$B$7+1,1-Inputs!$B$6/12,1)</f>
        <v>13092142.3205714</v>
      </c>
      <c r="I4" s="0" t="n">
        <f aca="false">Inputs!$B$4*(1+Inputs!$B$5)^(I$3-1)*IF(I$3=Inputs!$B$7+1,1-Inputs!$B$6/12,1)</f>
        <v>13367077.3093034</v>
      </c>
    </row>
    <row r="5" customFormat="false" ht="15" hidden="false" customHeight="false" outlineLevel="0" collapsed="false">
      <c r="A5" s="0" t="s">
        <v>14</v>
      </c>
      <c r="B5" s="0" t="n">
        <f aca="false">0</f>
        <v>0</v>
      </c>
      <c r="C5" s="0" t="n">
        <f aca="false">Inputs!$B$3*Inputs!$B$12*Inputs!$B$13</f>
        <v>3720600</v>
      </c>
      <c r="D5" s="0" t="n">
        <f aca="false">Inputs!$B$3*Inputs!$B$12*Inputs!$B$13</f>
        <v>3720600</v>
      </c>
      <c r="E5" s="0" t="n">
        <f aca="false">Inputs!$B$3*Inputs!$B$12*Inputs!$B$13</f>
        <v>3720600</v>
      </c>
      <c r="F5" s="0" t="n">
        <f aca="false">Inputs!$B$3*Inputs!$B$12*Inputs!$B$13</f>
        <v>3720600</v>
      </c>
      <c r="G5" s="0" t="n">
        <f aca="false">Inputs!$B$3*Inputs!$B$12*Inputs!$B$13</f>
        <v>3720600</v>
      </c>
      <c r="H5" s="0" t="n">
        <f aca="false">Inputs!$B$3*Inputs!$B$12*Inputs!$B$13</f>
        <v>3720600</v>
      </c>
      <c r="I5" s="0" t="n">
        <f aca="false">Inputs!$B$3*Inputs!$B$12*Inputs!$B$13</f>
        <v>3720600</v>
      </c>
    </row>
    <row r="6" customFormat="false" ht="15" hidden="false" customHeight="false" outlineLevel="0" collapsed="false">
      <c r="A6" s="0" t="s">
        <v>15</v>
      </c>
      <c r="B6" s="0" t="n">
        <f aca="false">IF(B$3=7,B4*(1+Inputs!$B$5)/Inputs!$B$8,0)</f>
        <v>0</v>
      </c>
      <c r="C6" s="0" t="n">
        <f aca="false">IF(C$3=7,C4*(1+Inputs!$B$5)/Inputs!$B$8,0)</f>
        <v>0</v>
      </c>
      <c r="D6" s="0" t="n">
        <f aca="false">IF(D$3=7,D4*(1+Inputs!$B$5)/Inputs!$B$8,0)</f>
        <v>0</v>
      </c>
      <c r="E6" s="0" t="n">
        <f aca="false">IF(E$3=7,E4*(1+Inputs!$B$5)/Inputs!$B$8,0)</f>
        <v>0</v>
      </c>
      <c r="F6" s="0" t="n">
        <f aca="false">IF(F$3=7,F4*(1+Inputs!$B$5)/Inputs!$B$8,0)</f>
        <v>0</v>
      </c>
      <c r="G6" s="0" t="n">
        <f aca="false">IF(G$3=7,G4*(1+Inputs!$B$5)/Inputs!$B$8,0)</f>
        <v>0</v>
      </c>
      <c r="H6" s="0" t="n">
        <f aca="false">IF(H$3=7,H4*(1+Inputs!$B$5)/Inputs!$B$8,0)</f>
        <v>0</v>
      </c>
      <c r="I6" s="0" t="n">
        <f aca="false">IF(I$3=7,I4*(1+Inputs!$B$5)/Inputs!$B$8,0)</f>
        <v>287321809.111553</v>
      </c>
    </row>
    <row r="7" customFormat="false" ht="15" hidden="false" customHeight="false" outlineLevel="0" collapsed="false">
      <c r="A7" s="0" t="s">
        <v>16</v>
      </c>
      <c r="B7" s="0" t="n">
        <f aca="false">IF(B$3=0,Inputs!$B$3*Inputs!$B$12,IF(B$3=7,-Inputs!$B$3*Inputs!$B$12,0))</f>
        <v>95400000</v>
      </c>
      <c r="C7" s="0" t="n">
        <f aca="false">IF(C$3=0,Inputs!$B$3*Inputs!$B$12,IF(C$3=7,-Inputs!$B$3*Inputs!$B$12,0))</f>
        <v>0</v>
      </c>
      <c r="D7" s="0" t="n">
        <f aca="false">IF(D$3=0,Inputs!$B$3*Inputs!$B$12,IF(D$3=7,-Inputs!$B$3*Inputs!$B$12,0))</f>
        <v>0</v>
      </c>
      <c r="E7" s="0" t="n">
        <f aca="false">IF(E$3=0,Inputs!$B$3*Inputs!$B$12,IF(E$3=7,-Inputs!$B$3*Inputs!$B$12,0))</f>
        <v>0</v>
      </c>
      <c r="F7" s="0" t="n">
        <f aca="false">IF(F$3=0,Inputs!$B$3*Inputs!$B$12,IF(F$3=7,-Inputs!$B$3*Inputs!$B$12,0))</f>
        <v>0</v>
      </c>
      <c r="G7" s="0" t="n">
        <f aca="false">IF(G$3=0,Inputs!$B$3*Inputs!$B$12,IF(G$3=7,-Inputs!$B$3*Inputs!$B$12,0))</f>
        <v>0</v>
      </c>
      <c r="H7" s="0" t="n">
        <f aca="false">IF(H$3=0,Inputs!$B$3*Inputs!$B$12,IF(H$3=7,-Inputs!$B$3*Inputs!$B$12,0))</f>
        <v>0</v>
      </c>
      <c r="I7" s="0" t="n">
        <f aca="false">IF(I$3=0,Inputs!$B$3*Inputs!$B$12,IF(I$3=7,-Inputs!$B$3*Inputs!$B$12,0))</f>
        <v>-95400000</v>
      </c>
    </row>
    <row r="8" customFormat="false" ht="15" hidden="false" customHeight="false" outlineLevel="0" collapsed="false">
      <c r="A8" s="0" t="s">
        <v>17</v>
      </c>
      <c r="B8" s="0" t="n">
        <f aca="false">-Inputs!$B$3+B7</f>
        <v>-116600000</v>
      </c>
      <c r="C8" s="0" t="n">
        <f aca="false">C4-C5+C6+C7</f>
        <v>8079400</v>
      </c>
      <c r="D8" s="0" t="n">
        <f aca="false">D4-D5+D6+D7</f>
        <v>8327200</v>
      </c>
      <c r="E8" s="0" t="n">
        <f aca="false">E4-E5+E6+E7</f>
        <v>8580203.8</v>
      </c>
      <c r="F8" s="0" t="n">
        <f aca="false">F4-F5+F6+F7</f>
        <v>8838520.6798</v>
      </c>
      <c r="G8" s="0" t="n">
        <f aca="false">G4-G5+G6+G7</f>
        <v>-514884.446481051</v>
      </c>
      <c r="H8" s="0" t="n">
        <f aca="false">H4-H5+H6+H7</f>
        <v>9371542.32057139</v>
      </c>
      <c r="I8" s="0" t="n">
        <f aca="false">I4-I5+I6+I7</f>
        <v>201568286.420856</v>
      </c>
    </row>
    <row r="9" customFormat="false" ht="15" hidden="false" customHeight="false" outlineLevel="0" collapsed="false">
      <c r="A9" s="0" t="s">
        <v>18</v>
      </c>
      <c r="B9" s="0" t="n">
        <f aca="false">Inputs!$B$9+(Inputs!$B$10-Inputs!$B$9)*B$3/7</f>
        <v>1.085</v>
      </c>
      <c r="C9" s="0" t="n">
        <f aca="false">Inputs!$B$9+(Inputs!$B$10-Inputs!$B$9)*C$3/7</f>
        <v>1.09</v>
      </c>
      <c r="D9" s="0" t="n">
        <f aca="false">Inputs!$B$9+(Inputs!$B$10-Inputs!$B$9)*D$3/7</f>
        <v>1.095</v>
      </c>
      <c r="E9" s="0" t="n">
        <f aca="false">Inputs!$B$9+(Inputs!$B$10-Inputs!$B$9)*E$3/7</f>
        <v>1.1</v>
      </c>
      <c r="F9" s="0" t="n">
        <f aca="false">Inputs!$B$9+(Inputs!$B$10-Inputs!$B$9)*F$3/7</f>
        <v>1.105</v>
      </c>
      <c r="G9" s="0" t="n">
        <f aca="false">Inputs!$B$9+(Inputs!$B$10-Inputs!$B$9)*G$3/7</f>
        <v>1.11</v>
      </c>
      <c r="H9" s="0" t="n">
        <f aca="false">Inputs!$B$9+(Inputs!$B$10-Inputs!$B$9)*H$3/7</f>
        <v>1.115</v>
      </c>
      <c r="I9" s="0" t="n">
        <f aca="false">Inputs!$B$9+(Inputs!$B$10-Inputs!$B$9)*I$3/7</f>
        <v>1.12</v>
      </c>
    </row>
    <row r="10" customFormat="false" ht="15" hidden="false" customHeight="false" outlineLevel="0" collapsed="false">
      <c r="A10" s="0" t="s">
        <v>19</v>
      </c>
      <c r="B10" s="0" t="n">
        <f aca="false">0</f>
        <v>0</v>
      </c>
      <c r="C10" s="0" t="n">
        <f aca="false">Inputs!$B$3*(1-Inputs!$B$12)*Inputs!$B$11*C9</f>
        <v>1461581</v>
      </c>
      <c r="D10" s="0" t="n">
        <f aca="false">Inputs!$B$3*(1-Inputs!$B$12)*Inputs!$B$11*D9</f>
        <v>1468285.5</v>
      </c>
      <c r="E10" s="0" t="n">
        <f aca="false">Inputs!$B$3*(1-Inputs!$B$12)*Inputs!$B$11*E9</f>
        <v>1474990</v>
      </c>
      <c r="F10" s="0" t="n">
        <f aca="false">Inputs!$B$3*(1-Inputs!$B$12)*Inputs!$B$11*F9</f>
        <v>1481694.5</v>
      </c>
      <c r="G10" s="0" t="n">
        <f aca="false">Inputs!$B$3*(1-Inputs!$B$12)*Inputs!$B$11*G9</f>
        <v>1488399</v>
      </c>
      <c r="H10" s="0" t="n">
        <f aca="false">Inputs!$B$3*(1-Inputs!$B$12)*Inputs!$B$11*H9</f>
        <v>1495103.5</v>
      </c>
      <c r="I10" s="0" t="n">
        <f aca="false">Inputs!$B$3*(1-Inputs!$B$12)*Inputs!$B$11*I9</f>
        <v>1501808</v>
      </c>
    </row>
    <row r="11" customFormat="false" ht="15" hidden="false" customHeight="false" outlineLevel="0" collapsed="false">
      <c r="A11" s="0" t="s">
        <v>20</v>
      </c>
      <c r="B11" s="0" t="n">
        <f aca="false">B8*B9-B10</f>
        <v>-126511000</v>
      </c>
      <c r="C11" s="0" t="n">
        <f aca="false">C8*C9-C10</f>
        <v>7344965</v>
      </c>
      <c r="D11" s="0" t="n">
        <f aca="false">D8*D9-D10</f>
        <v>7649998.5</v>
      </c>
      <c r="E11" s="0" t="n">
        <f aca="false">E8*E9-E10</f>
        <v>7963234.18</v>
      </c>
      <c r="F11" s="0" t="n">
        <f aca="false">F8*F9-F10</f>
        <v>8284870.851179</v>
      </c>
      <c r="G11" s="0" t="n">
        <f aca="false">G8*G9-G10</f>
        <v>-2059920.73559397</v>
      </c>
      <c r="H11" s="0" t="n">
        <f aca="false">H8*H9-H10</f>
        <v>8954166.1874371</v>
      </c>
      <c r="I11" s="0" t="n">
        <f aca="false">I8*I9-I10</f>
        <v>224254672.791359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21</v>
      </c>
      <c r="B3" s="2" t="n">
        <f aca="false">IRR('Cash Flow'!$B$8:$I$8)</f>
        <v>0.127285711967847</v>
      </c>
    </row>
    <row r="4" customFormat="false" ht="15" hidden="false" customHeight="false" outlineLevel="0" collapsed="false">
      <c r="A4" s="0" t="s">
        <v>22</v>
      </c>
      <c r="B4" s="2" t="n">
        <f aca="false">IRR('Cash Flow'!$B$11:$I$11)</f>
        <v>0.122707205485845</v>
      </c>
    </row>
    <row r="5" customFormat="false" ht="15" hidden="false" customHeight="false" outlineLevel="0" collapsed="false">
      <c r="A5" s="0" t="s">
        <v>23</v>
      </c>
      <c r="B5" s="1" t="n">
        <f aca="false">SUM('Cash Flow'!$B$8:$I$8)</f>
        <v>127650268.774746</v>
      </c>
    </row>
    <row r="6" customFormat="false" ht="15" hidden="false" customHeight="false" outlineLevel="0" collapsed="false">
      <c r="A6" s="0" t="s">
        <v>24</v>
      </c>
      <c r="B6" s="1" t="n">
        <f aca="false">SUM('Cash Flow'!$B$11:$I$11)</f>
        <v>135880986.774381</v>
      </c>
    </row>
    <row r="7" customFormat="false" ht="15" hidden="false" customHeight="false" outlineLevel="0" collapsed="false">
      <c r="A7" s="0" t="s">
        <v>25</v>
      </c>
      <c r="B7" s="1" t="n">
        <f aca="false">B6-B5*Inputs!$B$9</f>
        <v>-2619554.84621888</v>
      </c>
    </row>
    <row r="8" customFormat="false" ht="15" hidden="false" customHeight="false" outlineLevel="0" collapsed="false">
      <c r="A8" s="0" t="s">
        <v>26</v>
      </c>
      <c r="B8" s="1" t="n">
        <f aca="false">SUM('Cash Flow'!$B$10:$I$10)</f>
        <v>10371861.5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2026-10-17T22:22:00Z</dcterms:created>
  <dc:creator>openpyxl</dc:creator>
  <dc:description/>
  <dc:language>en-US</dc:language>
  <cp:lastModifiedBy/>
  <dcterms:modified xsi:type="dcterms:W3CDTF">2026-10-17T22:22:00Z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