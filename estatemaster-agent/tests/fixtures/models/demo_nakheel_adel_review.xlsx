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Inputs" sheetId="3" state="visible" r:id="rId5"/>
    <sheet name="Cash Flow" sheetId="4" state="visible" r:id="rId6"/>
    <sheet name="Financing" sheetId="5" state="visible" r:id="rId7"/>
    <sheet name="Annual" sheetId="6" state="visible" r:id="rId8"/>
    <sheet name="Waterfall" sheetId="7" state="visible" r:id="rId9"/>
    <sheet name="Returns" sheetId="8" state="visible" r:id="rId10"/>
    <sheet name="Sensitivity" sheetId="9" state="visible" r:id="rId11"/>
    <sheet name="Checks" sheetId="10" state="visible" r:id="rId12"/>
  </sheets>
  <definedNames>
    <definedName function="false" hidden="false" name="ADR" vbProcedure="false">Inputs!$B$44</definedName>
    <definedName function="false" hidden="false" name="Amort" vbProcedure="false">Inputs!$B$60</definedName>
    <definedName function="false" hidden="false" name="BuildMonths" vbProcedure="false">Inputs!$B$11</definedName>
    <definedName function="false" hidden="false" name="BuildRate" vbProcedure="false">Inputs!$B$18</definedName>
    <definedName function="false" hidden="false" name="CatchUp" vbProcedure="false">Inputs!$B$71</definedName>
    <definedName function="false" hidden="false" name="Contingency" vbProcedure="false">Inputs!$B$20</definedName>
    <definedName function="false" hidden="false" name="DiscRate" vbProcedure="false">Inputs!$B$73</definedName>
    <definedName function="false" hidden="false" name="ExitCosts" vbProcedure="false">Inputs!$B$53</definedName>
    <definedName function="false" hidden="false" name="ExitYield" vbProcedure="false">Inputs!$B$51</definedName>
    <definedName function="false" hidden="false" name="FFE" vbProcedure="false">Inputs!$B$48</definedName>
    <definedName function="false" hidden="false" name="GFA" vbProcedure="false">Inputs!$B$17</definedName>
    <definedName function="false" hidden="false" name="GOPMargin" vbProcedure="false">Inputs!$B$47</definedName>
    <definedName function="false" hidden="false" name="GPShare" vbProcedure="false">Inputs!$B$69</definedName>
    <definedName function="false" hidden="false" name="HoldMonths" vbProcedure="false">Inputs!$B$12</definedName>
    <definedName function="false" hidden="false" name="HotelMult" vbProcedure="false">Inputs!$B$52</definedName>
    <definedName function="false" hidden="false" name="HotelOcc" vbProcedure="false">Inputs!$B$45</definedName>
    <definedName function="false" hidden="false" name="HotelRamp" vbProcedure="false">Inputs!$B$46</definedName>
    <definedName function="false" hidden="false" name="Keys" vbProcedure="false">Inputs!$B$43</definedName>
    <definedName function="false" hidden="false" name="Land" vbProcedure="false">Inputs!$B$15</definedName>
    <definedName function="false" hidden="false" name="LeaseUp" vbProcedure="false">Inputs!$B$36</definedName>
    <definedName function="false" hidden="false" name="LTC" vbProcedure="false">Inputs!$B$56</definedName>
    <definedName function="false" hidden="false" name="Margin" vbProcedure="false">Inputs!$B$58</definedName>
    <definedName function="false" hidden="false" name="MaxLTV" vbProcedure="false">Inputs!$B$62</definedName>
    <definedName function="false" hidden="false" name="MinDSCR" vbProcedure="false">Inputs!$B$61</definedName>
    <definedName function="false" hidden="false" name="OfficeGLA" vbProcedure="false">Inputs!$B$34</definedName>
    <definedName function="false" hidden="false" name="OfficeRent" vbProcedure="false">Inputs!$B$35</definedName>
    <definedName function="false" hidden="false" name="Opex" vbProcedure="false">Inputs!$B$40</definedName>
    <definedName function="false" hidden="false" name="Pref" vbProcedure="false">Inputs!$B$70</definedName>
    <definedName function="false" hidden="false" name="Promote" vbProcedure="false">Inputs!$B$72</definedName>
    <definedName function="false" hidden="false" name="RentFree" vbProcedure="false">Inputs!$B$38</definedName>
    <definedName function="false" hidden="false" name="RentGrowth" vbProcedure="false">Inputs!$B$39</definedName>
    <definedName function="false" hidden="false" name="ResDeposit" vbProcedure="false">Inputs!$B$27</definedName>
    <definedName function="false" hidden="false" name="ResEscrowRel" vbProcedure="false">Inputs!$B$28</definedName>
    <definedName function="false" hidden="false" name="ResPrice" vbProcedure="false">Inputs!$B$24</definedName>
    <definedName function="false" hidden="false" name="ResSalesMonths" vbProcedure="false">Inputs!$B$26</definedName>
    <definedName function="false" hidden="false" name="ResSalesStart" vbProcedure="false">Inputs!$B$25</definedName>
    <definedName function="false" hidden="false" name="ResUnits" vbProcedure="false">Inputs!$B$23</definedName>
    <definedName function="false" hidden="false" name="RetailGLA" vbProcedure="false">Inputs!$B$32</definedName>
    <definedName function="false" hidden="false" name="RetailRent" vbProcedure="false">Inputs!$B$33</definedName>
    <definedName function="false" hidden="false" name="RETT" vbProcedure="false">Inputs!$B$16</definedName>
    <definedName function="false" hidden="false" name="SAIBOR" vbProcedure="false">Inputs!$B$57</definedName>
    <definedName function="false" hidden="false" name="SalesComm" vbProcedure="false">Inputs!$B$29</definedName>
    <definedName function="false" hidden="false" name="SoftCosts" vbProcedure="false">Inputs!$B$19</definedName>
    <definedName function="false" hidden="false" name="StabOcc" vbProcedure="false">Inputs!$B$37</definedName>
    <definedName function="false" hidden="false" name="StartDate" vbProcedure="false">Inputs!$B$10</definedName>
    <definedName function="false" hidden="false" name="UpfrontFee" vbProcedure="false">Inputs!$B$59</definedName>
    <definedName function="false" hidden="false" name="VAT" vbProcedure="false">Inputs!$B$65</definedName>
    <definedName function="false" hidden="false" name="Zakat" vbProcedure="false">Inputs!$B$66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<sst xmlns="http://schemas.openxmlformats.org/spreadsheetml/2006/main" count="242" uniqueCount="212">
  <si>
    <t xml:space="preserve">AL NAKHEEL GATE – MIXED-USE DEVELOPMENT, RIYADH (SAR)</t>
  </si>
  <si>
    <t xml:space="preserve">Development and hold model · monthly, 96 months · synthetic demo data prepared for Adel Real Estate</t>
  </si>
  <si>
    <t xml:space="preserve">Purpose</t>
  </si>
  <si>
    <t xml:space="preserve">Investment committee model for a mixed-use scheme: residential for sale, retail and office for lease, a 220-key hotel.</t>
  </si>
  <si>
    <t xml:space="preserve">Currency and units</t>
  </si>
  <si>
    <t xml:space="preserve">SAR. Monthly cash flows on the Cash Flow sheet; annual summary on Annual; headline results on Dashboard.</t>
  </si>
  <si>
    <t xml:space="preserve">How to use</t>
  </si>
  <si>
    <t xml:space="preserve">Change only the yellow cells on Inputs (blue figures). Pick the case on Inputs!C5. Every other figure is a formula.</t>
  </si>
  <si>
    <t xml:space="preserve">Sheets</t>
  </si>
  <si>
    <t xml:space="preserve">Inputs · Cash Flow · Annual · Financing · Waterfall · Sensitivity · Checks · Dashboard</t>
  </si>
  <si>
    <t xml:space="preserve">Checks</t>
  </si>
  <si>
    <t xml:space="preserve">All checks on the Checks sheet must read OK; the overall flag is on the Dashboard.</t>
  </si>
  <si>
    <t xml:space="preserve">Status</t>
  </si>
  <si>
    <t xml:space="preserve">Synthetic demo model: no client data.</t>
  </si>
  <si>
    <t xml:space="preserve">DASHBOARD – AL NAKHEEL GATE</t>
  </si>
  <si>
    <t xml:space="preserve">Headline results for the case running on Inputs!C5</t>
  </si>
  <si>
    <t xml:space="preserve">Case</t>
  </si>
  <si>
    <t xml:space="preserve">Levered IRR</t>
  </si>
  <si>
    <t xml:space="preserve">Total development cost (SAR)</t>
  </si>
  <si>
    <t xml:space="preserve">Unlevered IRR</t>
  </si>
  <si>
    <t xml:space="preserve">Peak debt (SAR)</t>
  </si>
  <si>
    <t xml:space="preserve">Net profit to equity (SAR)</t>
  </si>
  <si>
    <t xml:space="preserve">Peak equity (SAR)</t>
  </si>
  <si>
    <t xml:space="preserve">Profit on cost</t>
  </si>
  <si>
    <t xml:space="preserve">Minimum DSCR</t>
  </si>
  <si>
    <t xml:space="preserve">Equity multiple</t>
  </si>
  <si>
    <t xml:space="preserve">Maximum LTV in operation</t>
  </si>
  <si>
    <t xml:space="preserve">NPV at the discount rate (SAR)</t>
  </si>
  <si>
    <t xml:space="preserve">Exit value (SAR)</t>
  </si>
  <si>
    <t xml:space="preserve">Joint venture</t>
  </si>
  <si>
    <t xml:space="preserve">LP multiple</t>
  </si>
  <si>
    <t xml:space="preserve">GP multiple</t>
  </si>
  <si>
    <t xml:space="preserve">Promote paid to the GP (SAR)</t>
  </si>
  <si>
    <t xml:space="preserve">INPUTS</t>
  </si>
  <si>
    <t xml:space="preserve">Yellow cells are inputs; the live case is chosen in C5</t>
  </si>
  <si>
    <t xml:space="preserve">Case running (1 = Base, 2 = Upside, 3 = Downside)</t>
  </si>
  <si>
    <t xml:space="preserve">Assumption</t>
  </si>
  <si>
    <t xml:space="preserve">Live</t>
  </si>
  <si>
    <t xml:space="preserve">Base</t>
  </si>
  <si>
    <t xml:space="preserve">Upside</t>
  </si>
  <si>
    <t xml:space="preserve">Downside</t>
  </si>
  <si>
    <t xml:space="preserve">Note</t>
  </si>
  <si>
    <t xml:space="preserve">Timing</t>
  </si>
  <si>
    <t xml:space="preserve">Model start (month 0)</t>
  </si>
  <si>
    <t xml:space="preserve">Construction period (months)</t>
  </si>
  <si>
    <t xml:space="preserve">Hold after completion before the exit (months)</t>
  </si>
  <si>
    <t xml:space="preserve">Exit at month construction + hold</t>
  </si>
  <si>
    <t xml:space="preserve">Land and construction</t>
  </si>
  <si>
    <t xml:space="preserve">Land price (SAR)</t>
  </si>
  <si>
    <t xml:space="preserve">Real estate transaction tax on land</t>
  </si>
  <si>
    <t xml:space="preserve">Gross floor area (sqm)</t>
  </si>
  <si>
    <t xml:space="preserve">Construction cost (SAR per sqm GFA)</t>
  </si>
  <si>
    <t xml:space="preserve">Professional fees and soft costs (share of construction)</t>
  </si>
  <si>
    <t xml:space="preserve">Contingency (share of construction)</t>
  </si>
  <si>
    <t xml:space="preserve">Residential for sale (off-plan)</t>
  </si>
  <si>
    <t xml:space="preserve">Apartments</t>
  </si>
  <si>
    <t xml:space="preserve">Average price per apartment (SAR)</t>
  </si>
  <si>
    <t xml:space="preserve">Sales launch (month)</t>
  </si>
  <si>
    <t xml:space="preserve">Months to sell out</t>
  </si>
  <si>
    <t xml:space="preserve">Deposit at signing</t>
  </si>
  <si>
    <t xml:space="preserve">Escrow released to the developer, share of construction progress</t>
  </si>
  <si>
    <t xml:space="preserve">Wafi: collections released as the build progresses</t>
  </si>
  <si>
    <t xml:space="preserve">Sales commission and marketing</t>
  </si>
  <si>
    <t xml:space="preserve">Retail and offices (leased and held)</t>
  </si>
  <si>
    <t xml:space="preserve">Retail leasable area (sqm)</t>
  </si>
  <si>
    <t xml:space="preserve">Retail rent (SAR per sqm a year)</t>
  </si>
  <si>
    <t xml:space="preserve">Office leasable area (sqm)</t>
  </si>
  <si>
    <t xml:space="preserve">Office rent (SAR per sqm a year)</t>
  </si>
  <si>
    <t xml:space="preserve">Lease-up after completion (months to stabilise)</t>
  </si>
  <si>
    <t xml:space="preserve">Stabilised occupancy</t>
  </si>
  <si>
    <t xml:space="preserve">Rent-free on first leases (months)</t>
  </si>
  <si>
    <t xml:space="preserve">Rent growth a year</t>
  </si>
  <si>
    <t xml:space="preserve">Non-recoverable costs (share of rent)</t>
  </si>
  <si>
    <t xml:space="preserve">Hotel (220 keys)</t>
  </si>
  <si>
    <t xml:space="preserve">Keys</t>
  </si>
  <si>
    <t xml:space="preserve">Average daily rate, opening year (SAR)</t>
  </si>
  <si>
    <t xml:space="preserve">Ramp-up (months to stabilise)</t>
  </si>
  <si>
    <t xml:space="preserve">GOP margin (after operator fees)</t>
  </si>
  <si>
    <t xml:space="preserve">FF&amp;E reserve (share of revenue)</t>
  </si>
  <si>
    <t xml:space="preserve">Exit</t>
  </si>
  <si>
    <t xml:space="preserve">Exit yield on retail and offices</t>
  </si>
  <si>
    <t xml:space="preserve">Hotel exit multiple on EBITDA</t>
  </si>
  <si>
    <t xml:space="preserve">Disposal costs</t>
  </si>
  <si>
    <t xml:space="preserve">Financing (Murabaha)</t>
  </si>
  <si>
    <t xml:space="preserve">Facility as share of development cost</t>
  </si>
  <si>
    <t xml:space="preserve">SAIBOR</t>
  </si>
  <si>
    <t xml:space="preserve">Margin (bps)</t>
  </si>
  <si>
    <t xml:space="preserve">Upfront fee</t>
  </si>
  <si>
    <t xml:space="preserve">Amortisation after completion (share of facility a year)</t>
  </si>
  <si>
    <t xml:space="preserve">DSCR covenant (minimum)</t>
  </si>
  <si>
    <t xml:space="preserve">LTV covenant (maximum)</t>
  </si>
  <si>
    <t xml:space="preserve">Tax</t>
  </si>
  <si>
    <t xml:space="preserve">VAT on residential sales (first home: zero)</t>
  </si>
  <si>
    <t xml:space="preserve">Zakat on the zakat base</t>
  </si>
  <si>
    <t xml:space="preserve">Developer (GP) share of equity</t>
  </si>
  <si>
    <t xml:space="preserve">Preferred return to all equity</t>
  </si>
  <si>
    <t xml:space="preserve">GP catch-up (share of distributions until caught up)</t>
  </si>
  <si>
    <t xml:space="preserve">GP promote above the catch-up</t>
  </si>
  <si>
    <t xml:space="preserve">Discount rate for NPV</t>
  </si>
  <si>
    <t xml:space="preserve">CASH FLOW – MONTHLY (SAR)</t>
  </si>
  <si>
    <t xml:space="preserve">Months 0–96 across; every row is a formula; totals in column B</t>
  </si>
  <si>
    <t xml:space="preserve">Month</t>
  </si>
  <si>
    <t xml:space="preserve">Total</t>
  </si>
  <si>
    <t xml:space="preserve">Timeline</t>
  </si>
  <si>
    <t xml:space="preserve">Month end</t>
  </si>
  <si>
    <t xml:space="preserve">Year</t>
  </si>
  <si>
    <t xml:space="preserve">Construction flag</t>
  </si>
  <si>
    <t xml:space="preserve">Operating flag</t>
  </si>
  <si>
    <t xml:space="preserve">Exit flag</t>
  </si>
  <si>
    <t xml:space="preserve">Construction S-curve (share this month)</t>
  </si>
  <si>
    <t xml:space="preserve">Construction progress (cumulative)</t>
  </si>
  <si>
    <t xml:space="preserve">Development cost</t>
  </si>
  <si>
    <t xml:space="preserve">Land</t>
  </si>
  <si>
    <t xml:space="preserve">RETT on land</t>
  </si>
  <si>
    <t xml:space="preserve">Construction</t>
  </si>
  <si>
    <t xml:space="preserve">Soft costs</t>
  </si>
  <si>
    <t xml:space="preserve">Contingency</t>
  </si>
  <si>
    <t xml:space="preserve">Development cost before finance</t>
  </si>
  <si>
    <t xml:space="preserve">Residential sales (off-plan)</t>
  </si>
  <si>
    <t xml:space="preserve">Apartments sold</t>
  </si>
  <si>
    <t xml:space="preserve">Contract value signed</t>
  </si>
  <si>
    <t xml:space="preserve">Balance owed by buyers before this month's payments</t>
  </si>
  <si>
    <t xml:space="preserve">Instalments paid (with construction progress; in full after completion)</t>
  </si>
  <si>
    <t xml:space="preserve">Balance owed by buyers</t>
  </si>
  <si>
    <t xml:space="preserve">Buyer payments into escrow</t>
  </si>
  <si>
    <t xml:space="preserve">Escrow the developer may draw (cumulative)</t>
  </si>
  <si>
    <t xml:space="preserve">Escrow released to the developer</t>
  </si>
  <si>
    <t xml:space="preserve">VAT on sales</t>
  </si>
  <si>
    <t xml:space="preserve">Retail and offices</t>
  </si>
  <si>
    <t xml:space="preserve">Occupancy</t>
  </si>
  <si>
    <t xml:space="preserve">Rent index</t>
  </si>
  <si>
    <t xml:space="preserve">Rent-free factor</t>
  </si>
  <si>
    <t xml:space="preserve">Retail rent</t>
  </si>
  <si>
    <t xml:space="preserve">Office rent</t>
  </si>
  <si>
    <t xml:space="preserve">Non-recoverable costs</t>
  </si>
  <si>
    <t xml:space="preserve">Net operating income, retail and offices</t>
  </si>
  <si>
    <t xml:space="preserve">Hotel</t>
  </si>
  <si>
    <t xml:space="preserve">Hotel occupancy</t>
  </si>
  <si>
    <t xml:space="preserve">Hotel revenue</t>
  </si>
  <si>
    <t xml:space="preserve">Hotel GOP after operator fees</t>
  </si>
  <si>
    <t xml:space="preserve">FF&amp;E reserve</t>
  </si>
  <si>
    <t xml:space="preserve">Hotel EBITDA</t>
  </si>
  <si>
    <t xml:space="preserve">Exit value, retail and offices</t>
  </si>
  <si>
    <t xml:space="preserve">Exit value, hotel</t>
  </si>
  <si>
    <t xml:space="preserve">Project cash flow</t>
  </si>
  <si>
    <t xml:space="preserve">Cash in</t>
  </si>
  <si>
    <t xml:space="preserve">Cash out</t>
  </si>
  <si>
    <t xml:space="preserve">Zakat</t>
  </si>
  <si>
    <t xml:space="preserve">Unlevered cash flow</t>
  </si>
  <si>
    <t xml:space="preserve">Financing (from the Financing sheet)</t>
  </si>
  <si>
    <t xml:space="preserve">Facility drawn</t>
  </si>
  <si>
    <t xml:space="preserve">Profit and fees paid</t>
  </si>
  <si>
    <t xml:space="preserve">Repayment</t>
  </si>
  <si>
    <t xml:space="preserve">Levered cash flow to equity</t>
  </si>
  <si>
    <t xml:space="preserve">Levered cash flow, cumulative</t>
  </si>
  <si>
    <t xml:space="preserve">FINANCING – MURABAHA CONSTRUCTION FACILITY</t>
  </si>
  <si>
    <t xml:space="preserve">Draws fund cost after the equity first loss; profit capitalised in construction, paid in operation</t>
  </si>
  <si>
    <t xml:space="preserve">Facility size</t>
  </si>
  <si>
    <t xml:space="preserve">All-in profit rate</t>
  </si>
  <si>
    <t xml:space="preserve">Equity first (development cost the equity pays before the facility draws)</t>
  </si>
  <si>
    <t xml:space="preserve">Cost to fund this month</t>
  </si>
  <si>
    <t xml:space="preserve">Cost funded so far</t>
  </si>
  <si>
    <t xml:space="preserve">Opening balance</t>
  </si>
  <si>
    <t xml:space="preserve">Profit (capitalised in construction)</t>
  </si>
  <si>
    <t xml:space="preserve">Profit and fees paid in cash</t>
  </si>
  <si>
    <t xml:space="preserve">Closing balance</t>
  </si>
  <si>
    <t xml:space="preserve">DSCR (trailing 12 months, tested from 12 months after stabilisation)</t>
  </si>
  <si>
    <t xml:space="preserve">LTV (balance on value, tested from 12 months after stabilisation)</t>
  </si>
  <si>
    <t xml:space="preserve">Cash available for debt service (12 months)</t>
  </si>
  <si>
    <t xml:space="preserve">Value of the income-producing assets</t>
  </si>
  <si>
    <t xml:space="preserve">ANNUAL SUMMARY (SAR)</t>
  </si>
  <si>
    <t xml:space="preserve">SUMIFS of the monthly rows by calendar year</t>
  </si>
  <si>
    <t xml:space="preserve">Residential collections released</t>
  </si>
  <si>
    <t xml:space="preserve">Retail and office NOI</t>
  </si>
  <si>
    <t xml:space="preserve">Exit proceeds (net)</t>
  </si>
  <si>
    <t xml:space="preserve">JOINT VENTURE WATERFALL</t>
  </si>
  <si>
    <t xml:space="preserve">Pref to all equity → GP catch-up → promote split; on the whole-life levered cash flow</t>
  </si>
  <si>
    <t xml:space="preserve">Equity invested</t>
  </si>
  <si>
    <t xml:space="preserve">Distributions to equity</t>
  </si>
  <si>
    <t xml:space="preserve">Profit to equity</t>
  </si>
  <si>
    <t xml:space="preserve">Equity life (years, weighted)</t>
  </si>
  <si>
    <t xml:space="preserve">Preferred return</t>
  </si>
  <si>
    <t xml:space="preserve">GP catch-up</t>
  </si>
  <si>
    <t xml:space="preserve">Remaining profit</t>
  </si>
  <si>
    <t xml:space="preserve">GP promote on the remaining profit</t>
  </si>
  <si>
    <t xml:space="preserve">GP total (pro rata + catch-up + promote)</t>
  </si>
  <si>
    <t xml:space="preserve">LP total</t>
  </si>
  <si>
    <t xml:space="preserve">Promote paid to the GP</t>
  </si>
  <si>
    <t xml:space="preserve">RETURNS</t>
  </si>
  <si>
    <t xml:space="preserve">Annualised from the monthly cash flows</t>
  </si>
  <si>
    <t xml:space="preserve">NPV at the discount rate (unlevered)</t>
  </si>
  <si>
    <t xml:space="preserve">Net profit (unlevered)</t>
  </si>
  <si>
    <t xml:space="preserve">Net profit to equity</t>
  </si>
  <si>
    <t xml:space="preserve">Total development cost</t>
  </si>
  <si>
    <t xml:space="preserve">Peak debt</t>
  </si>
  <si>
    <t xml:space="preserve">Peak equity</t>
  </si>
  <si>
    <t xml:space="preserve">Exit value</t>
  </si>
  <si>
    <t xml:space="preserve">SENSITIVITY</t>
  </si>
  <si>
    <t xml:space="preserve">Net profit (SAR m) for construction cost and residential price, each cell its own formula on the live case</t>
  </si>
  <si>
    <t xml:space="preserve">Construction cost change ↓ / residential price change →</t>
  </si>
  <si>
    <t xml:space="preserve">Shading: red below zero.</t>
  </si>
  <si>
    <t xml:space="preserve">CHECKS</t>
  </si>
  <si>
    <t xml:space="preserve">Each must read OK</t>
  </si>
  <si>
    <t xml:space="preserve">Construction S-curve sums to 100%</t>
  </si>
  <si>
    <t xml:space="preserve">All buyer payments released from escrow by the exit</t>
  </si>
  <si>
    <t xml:space="preserve">Facility repaid in full at the exit</t>
  </si>
  <si>
    <t xml:space="preserve">Draws do not exceed the facility</t>
  </si>
  <si>
    <t xml:space="preserve">Minimum DSCR at or above the covenant</t>
  </si>
  <si>
    <t xml:space="preserve">Maximum LTV at or below the covenant</t>
  </si>
  <si>
    <t xml:space="preserve">Waterfall pays out exactly what equity receives</t>
  </si>
  <si>
    <t xml:space="preserve">Annual summary equals the monthly total (levered)</t>
  </si>
  <si>
    <t xml:space="preserve">All checks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</si>
</sst>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.0,,\m;\(#,##0.0,,&quot;m)&quot;;\–"/>
    <numFmt numFmtId="167" formatCode="0.0%"/>
    <numFmt numFmtId="168" formatCode="0.00\x"/>
    <numFmt numFmtId="169" formatCode="#,##0,,\m"/>
    <numFmt numFmtId="170" formatCode="dd\-mmm\-yyyy"/>
    <numFmt numFmtId="171" formatCode="0"/>
    <numFmt numFmtId="172" formatCode="#,##0;\(#,##0\);\–"/>
    <numFmt numFmtId="173" formatCode="0.0\x"/>
    <numFmt numFmtId="174" formatCode="mmm\-yy"/>
    <numFmt numFmtId="175" formatCode="0.0"/>
    <numFmt numFmtId="176" formatCode="0.000"/>
    <numFmt numFmtId="177" formatCode="\+0%;\-0%;0%"/>
    <numFmt numFmtId="178" formatCode="#,##0.0"/>
    <numFmt numFmtId="179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C8D1E0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FD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4FD8"/>
      <name val="Calibri"/>
      <family val="0"/>
      <charset val="1"/>
    </font>
    <font>
      <i val="true"/>
      <sz val="11"/>
      <color rgb="FF667085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D6"/>
        <bgColor rgb="FFF2F4F7"/>
      </patternFill>
    </fill>
    <fill>
      <patternFill patternType="solid">
        <fgColor rgb="FF0E7C7B"/>
        <bgColor rgb="FF008080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C0504D"/>
      <rgbColor rgb="FFFFF7D6"/>
      <rgbColor rgb="FFF2F4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1F4FD8"/>
      <rgbColor rgb="FF33CCCC"/>
      <rgbColor rgb="FF9BBB59"/>
      <rgbColor rgb="FFFFCC00"/>
      <rgbColor rgb="FFFF9900"/>
      <rgbColor rgb="FFFF6600"/>
      <rgbColor rgb="FF66708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by year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Annual!A12</c:f>
              <c:strCache>
                <c:ptCount val="1"/>
                <c:pt idx="0">
                  <c:v>Unlevered cash flow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Annual!$B$12:$H$12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-439683113.540889</c:v>
                </c:pt>
                <c:pt idx="2">
                  <c:v>-299335453.13007</c:v>
                </c:pt>
                <c:pt idx="3">
                  <c:v>337341617.84165</c:v>
                </c:pt>
                <c:pt idx="4">
                  <c:v>369495467.730469</c:v>
                </c:pt>
                <c:pt idx="5">
                  <c:v>581705833.331086</c:v>
                </c:pt>
                <c:pt idx="6">
                  <c:v>8818289621.19955</c:v>
                </c:pt>
              </c:numCache>
            </c:numRef>
          </c:val>
        </c:ser>
        <c:ser>
          <c:idx val="1"/>
          <c:order val="1"/>
          <c:tx>
            <c:strRef>
              <c:f>Annual!A13</c:f>
              <c:strCache>
                <c:ptCount val="1"/>
                <c:pt idx="0">
                  <c:v>Levered cash flow to equity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Annual!$B$13:$H$13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-413302032.055108</c:v>
                </c:pt>
                <c:pt idx="2">
                  <c:v>454914872.428362</c:v>
                </c:pt>
                <c:pt idx="3">
                  <c:v>408688110.766257</c:v>
                </c:pt>
                <c:pt idx="4">
                  <c:v>263580866.086511</c:v>
                </c:pt>
                <c:pt idx="5">
                  <c:v>478036281.210687</c:v>
                </c:pt>
                <c:pt idx="6">
                  <c:v>7828697053.00998</c:v>
                </c:pt>
              </c:numCache>
            </c:numRef>
          </c:val>
        </c:ser>
        <c:gapWidth val="150"/>
        <c:overlap val="0"/>
        <c:axId val="73978556"/>
        <c:axId val="35534505"/>
      </c:barChart>
      <c:catAx>
        <c:axId val="73978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34505"/>
        <c:crosses val="autoZero"/>
        <c:auto val="1"/>
        <c:lblAlgn val="ctr"/>
        <c:lblOffset val="100"/>
        <c:noMultiLvlLbl val="0"/>
      </c:catAx>
      <c:valAx>
        <c:axId val="35534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785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stream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Annual!A6</c:f>
              <c:strCache>
                <c:ptCount val="1"/>
                <c:pt idx="0">
                  <c:v>Residential collections released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Annual!$B$6:$H$6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34344223.6798948</c:v>
                </c:pt>
                <c:pt idx="2">
                  <c:v>464364872.428362</c:v>
                </c:pt>
                <c:pt idx="3">
                  <c:v>446290903.891743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Annual!A7</c:f>
              <c:strCache>
                <c:ptCount val="1"/>
                <c:pt idx="0">
                  <c:v>Retail and office NOI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Annual!$B$7:$H$7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27505103.743263</c:v>
                </c:pt>
                <c:pt idx="4">
                  <c:v>359984795.31279</c:v>
                </c:pt>
                <c:pt idx="5">
                  <c:v>572295160.225233</c:v>
                </c:pt>
                <c:pt idx="6">
                  <c:v>582913256.367809</c:v>
                </c:pt>
              </c:numCache>
            </c:numRef>
          </c:val>
        </c:ser>
        <c:ser>
          <c:idx val="2"/>
          <c:order val="2"/>
          <c:tx>
            <c:strRef>
              <c:f>Annual!A8</c:f>
              <c:strCache>
                <c:ptCount val="1"/>
                <c:pt idx="0">
                  <c:v>Hotel 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Annual!$B$8:$H$8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7336732.50029065</c:v>
                </c:pt>
                <c:pt idx="4">
                  <c:v>18984915.1799982</c:v>
                </c:pt>
                <c:pt idx="5">
                  <c:v>24326207.2938296</c:v>
                </c:pt>
                <c:pt idx="6">
                  <c:v>25713464.1529771</c:v>
                </c:pt>
              </c:numCache>
            </c:numRef>
          </c:val>
        </c:ser>
        <c:gapWidth val="150"/>
        <c:overlap val="100"/>
        <c:axId val="72130160"/>
        <c:axId val="90945910"/>
      </c:barChart>
      <c:catAx>
        <c:axId val="721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45910"/>
        <c:crosses val="autoZero"/>
        <c:auto val="1"/>
        <c:lblAlgn val="ctr"/>
        <c:lblOffset val="100"/>
        <c:noMultiLvlLbl val="0"/>
      </c:catAx>
      <c:valAx>
        <c:axId val="90945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30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430200</xdr:colOff>
      <xdr:row>31</xdr:row>
      <xdr:rowOff>32760</xdr:rowOff>
    </xdr:to>
    <xdr:graphicFrame>
      <xdr:nvGraphicFramePr>
        <xdr:cNvPr id="0" name="Chart 1"/>
        <xdr:cNvGraphicFramePr/>
      </xdr:nvGraphicFramePr>
      <xdr:xfrm>
        <a:off x="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6</xdr:col>
      <xdr:colOff>560160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568944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16</v>
      </c>
      <c r="B4" s="6" t="str">
        <f aca="false">Inputs!D5</f>
        <v>Base</v>
      </c>
      <c r="D4" s="7" t="s">
        <v>10</v>
      </c>
      <c r="E4" s="6" t="str">
        <f aca="false">Checks!C14</f>
        <v>OK</v>
      </c>
    </row>
    <row r="6" customFormat="false" ht="15" hidden="false" customHeight="false" outlineLevel="0" collapsed="false">
      <c r="A6" s="0" t="s">
        <v>17</v>
      </c>
      <c r="B6" s="8" t="n">
        <f aca="false">Returns!B6</f>
        <v>0.574485778787928</v>
      </c>
      <c r="D6" s="7" t="s">
        <v>18</v>
      </c>
      <c r="E6" s="9" t="n">
        <f aca="false">Returns!B10</f>
        <v>2106264605.86982</v>
      </c>
    </row>
    <row r="7" customFormat="false" ht="15" hidden="false" customHeight="false" outlineLevel="0" collapsed="false">
      <c r="A7" s="0" t="s">
        <v>19</v>
      </c>
      <c r="B7" s="8" t="n">
        <f aca="false">Returns!B5</f>
        <v>0.471095714036363</v>
      </c>
      <c r="D7" s="7" t="s">
        <v>20</v>
      </c>
      <c r="E7" s="9" t="n">
        <f aca="false">Returns!B13</f>
        <v>983993350.134821</v>
      </c>
    </row>
    <row r="8" customFormat="false" ht="15" hidden="false" customHeight="false" outlineLevel="0" collapsed="false">
      <c r="A8" s="0" t="s">
        <v>21</v>
      </c>
      <c r="B8" s="9" t="n">
        <f aca="false">Returns!B9</f>
        <v>8338115151.44669</v>
      </c>
      <c r="D8" s="7" t="s">
        <v>22</v>
      </c>
      <c r="E8" s="9" t="n">
        <f aca="false">Returns!B14</f>
        <v>1095802032.05511</v>
      </c>
    </row>
    <row r="9" customFormat="false" ht="15" hidden="false" customHeight="false" outlineLevel="0" collapsed="false">
      <c r="A9" s="0" t="s">
        <v>23</v>
      </c>
      <c r="B9" s="10" t="n">
        <f aca="false">Returns!B11</f>
        <v>4.12356260900326</v>
      </c>
      <c r="D9" s="7" t="s">
        <v>24</v>
      </c>
      <c r="E9" s="11" t="n">
        <f aca="false">Returns!B15</f>
        <v>5.74645524523621</v>
      </c>
    </row>
    <row r="10" customFormat="false" ht="15" hidden="false" customHeight="false" outlineLevel="0" collapsed="false">
      <c r="A10" s="0" t="s">
        <v>25</v>
      </c>
      <c r="B10" s="11" t="n">
        <f aca="false">Returns!B12</f>
        <v>8.4639044370764</v>
      </c>
      <c r="D10" s="7" t="s">
        <v>26</v>
      </c>
      <c r="E10" s="10" t="n">
        <f aca="false">Returns!B16</f>
        <v>0.112218748650386</v>
      </c>
    </row>
    <row r="11" customFormat="false" ht="15" hidden="false" customHeight="false" outlineLevel="0" collapsed="false">
      <c r="A11" s="0" t="s">
        <v>27</v>
      </c>
      <c r="B11" s="9" t="n">
        <f aca="false">Returns!B7</f>
        <v>4537635298.72681</v>
      </c>
      <c r="D11" s="7" t="s">
        <v>28</v>
      </c>
      <c r="E11" s="9" t="n">
        <f aca="false">Returns!B17</f>
        <v>8564236437.52887</v>
      </c>
    </row>
    <row r="13" customFormat="false" ht="15" hidden="false" customHeight="false" outlineLevel="0" collapsed="false">
      <c r="A13" s="12" t="s">
        <v>29</v>
      </c>
    </row>
    <row r="14" customFormat="false" ht="15" hidden="false" customHeight="false" outlineLevel="0" collapsed="false">
      <c r="A14" s="0" t="s">
        <v>30</v>
      </c>
      <c r="B14" s="13" t="n">
        <f aca="false">Returns!B18</f>
        <v>6.5979283278073</v>
      </c>
    </row>
    <row r="15" customFormat="false" ht="15" hidden="false" customHeight="false" outlineLevel="0" collapsed="false">
      <c r="A15" s="0" t="s">
        <v>31</v>
      </c>
      <c r="B15" s="13" t="n">
        <f aca="false">Returns!B19</f>
        <v>25.2576894204983</v>
      </c>
    </row>
    <row r="16" customFormat="false" ht="15" hidden="false" customHeight="false" outlineLevel="0" collapsed="false">
      <c r="A16" s="0" t="s">
        <v>32</v>
      </c>
      <c r="B16" s="14" t="n">
        <f aca="false">Returns!B20</f>
        <v>2084528787.86167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5" t="s">
        <v>16</v>
      </c>
    </row>
    <row r="5" customFormat="false" ht="15" hidden="false" customHeight="false" outlineLevel="0" collapsed="false">
      <c r="A5" s="0" t="s">
        <v>35</v>
      </c>
      <c r="C5" s="16" t="n">
        <v>1</v>
      </c>
      <c r="D5" s="6" t="str">
        <f aca="false">CHOOSE(C5,"Base","Upside","Downside")</f>
        <v>Base</v>
      </c>
    </row>
    <row r="7" customFormat="false" ht="15" hidden="false" customHeight="false" outlineLevel="0" collapsed="false">
      <c r="A7" s="17" t="s">
        <v>36</v>
      </c>
      <c r="B7" s="18" t="s">
        <v>37</v>
      </c>
      <c r="C7" s="18" t="s">
        <v>38</v>
      </c>
      <c r="D7" s="18" t="s">
        <v>39</v>
      </c>
      <c r="E7" s="18" t="s">
        <v>40</v>
      </c>
      <c r="G7" s="17" t="s">
        <v>41</v>
      </c>
    </row>
    <row r="9" customFormat="false" ht="15" hidden="false" customHeight="false" outlineLevel="0" collapsed="false">
      <c r="A9" s="19" t="s">
        <v>42</v>
      </c>
      <c r="B9" s="20"/>
      <c r="C9" s="20"/>
      <c r="D9" s="20"/>
      <c r="E9" s="20"/>
      <c r="F9" s="20"/>
      <c r="G9" s="20"/>
    </row>
    <row r="10" customFormat="false" ht="15" hidden="false" customHeight="false" outlineLevel="0" collapsed="false">
      <c r="A10" s="0" t="s">
        <v>43</v>
      </c>
      <c r="B10" s="21" t="n">
        <f aca="false">CHOOSE($C$5,C10,D10,E10)</f>
        <v>46387</v>
      </c>
      <c r="C10" s="22" t="n">
        <v>46387</v>
      </c>
      <c r="D10" s="22" t="n">
        <v>46387</v>
      </c>
      <c r="E10" s="22" t="n">
        <v>46387</v>
      </c>
      <c r="G10" s="23"/>
    </row>
    <row r="11" customFormat="false" ht="15" hidden="false" customHeight="false" outlineLevel="0" collapsed="false">
      <c r="A11" s="0" t="s">
        <v>44</v>
      </c>
      <c r="B11" s="24" t="n">
        <f aca="false">CHOOSE($C$5,C11,D11,E11)</f>
        <v>30</v>
      </c>
      <c r="C11" s="25" t="n">
        <v>30</v>
      </c>
      <c r="D11" s="25" t="n">
        <v>28</v>
      </c>
      <c r="E11" s="25" t="n">
        <v>32</v>
      </c>
      <c r="G11" s="23"/>
    </row>
    <row r="12" customFormat="false" ht="15" hidden="false" customHeight="false" outlineLevel="0" collapsed="false">
      <c r="A12" s="0" t="s">
        <v>45</v>
      </c>
      <c r="B12" s="24" t="n">
        <f aca="false">CHOOSE($C$5,C12,D12,E12)</f>
        <v>42</v>
      </c>
      <c r="C12" s="25" t="n">
        <v>42</v>
      </c>
      <c r="D12" s="25" t="n">
        <v>42</v>
      </c>
      <c r="E12" s="25" t="n">
        <v>42</v>
      </c>
      <c r="G12" s="23" t="s">
        <v>46</v>
      </c>
    </row>
    <row r="14" customFormat="false" ht="15" hidden="false" customHeight="false" outlineLevel="0" collapsed="false">
      <c r="A14" s="19" t="s">
        <v>47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0" t="s">
        <v>48</v>
      </c>
      <c r="B15" s="26" t="n">
        <f aca="false">CHOOSE($C$5,C15,D15,E15)</f>
        <v>650000000</v>
      </c>
      <c r="C15" s="27" t="n">
        <v>650000000</v>
      </c>
      <c r="D15" s="27" t="n">
        <v>650000000</v>
      </c>
      <c r="E15" s="27" t="n">
        <v>650000000</v>
      </c>
      <c r="G15" s="23"/>
    </row>
    <row r="16" customFormat="false" ht="15" hidden="false" customHeight="false" outlineLevel="0" collapsed="false">
      <c r="A16" s="0" t="s">
        <v>49</v>
      </c>
      <c r="B16" s="28" t="n">
        <f aca="false">CHOOSE($C$5,C16,D16,E16)</f>
        <v>0.05</v>
      </c>
      <c r="C16" s="29" t="n">
        <v>0.05</v>
      </c>
      <c r="D16" s="29" t="n">
        <v>0.05</v>
      </c>
      <c r="E16" s="29" t="n">
        <v>0.05</v>
      </c>
      <c r="G16" s="23"/>
    </row>
    <row r="17" customFormat="false" ht="15" hidden="false" customHeight="false" outlineLevel="0" collapsed="false">
      <c r="A17" s="0" t="s">
        <v>50</v>
      </c>
      <c r="B17" s="26" t="n">
        <f aca="false">CHOOSE($C$5,C17,D17,E17)</f>
        <v>186000</v>
      </c>
      <c r="C17" s="27" t="n">
        <v>186000</v>
      </c>
      <c r="D17" s="27" t="n">
        <v>186000</v>
      </c>
      <c r="E17" s="27" t="n">
        <v>186000</v>
      </c>
      <c r="G17" s="23"/>
    </row>
    <row r="18" customFormat="false" ht="15" hidden="false" customHeight="false" outlineLevel="0" collapsed="false">
      <c r="A18" s="0" t="s">
        <v>51</v>
      </c>
      <c r="B18" s="26" t="n">
        <f aca="false">CHOOSE($C$5,C18,D18,E18)</f>
        <v>6200</v>
      </c>
      <c r="C18" s="27" t="n">
        <v>6200</v>
      </c>
      <c r="D18" s="27" t="n">
        <v>6000</v>
      </c>
      <c r="E18" s="27" t="n">
        <v>6350</v>
      </c>
      <c r="G18" s="23"/>
    </row>
    <row r="19" customFormat="false" ht="15" hidden="false" customHeight="false" outlineLevel="0" collapsed="false">
      <c r="A19" s="0" t="s">
        <v>52</v>
      </c>
      <c r="B19" s="30" t="n">
        <f aca="false">CHOOSE($C$5,C19,D19,E19)</f>
        <v>0.11</v>
      </c>
      <c r="C19" s="31" t="n">
        <v>0.11</v>
      </c>
      <c r="D19" s="31" t="n">
        <v>0.1</v>
      </c>
      <c r="E19" s="31" t="n">
        <v>0.12</v>
      </c>
      <c r="G19" s="23"/>
    </row>
    <row r="20" customFormat="false" ht="15" hidden="false" customHeight="false" outlineLevel="0" collapsed="false">
      <c r="A20" s="0" t="s">
        <v>53</v>
      </c>
      <c r="B20" s="30" t="n">
        <f aca="false">CHOOSE($C$5,C20,D20,E20)</f>
        <v>0.06</v>
      </c>
      <c r="C20" s="31" t="n">
        <v>0.06</v>
      </c>
      <c r="D20" s="31" t="n">
        <v>0.05</v>
      </c>
      <c r="E20" s="31" t="n">
        <v>0.08</v>
      </c>
      <c r="G20" s="23"/>
    </row>
    <row r="22" customFormat="false" ht="15" hidden="false" customHeight="false" outlineLevel="0" collapsed="false">
      <c r="A22" s="19" t="s">
        <v>54</v>
      </c>
      <c r="B22" s="20"/>
      <c r="C22" s="20"/>
      <c r="D22" s="20"/>
      <c r="E22" s="20"/>
      <c r="F22" s="20"/>
      <c r="G22" s="20"/>
    </row>
    <row r="23" customFormat="false" ht="15" hidden="false" customHeight="false" outlineLevel="0" collapsed="false">
      <c r="A23" s="0" t="s">
        <v>55</v>
      </c>
      <c r="B23" s="26" t="n">
        <f aca="false">CHOOSE($C$5,C23,D23,E23)</f>
        <v>540</v>
      </c>
      <c r="C23" s="27" t="n">
        <v>540</v>
      </c>
      <c r="D23" s="27" t="n">
        <v>540</v>
      </c>
      <c r="E23" s="27" t="n">
        <v>540</v>
      </c>
      <c r="G23" s="23"/>
    </row>
    <row r="24" customFormat="false" ht="15" hidden="false" customHeight="false" outlineLevel="0" collapsed="false">
      <c r="A24" s="0" t="s">
        <v>56</v>
      </c>
      <c r="B24" s="26" t="n">
        <f aca="false">CHOOSE($C$5,C24,D24,E24)</f>
        <v>1750000</v>
      </c>
      <c r="C24" s="27" t="n">
        <v>1750000</v>
      </c>
      <c r="D24" s="27" t="n">
        <v>1850000</v>
      </c>
      <c r="E24" s="27" t="n">
        <v>1710000</v>
      </c>
      <c r="G24" s="23"/>
    </row>
    <row r="25" customFormat="false" ht="15" hidden="false" customHeight="false" outlineLevel="0" collapsed="false">
      <c r="A25" s="0" t="s">
        <v>57</v>
      </c>
      <c r="B25" s="24" t="n">
        <f aca="false">CHOOSE($C$5,C25,D25,E25)</f>
        <v>3</v>
      </c>
      <c r="C25" s="25" t="n">
        <v>3</v>
      </c>
      <c r="D25" s="25" t="n">
        <v>3</v>
      </c>
      <c r="E25" s="25" t="n">
        <v>6</v>
      </c>
      <c r="G25" s="23"/>
    </row>
    <row r="26" customFormat="false" ht="15" hidden="false" customHeight="false" outlineLevel="0" collapsed="false">
      <c r="A26" s="0" t="s">
        <v>58</v>
      </c>
      <c r="B26" s="24" t="n">
        <f aca="false">CHOOSE($C$5,C26,D26,E26)</f>
        <v>30</v>
      </c>
      <c r="C26" s="25" t="n">
        <v>30</v>
      </c>
      <c r="D26" s="25" t="n">
        <v>24</v>
      </c>
      <c r="E26" s="25" t="n">
        <v>36</v>
      </c>
      <c r="G26" s="23"/>
    </row>
    <row r="27" customFormat="false" ht="15" hidden="false" customHeight="false" outlineLevel="0" collapsed="false">
      <c r="A27" s="0" t="s">
        <v>59</v>
      </c>
      <c r="B27" s="30" t="n">
        <f aca="false">CHOOSE($C$5,C27,D27,E27)</f>
        <v>0.1</v>
      </c>
      <c r="C27" s="31" t="n">
        <v>0.1</v>
      </c>
      <c r="D27" s="31" t="n">
        <v>0.1</v>
      </c>
      <c r="E27" s="31" t="n">
        <v>0.1</v>
      </c>
      <c r="G27" s="23"/>
    </row>
    <row r="28" customFormat="false" ht="15" hidden="false" customHeight="false" outlineLevel="0" collapsed="false">
      <c r="A28" s="0" t="s">
        <v>60</v>
      </c>
      <c r="B28" s="30" t="n">
        <f aca="false">CHOOSE($C$5,C28,D28,E28)</f>
        <v>1</v>
      </c>
      <c r="C28" s="31" t="n">
        <v>1</v>
      </c>
      <c r="D28" s="31" t="n">
        <v>1</v>
      </c>
      <c r="E28" s="31" t="n">
        <v>0.95</v>
      </c>
      <c r="G28" s="23" t="s">
        <v>61</v>
      </c>
    </row>
    <row r="29" customFormat="false" ht="15" hidden="false" customHeight="false" outlineLevel="0" collapsed="false">
      <c r="A29" s="0" t="s">
        <v>62</v>
      </c>
      <c r="B29" s="30" t="n">
        <f aca="false">CHOOSE($C$5,C29,D29,E29)</f>
        <v>0.025</v>
      </c>
      <c r="C29" s="31" t="n">
        <v>0.025</v>
      </c>
      <c r="D29" s="31" t="n">
        <v>0.025</v>
      </c>
      <c r="E29" s="31" t="n">
        <v>0.03</v>
      </c>
      <c r="G29" s="23"/>
    </row>
    <row r="31" customFormat="false" ht="15" hidden="false" customHeight="false" outlineLevel="0" collapsed="false">
      <c r="A31" s="19" t="s">
        <v>63</v>
      </c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0" t="s">
        <v>64</v>
      </c>
      <c r="B32" s="26" t="n">
        <f aca="false">CHOOSE($C$5,C32,D32,E32)</f>
        <v>32000</v>
      </c>
      <c r="C32" s="27" t="n">
        <v>32000</v>
      </c>
      <c r="D32" s="27" t="n">
        <v>32000</v>
      </c>
      <c r="E32" s="27" t="n">
        <v>32000</v>
      </c>
      <c r="G32" s="23"/>
    </row>
    <row r="33" customFormat="false" ht="15" hidden="false" customHeight="false" outlineLevel="0" collapsed="false">
      <c r="A33" s="0" t="s">
        <v>65</v>
      </c>
      <c r="B33" s="26" t="n">
        <f aca="false">CHOOSE($C$5,C33,D33,E33)</f>
        <v>1850</v>
      </c>
      <c r="C33" s="27" t="n">
        <v>1850</v>
      </c>
      <c r="D33" s="27" t="n">
        <v>1950</v>
      </c>
      <c r="E33" s="27" t="n">
        <v>1790</v>
      </c>
      <c r="G33" s="23"/>
    </row>
    <row r="34" customFormat="false" ht="15" hidden="false" customHeight="false" outlineLevel="0" collapsed="false">
      <c r="A34" s="0" t="s">
        <v>66</v>
      </c>
      <c r="B34" s="26" t="n">
        <f aca="false">CHOOSE($C$5,C34,D34,E34)</f>
        <v>410000</v>
      </c>
      <c r="C34" s="27" t="n">
        <v>410000</v>
      </c>
      <c r="D34" s="27" t="n">
        <v>41000</v>
      </c>
      <c r="E34" s="27" t="n">
        <v>41000</v>
      </c>
      <c r="G34" s="23"/>
    </row>
    <row r="35" customFormat="false" ht="15" hidden="false" customHeight="false" outlineLevel="0" collapsed="false">
      <c r="A35" s="0" t="s">
        <v>67</v>
      </c>
      <c r="B35" s="26" t="n">
        <f aca="false">CHOOSE($C$5,C35,D35,E35)</f>
        <v>1350</v>
      </c>
      <c r="C35" s="27" t="n">
        <v>1350</v>
      </c>
      <c r="D35" s="27" t="n">
        <v>1450</v>
      </c>
      <c r="E35" s="27" t="n">
        <v>1310</v>
      </c>
      <c r="G35" s="23"/>
    </row>
    <row r="36" customFormat="false" ht="15" hidden="false" customHeight="false" outlineLevel="0" collapsed="false">
      <c r="A36" s="0" t="s">
        <v>68</v>
      </c>
      <c r="B36" s="24" t="n">
        <f aca="false">CHOOSE($C$5,C36,D36,E36)</f>
        <v>18</v>
      </c>
      <c r="C36" s="25" t="n">
        <v>18</v>
      </c>
      <c r="D36" s="25" t="n">
        <v>12</v>
      </c>
      <c r="E36" s="25" t="n">
        <v>24</v>
      </c>
      <c r="G36" s="23"/>
    </row>
    <row r="37" customFormat="false" ht="15" hidden="false" customHeight="false" outlineLevel="0" collapsed="false">
      <c r="A37" s="0" t="s">
        <v>69</v>
      </c>
      <c r="B37" s="30" t="n">
        <f aca="false">CHOOSE($C$5,C37,D37,E37)</f>
        <v>0.92</v>
      </c>
      <c r="C37" s="31" t="n">
        <v>0.92</v>
      </c>
      <c r="D37" s="31" t="n">
        <v>0.95</v>
      </c>
      <c r="E37" s="31" t="n">
        <v>0.9</v>
      </c>
      <c r="G37" s="23"/>
    </row>
    <row r="38" customFormat="false" ht="15" hidden="false" customHeight="false" outlineLevel="0" collapsed="false">
      <c r="A38" s="0" t="s">
        <v>70</v>
      </c>
      <c r="B38" s="24" t="n">
        <f aca="false">CHOOSE($C$5,C38,D38,E38)</f>
        <v>4</v>
      </c>
      <c r="C38" s="25" t="n">
        <v>4</v>
      </c>
      <c r="D38" s="25" t="n">
        <v>3</v>
      </c>
      <c r="E38" s="25" t="n">
        <v>6</v>
      </c>
      <c r="G38" s="23"/>
    </row>
    <row r="39" customFormat="false" ht="15" hidden="false" customHeight="false" outlineLevel="0" collapsed="false">
      <c r="A39" s="0" t="s">
        <v>71</v>
      </c>
      <c r="B39" s="30" t="n">
        <f aca="false">CHOOSE($C$5,C39,D39,E39)</f>
        <v>0.03</v>
      </c>
      <c r="C39" s="31" t="n">
        <v>0.03</v>
      </c>
      <c r="D39" s="31" t="n">
        <v>0.035</v>
      </c>
      <c r="E39" s="31" t="n">
        <v>0.015</v>
      </c>
      <c r="G39" s="23"/>
    </row>
    <row r="40" customFormat="false" ht="15" hidden="false" customHeight="false" outlineLevel="0" collapsed="false">
      <c r="A40" s="0" t="s">
        <v>72</v>
      </c>
      <c r="B40" s="30" t="n">
        <f aca="false">CHOOSE($C$5,C40,D40,E40)</f>
        <v>0.12</v>
      </c>
      <c r="C40" s="31" t="n">
        <v>0.12</v>
      </c>
      <c r="D40" s="31" t="n">
        <v>0.11</v>
      </c>
      <c r="E40" s="31" t="n">
        <v>0.14</v>
      </c>
      <c r="G40" s="23"/>
    </row>
    <row r="42" customFormat="false" ht="15" hidden="false" customHeight="false" outlineLevel="0" collapsed="false">
      <c r="A42" s="19" t="s">
        <v>73</v>
      </c>
      <c r="B42" s="20"/>
      <c r="C42" s="20"/>
      <c r="D42" s="20"/>
      <c r="E42" s="20"/>
      <c r="F42" s="20"/>
      <c r="G42" s="20"/>
    </row>
    <row r="43" customFormat="false" ht="15" hidden="false" customHeight="false" outlineLevel="0" collapsed="false">
      <c r="A43" s="0" t="s">
        <v>74</v>
      </c>
      <c r="B43" s="26" t="n">
        <f aca="false">CHOOSE($C$5,C43,D43,E43)</f>
        <v>220</v>
      </c>
      <c r="C43" s="27" t="n">
        <v>220</v>
      </c>
      <c r="D43" s="27" t="n">
        <v>220</v>
      </c>
      <c r="E43" s="27" t="n">
        <v>220</v>
      </c>
      <c r="G43" s="23"/>
    </row>
    <row r="44" customFormat="false" ht="15" hidden="false" customHeight="false" outlineLevel="0" collapsed="false">
      <c r="A44" s="0" t="s">
        <v>75</v>
      </c>
      <c r="B44" s="26" t="n">
        <f aca="false">CHOOSE($C$5,C44,D44,E44)</f>
        <v>780</v>
      </c>
      <c r="C44" s="27" t="n">
        <v>780</v>
      </c>
      <c r="D44" s="27" t="n">
        <v>820</v>
      </c>
      <c r="E44" s="27" t="n">
        <v>755</v>
      </c>
      <c r="G44" s="23"/>
    </row>
    <row r="45" customFormat="false" ht="15" hidden="false" customHeight="false" outlineLevel="0" collapsed="false">
      <c r="A45" s="0" t="s">
        <v>69</v>
      </c>
      <c r="B45" s="30" t="n">
        <f aca="false">CHOOSE($C$5,C45,D45,E45)</f>
        <v>0.72</v>
      </c>
      <c r="C45" s="31" t="n">
        <v>0.72</v>
      </c>
      <c r="D45" s="31" t="n">
        <v>0.76</v>
      </c>
      <c r="E45" s="31" t="n">
        <v>0.69</v>
      </c>
      <c r="G45" s="23"/>
    </row>
    <row r="46" customFormat="false" ht="15" hidden="false" customHeight="false" outlineLevel="0" collapsed="false">
      <c r="A46" s="0" t="s">
        <v>76</v>
      </c>
      <c r="B46" s="24" t="n">
        <f aca="false">CHOOSE($C$5,C46,D46,E46)</f>
        <v>24</v>
      </c>
      <c r="C46" s="25" t="n">
        <v>24</v>
      </c>
      <c r="D46" s="25" t="n">
        <v>18</v>
      </c>
      <c r="E46" s="25" t="n">
        <v>30</v>
      </c>
      <c r="G46" s="23"/>
    </row>
    <row r="47" customFormat="false" ht="15" hidden="false" customHeight="false" outlineLevel="0" collapsed="false">
      <c r="A47" s="0" t="s">
        <v>77</v>
      </c>
      <c r="B47" s="30" t="n">
        <f aca="false">CHOOSE($C$5,C47,D47,E47)</f>
        <v>0.34</v>
      </c>
      <c r="C47" s="31" t="n">
        <v>0.34</v>
      </c>
      <c r="D47" s="31" t="n">
        <v>0.36</v>
      </c>
      <c r="E47" s="31" t="n">
        <v>0.3</v>
      </c>
      <c r="G47" s="23"/>
    </row>
    <row r="48" customFormat="false" ht="15" hidden="false" customHeight="false" outlineLevel="0" collapsed="false">
      <c r="A48" s="0" t="s">
        <v>78</v>
      </c>
      <c r="B48" s="30" t="n">
        <f aca="false">CHOOSE($C$5,C48,D48,E48)</f>
        <v>0.04</v>
      </c>
      <c r="C48" s="31" t="n">
        <v>0.04</v>
      </c>
      <c r="D48" s="31" t="n">
        <v>0.04</v>
      </c>
      <c r="E48" s="31" t="n">
        <v>0.04</v>
      </c>
      <c r="G48" s="23"/>
    </row>
    <row r="50" customFormat="false" ht="15" hidden="false" customHeight="false" outlineLevel="0" collapsed="false">
      <c r="A50" s="19" t="s">
        <v>79</v>
      </c>
      <c r="B50" s="20"/>
      <c r="C50" s="20"/>
      <c r="D50" s="20"/>
      <c r="E50" s="20"/>
      <c r="F50" s="20"/>
      <c r="G50" s="20"/>
    </row>
    <row r="51" customFormat="false" ht="15" hidden="false" customHeight="false" outlineLevel="0" collapsed="false">
      <c r="A51" s="0" t="s">
        <v>80</v>
      </c>
      <c r="B51" s="28" t="n">
        <f aca="false">CHOOSE($C$5,C51,D51,E51)</f>
        <v>0.0725</v>
      </c>
      <c r="C51" s="29" t="n">
        <v>0.0725</v>
      </c>
      <c r="D51" s="29" t="n">
        <v>0.07</v>
      </c>
      <c r="E51" s="29" t="n">
        <v>0.075</v>
      </c>
      <c r="G51" s="23"/>
    </row>
    <row r="52" customFormat="false" ht="15" hidden="false" customHeight="false" outlineLevel="0" collapsed="false">
      <c r="A52" s="0" t="s">
        <v>81</v>
      </c>
      <c r="B52" s="32" t="n">
        <f aca="false">CHOOSE($C$5,C52,D52,E52)</f>
        <v>11</v>
      </c>
      <c r="C52" s="33" t="n">
        <v>11</v>
      </c>
      <c r="D52" s="33" t="n">
        <v>12</v>
      </c>
      <c r="E52" s="33" t="n">
        <v>10.5</v>
      </c>
      <c r="G52" s="23"/>
    </row>
    <row r="53" customFormat="false" ht="15" hidden="false" customHeight="false" outlineLevel="0" collapsed="false">
      <c r="A53" s="0" t="s">
        <v>82</v>
      </c>
      <c r="B53" s="30" t="n">
        <f aca="false">CHOOSE($C$5,C53,D53,E53)</f>
        <v>0.015</v>
      </c>
      <c r="C53" s="31" t="n">
        <v>0.015</v>
      </c>
      <c r="D53" s="31" t="n">
        <v>0.015</v>
      </c>
      <c r="E53" s="31" t="n">
        <v>0.02</v>
      </c>
      <c r="G53" s="23"/>
    </row>
    <row r="55" customFormat="false" ht="15" hidden="false" customHeight="false" outlineLevel="0" collapsed="false">
      <c r="A55" s="19" t="s">
        <v>83</v>
      </c>
      <c r="B55" s="20"/>
      <c r="C55" s="20"/>
      <c r="D55" s="20"/>
      <c r="E55" s="20"/>
      <c r="F55" s="20"/>
      <c r="G55" s="20"/>
    </row>
    <row r="56" customFormat="false" ht="15" hidden="false" customHeight="false" outlineLevel="0" collapsed="false">
      <c r="A56" s="0" t="s">
        <v>84</v>
      </c>
      <c r="B56" s="30" t="n">
        <f aca="false">CHOOSE($C$5,C56,D56,E56)</f>
        <v>0.45</v>
      </c>
      <c r="C56" s="31" t="n">
        <v>0.45</v>
      </c>
      <c r="D56" s="31" t="n">
        <v>0.45</v>
      </c>
      <c r="E56" s="31" t="n">
        <v>0.4</v>
      </c>
      <c r="G56" s="23"/>
    </row>
    <row r="57" customFormat="false" ht="15" hidden="false" customHeight="false" outlineLevel="0" collapsed="false">
      <c r="A57" s="0" t="s">
        <v>85</v>
      </c>
      <c r="B57" s="28" t="n">
        <f aca="false">CHOOSE($C$5,C57,D57,E57)</f>
        <v>0.0545</v>
      </c>
      <c r="C57" s="29" t="n">
        <v>0.0545</v>
      </c>
      <c r="D57" s="29" t="n">
        <v>0.05</v>
      </c>
      <c r="E57" s="29" t="n">
        <v>0.056</v>
      </c>
      <c r="G57" s="23"/>
    </row>
    <row r="58" customFormat="false" ht="15" hidden="false" customHeight="false" outlineLevel="0" collapsed="false">
      <c r="A58" s="0" t="s">
        <v>86</v>
      </c>
      <c r="B58" s="24" t="n">
        <f aca="false">CHOOSE($C$5,C58,D58,E58)</f>
        <v>275</v>
      </c>
      <c r="C58" s="25" t="n">
        <v>275</v>
      </c>
      <c r="D58" s="25" t="n">
        <v>250</v>
      </c>
      <c r="E58" s="25" t="n">
        <v>300</v>
      </c>
      <c r="G58" s="23"/>
    </row>
    <row r="59" customFormat="false" ht="15" hidden="false" customHeight="false" outlineLevel="0" collapsed="false">
      <c r="A59" s="0" t="s">
        <v>87</v>
      </c>
      <c r="B59" s="28" t="n">
        <f aca="false">CHOOSE($C$5,C59,D59,E59)</f>
        <v>0.0075</v>
      </c>
      <c r="C59" s="29" t="n">
        <v>0.0075</v>
      </c>
      <c r="D59" s="29" t="n">
        <v>0.0075</v>
      </c>
      <c r="E59" s="29" t="n">
        <v>0.01</v>
      </c>
      <c r="G59" s="23"/>
    </row>
    <row r="60" customFormat="false" ht="15" hidden="false" customHeight="false" outlineLevel="0" collapsed="false">
      <c r="A60" s="0" t="s">
        <v>88</v>
      </c>
      <c r="B60" s="30" t="n">
        <f aca="false">CHOOSE($C$5,C60,D60,E60)</f>
        <v>0.03</v>
      </c>
      <c r="C60" s="31" t="n">
        <v>0.03</v>
      </c>
      <c r="D60" s="31" t="n">
        <v>0.03</v>
      </c>
      <c r="E60" s="31" t="n">
        <v>0.03</v>
      </c>
      <c r="G60" s="23"/>
    </row>
    <row r="61" customFormat="false" ht="15" hidden="false" customHeight="false" outlineLevel="0" collapsed="false">
      <c r="A61" s="0" t="s">
        <v>89</v>
      </c>
      <c r="B61" s="13" t="n">
        <f aca="false">CHOOSE($C$5,C61,D61,E61)</f>
        <v>1.25</v>
      </c>
      <c r="C61" s="34" t="n">
        <v>1.25</v>
      </c>
      <c r="D61" s="34" t="n">
        <v>1.25</v>
      </c>
      <c r="E61" s="34" t="n">
        <v>1.25</v>
      </c>
      <c r="G61" s="23"/>
    </row>
    <row r="62" customFormat="false" ht="15" hidden="false" customHeight="false" outlineLevel="0" collapsed="false">
      <c r="A62" s="0" t="s">
        <v>90</v>
      </c>
      <c r="B62" s="30" t="n">
        <f aca="false">CHOOSE($C$5,C62,D62,E62)</f>
        <v>0.6</v>
      </c>
      <c r="C62" s="31" t="n">
        <v>0.6</v>
      </c>
      <c r="D62" s="31" t="n">
        <v>0.6</v>
      </c>
      <c r="E62" s="31" t="n">
        <v>0.6</v>
      </c>
      <c r="G62" s="23"/>
    </row>
    <row r="64" customFormat="false" ht="15" hidden="false" customHeight="false" outlineLevel="0" collapsed="false">
      <c r="A64" s="19" t="s">
        <v>91</v>
      </c>
      <c r="B64" s="20"/>
      <c r="C64" s="20"/>
      <c r="D64" s="20"/>
      <c r="E64" s="20"/>
      <c r="F64" s="20"/>
      <c r="G64" s="20"/>
    </row>
    <row r="65" customFormat="false" ht="15" hidden="false" customHeight="false" outlineLevel="0" collapsed="false">
      <c r="A65" s="0" t="s">
        <v>92</v>
      </c>
      <c r="B65" s="30" t="n">
        <f aca="false">CHOOSE($C$5,C65,D65,E65)</f>
        <v>0</v>
      </c>
      <c r="C65" s="31" t="n">
        <v>0</v>
      </c>
      <c r="D65" s="31" t="n">
        <v>0</v>
      </c>
      <c r="E65" s="31" t="n">
        <v>0</v>
      </c>
      <c r="G65" s="23"/>
    </row>
    <row r="66" customFormat="false" ht="15" hidden="false" customHeight="false" outlineLevel="0" collapsed="false">
      <c r="A66" s="0" t="s">
        <v>93</v>
      </c>
      <c r="B66" s="28" t="n">
        <f aca="false">CHOOSE($C$5,C66,D66,E66)</f>
        <v>0.025</v>
      </c>
      <c r="C66" s="29" t="n">
        <v>0.025</v>
      </c>
      <c r="D66" s="29" t="n">
        <v>0.025</v>
      </c>
      <c r="E66" s="29" t="n">
        <v>0.025</v>
      </c>
      <c r="G66" s="23"/>
    </row>
    <row r="68" customFormat="false" ht="15" hidden="false" customHeight="false" outlineLevel="0" collapsed="false">
      <c r="A68" s="19" t="s">
        <v>29</v>
      </c>
      <c r="B68" s="20"/>
      <c r="C68" s="20"/>
      <c r="D68" s="20"/>
      <c r="E68" s="20"/>
      <c r="F68" s="20"/>
      <c r="G68" s="20"/>
    </row>
    <row r="69" customFormat="false" ht="15" hidden="false" customHeight="false" outlineLevel="0" collapsed="false">
      <c r="A69" s="0" t="s">
        <v>94</v>
      </c>
      <c r="B69" s="30" t="n">
        <f aca="false">CHOOSE($C$5,C69,D69,E69)</f>
        <v>0.1</v>
      </c>
      <c r="C69" s="31" t="n">
        <v>0.1</v>
      </c>
      <c r="D69" s="31" t="n">
        <v>0.1</v>
      </c>
      <c r="E69" s="31" t="n">
        <v>0.1</v>
      </c>
      <c r="G69" s="23"/>
    </row>
    <row r="70" customFormat="false" ht="15" hidden="false" customHeight="false" outlineLevel="0" collapsed="false">
      <c r="A70" s="0" t="s">
        <v>95</v>
      </c>
      <c r="B70" s="30" t="n">
        <f aca="false">CHOOSE($C$5,C70,D70,E70)</f>
        <v>0.1</v>
      </c>
      <c r="C70" s="31" t="n">
        <v>0.1</v>
      </c>
      <c r="D70" s="31" t="n">
        <v>0.1</v>
      </c>
      <c r="E70" s="31" t="n">
        <v>0.1</v>
      </c>
      <c r="G70" s="23"/>
    </row>
    <row r="71" customFormat="false" ht="15" hidden="false" customHeight="false" outlineLevel="0" collapsed="false">
      <c r="A71" s="0" t="s">
        <v>96</v>
      </c>
      <c r="B71" s="30" t="n">
        <f aca="false">CHOOSE($C$5,C71,D71,E71)</f>
        <v>0.5</v>
      </c>
      <c r="C71" s="31" t="n">
        <v>0.5</v>
      </c>
      <c r="D71" s="31" t="n">
        <v>0.5</v>
      </c>
      <c r="E71" s="31" t="n">
        <v>0.5</v>
      </c>
      <c r="G71" s="23"/>
    </row>
    <row r="72" customFormat="false" ht="15" hidden="false" customHeight="false" outlineLevel="0" collapsed="false">
      <c r="A72" s="0" t="s">
        <v>97</v>
      </c>
      <c r="B72" s="30" t="n">
        <f aca="false">CHOOSE($C$5,C72,D72,E72)</f>
        <v>0.25</v>
      </c>
      <c r="C72" s="31" t="n">
        <v>0.25</v>
      </c>
      <c r="D72" s="31" t="n">
        <v>0.25</v>
      </c>
      <c r="E72" s="31" t="n">
        <v>0.25</v>
      </c>
      <c r="G72" s="23"/>
    </row>
    <row r="73" customFormat="false" ht="15" hidden="false" customHeight="false" outlineLevel="0" collapsed="false">
      <c r="A73" s="0" t="s">
        <v>98</v>
      </c>
      <c r="B73" s="30" t="n">
        <f aca="false">CHOOSE($C$5,C73,D73,E73)</f>
        <v>0.1</v>
      </c>
      <c r="C73" s="31" t="n">
        <v>0.1</v>
      </c>
      <c r="D73" s="31" t="n">
        <v>0.1</v>
      </c>
      <c r="E73" s="31" t="n">
        <v>0.1</v>
      </c>
      <c r="G73" s="23"/>
    </row>
  </sheetData>
  <dataValidations count="1">
    <dataValidation allowBlank="false" error="1, 2 or 3" errorStyle="stop" operator="between" showDropDown="false" showErrorMessage="true" showInputMessage="false" sqref="C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8" t="n">
        <v>0</v>
      </c>
      <c r="D5" s="18" t="n">
        <v>1</v>
      </c>
      <c r="E5" s="18" t="n">
        <v>2</v>
      </c>
      <c r="F5" s="18" t="n">
        <v>3</v>
      </c>
      <c r="G5" s="18" t="n">
        <v>4</v>
      </c>
      <c r="H5" s="18" t="n">
        <v>5</v>
      </c>
      <c r="I5" s="18" t="n">
        <v>6</v>
      </c>
      <c r="J5" s="18" t="n">
        <v>7</v>
      </c>
      <c r="K5" s="18" t="n">
        <v>8</v>
      </c>
      <c r="L5" s="18" t="n">
        <v>9</v>
      </c>
      <c r="M5" s="18" t="n">
        <v>10</v>
      </c>
      <c r="N5" s="18" t="n">
        <v>11</v>
      </c>
      <c r="O5" s="18" t="n">
        <v>12</v>
      </c>
      <c r="P5" s="18" t="n">
        <v>13</v>
      </c>
      <c r="Q5" s="18" t="n">
        <v>14</v>
      </c>
      <c r="R5" s="18" t="n">
        <v>15</v>
      </c>
      <c r="S5" s="18" t="n">
        <v>16</v>
      </c>
      <c r="T5" s="18" t="n">
        <v>17</v>
      </c>
      <c r="U5" s="18" t="n">
        <v>18</v>
      </c>
      <c r="V5" s="18" t="n">
        <v>19</v>
      </c>
      <c r="W5" s="18" t="n">
        <v>20</v>
      </c>
      <c r="X5" s="18" t="n">
        <v>21</v>
      </c>
      <c r="Y5" s="18" t="n">
        <v>22</v>
      </c>
      <c r="Z5" s="18" t="n">
        <v>23</v>
      </c>
      <c r="AA5" s="18" t="n">
        <v>24</v>
      </c>
      <c r="AB5" s="18" t="n">
        <v>25</v>
      </c>
      <c r="AC5" s="18" t="n">
        <v>26</v>
      </c>
      <c r="AD5" s="18" t="n">
        <v>27</v>
      </c>
      <c r="AE5" s="18" t="n">
        <v>28</v>
      </c>
      <c r="AF5" s="18" t="n">
        <v>29</v>
      </c>
      <c r="AG5" s="18" t="n">
        <v>30</v>
      </c>
      <c r="AH5" s="18" t="n">
        <v>31</v>
      </c>
      <c r="AI5" s="18" t="n">
        <v>32</v>
      </c>
      <c r="AJ5" s="18" t="n">
        <v>33</v>
      </c>
      <c r="AK5" s="18" t="n">
        <v>34</v>
      </c>
      <c r="AL5" s="18" t="n">
        <v>35</v>
      </c>
      <c r="AM5" s="18" t="n">
        <v>36</v>
      </c>
      <c r="AN5" s="18" t="n">
        <v>37</v>
      </c>
      <c r="AO5" s="18" t="n">
        <v>38</v>
      </c>
      <c r="AP5" s="18" t="n">
        <v>39</v>
      </c>
      <c r="AQ5" s="18" t="n">
        <v>40</v>
      </c>
      <c r="AR5" s="18" t="n">
        <v>41</v>
      </c>
      <c r="AS5" s="18" t="n">
        <v>42</v>
      </c>
      <c r="AT5" s="18" t="n">
        <v>43</v>
      </c>
      <c r="AU5" s="18" t="n">
        <v>44</v>
      </c>
      <c r="AV5" s="18" t="n">
        <v>45</v>
      </c>
      <c r="AW5" s="18" t="n">
        <v>46</v>
      </c>
      <c r="AX5" s="18" t="n">
        <v>47</v>
      </c>
      <c r="AY5" s="18" t="n">
        <v>48</v>
      </c>
      <c r="AZ5" s="18" t="n">
        <v>49</v>
      </c>
      <c r="BA5" s="18" t="n">
        <v>50</v>
      </c>
      <c r="BB5" s="18" t="n">
        <v>51</v>
      </c>
      <c r="BC5" s="18" t="n">
        <v>52</v>
      </c>
      <c r="BD5" s="18" t="n">
        <v>53</v>
      </c>
      <c r="BE5" s="18" t="n">
        <v>54</v>
      </c>
      <c r="BF5" s="18" t="n">
        <v>55</v>
      </c>
      <c r="BG5" s="18" t="n">
        <v>56</v>
      </c>
      <c r="BH5" s="18" t="n">
        <v>57</v>
      </c>
      <c r="BI5" s="18" t="n">
        <v>58</v>
      </c>
      <c r="BJ5" s="18" t="n">
        <v>59</v>
      </c>
      <c r="BK5" s="18" t="n">
        <v>60</v>
      </c>
      <c r="BL5" s="18" t="n">
        <v>61</v>
      </c>
      <c r="BM5" s="18" t="n">
        <v>62</v>
      </c>
      <c r="BN5" s="18" t="n">
        <v>63</v>
      </c>
      <c r="BO5" s="18" t="n">
        <v>64</v>
      </c>
      <c r="BP5" s="18" t="n">
        <v>65</v>
      </c>
      <c r="BQ5" s="18" t="n">
        <v>66</v>
      </c>
      <c r="BR5" s="18" t="n">
        <v>67</v>
      </c>
      <c r="BS5" s="18" t="n">
        <v>68</v>
      </c>
      <c r="BT5" s="18" t="n">
        <v>69</v>
      </c>
      <c r="BU5" s="18" t="n">
        <v>70</v>
      </c>
      <c r="BV5" s="18" t="n">
        <v>71</v>
      </c>
      <c r="BW5" s="18" t="n">
        <v>72</v>
      </c>
      <c r="BX5" s="18" t="n">
        <v>73</v>
      </c>
      <c r="BY5" s="18" t="n">
        <v>74</v>
      </c>
      <c r="BZ5" s="18" t="n">
        <v>75</v>
      </c>
      <c r="CA5" s="18" t="n">
        <v>76</v>
      </c>
      <c r="CB5" s="18" t="n">
        <v>77</v>
      </c>
      <c r="CC5" s="18" t="n">
        <v>78</v>
      </c>
      <c r="CD5" s="18" t="n">
        <v>79</v>
      </c>
      <c r="CE5" s="18" t="n">
        <v>80</v>
      </c>
      <c r="CF5" s="18" t="n">
        <v>81</v>
      </c>
      <c r="CG5" s="18" t="n">
        <v>82</v>
      </c>
      <c r="CH5" s="18" t="n">
        <v>83</v>
      </c>
      <c r="CI5" s="18" t="n">
        <v>84</v>
      </c>
      <c r="CJ5" s="18" t="n">
        <v>85</v>
      </c>
      <c r="CK5" s="18" t="n">
        <v>86</v>
      </c>
      <c r="CL5" s="18" t="n">
        <v>87</v>
      </c>
      <c r="CM5" s="18" t="n">
        <v>88</v>
      </c>
      <c r="CN5" s="18" t="n">
        <v>89</v>
      </c>
      <c r="CO5" s="18" t="n">
        <v>90</v>
      </c>
      <c r="CP5" s="18" t="n">
        <v>91</v>
      </c>
      <c r="CQ5" s="18" t="n">
        <v>92</v>
      </c>
      <c r="CR5" s="18" t="n">
        <v>93</v>
      </c>
      <c r="CS5" s="18" t="n">
        <v>94</v>
      </c>
      <c r="CT5" s="18" t="n">
        <v>95</v>
      </c>
      <c r="CU5" s="18" t="n">
        <v>96</v>
      </c>
    </row>
    <row r="8" customFormat="false" ht="15" hidden="false" customHeight="false" outlineLevel="0" collapsed="false">
      <c r="A8" s="19" t="s">
        <v>103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customFormat="false" ht="15" hidden="false" customHeight="false" outlineLevel="0" collapsed="false">
      <c r="A9" s="35" t="s">
        <v>101</v>
      </c>
      <c r="C9" s="36" t="n">
        <f aca="false">C$5</f>
        <v>0</v>
      </c>
      <c r="D9" s="36" t="n">
        <f aca="false">D$5</f>
        <v>1</v>
      </c>
      <c r="E9" s="36" t="n">
        <f aca="false">E$5</f>
        <v>2</v>
      </c>
      <c r="F9" s="36" t="n">
        <f aca="false">F$5</f>
        <v>3</v>
      </c>
      <c r="G9" s="36" t="n">
        <f aca="false">G$5</f>
        <v>4</v>
      </c>
      <c r="H9" s="36" t="n">
        <f aca="false">H$5</f>
        <v>5</v>
      </c>
      <c r="I9" s="36" t="n">
        <f aca="false">I$5</f>
        <v>6</v>
      </c>
      <c r="J9" s="36" t="n">
        <f aca="false">J$5</f>
        <v>7</v>
      </c>
      <c r="K9" s="36" t="n">
        <f aca="false">K$5</f>
        <v>8</v>
      </c>
      <c r="L9" s="36" t="n">
        <f aca="false">L$5</f>
        <v>9</v>
      </c>
      <c r="M9" s="36" t="n">
        <f aca="false">M$5</f>
        <v>10</v>
      </c>
      <c r="N9" s="36" t="n">
        <f aca="false">N$5</f>
        <v>11</v>
      </c>
      <c r="O9" s="36" t="n">
        <f aca="false">O$5</f>
        <v>12</v>
      </c>
      <c r="P9" s="36" t="n">
        <f aca="false">P$5</f>
        <v>13</v>
      </c>
      <c r="Q9" s="36" t="n">
        <f aca="false">Q$5</f>
        <v>14</v>
      </c>
      <c r="R9" s="36" t="n">
        <f aca="false">R$5</f>
        <v>15</v>
      </c>
      <c r="S9" s="36" t="n">
        <f aca="false">S$5</f>
        <v>16</v>
      </c>
      <c r="T9" s="36" t="n">
        <f aca="false">T$5</f>
        <v>17</v>
      </c>
      <c r="U9" s="36" t="n">
        <f aca="false">U$5</f>
        <v>18</v>
      </c>
      <c r="V9" s="36" t="n">
        <f aca="false">V$5</f>
        <v>19</v>
      </c>
      <c r="W9" s="36" t="n">
        <f aca="false">W$5</f>
        <v>20</v>
      </c>
      <c r="X9" s="36" t="n">
        <f aca="false">X$5</f>
        <v>21</v>
      </c>
      <c r="Y9" s="36" t="n">
        <f aca="false">Y$5</f>
        <v>22</v>
      </c>
      <c r="Z9" s="36" t="n">
        <f aca="false">Z$5</f>
        <v>23</v>
      </c>
      <c r="AA9" s="36" t="n">
        <f aca="false">AA$5</f>
        <v>24</v>
      </c>
      <c r="AB9" s="36" t="n">
        <f aca="false">AB$5</f>
        <v>25</v>
      </c>
      <c r="AC9" s="36" t="n">
        <f aca="false">AC$5</f>
        <v>26</v>
      </c>
      <c r="AD9" s="36" t="n">
        <f aca="false">AD$5</f>
        <v>27</v>
      </c>
      <c r="AE9" s="36" t="n">
        <f aca="false">AE$5</f>
        <v>28</v>
      </c>
      <c r="AF9" s="36" t="n">
        <f aca="false">AF$5</f>
        <v>29</v>
      </c>
      <c r="AG9" s="36" t="n">
        <f aca="false">AG$5</f>
        <v>30</v>
      </c>
      <c r="AH9" s="36" t="n">
        <f aca="false">AH$5</f>
        <v>31</v>
      </c>
      <c r="AI9" s="36" t="n">
        <f aca="false">AI$5</f>
        <v>32</v>
      </c>
      <c r="AJ9" s="36" t="n">
        <f aca="false">AJ$5</f>
        <v>33</v>
      </c>
      <c r="AK9" s="36" t="n">
        <f aca="false">AK$5</f>
        <v>34</v>
      </c>
      <c r="AL9" s="36" t="n">
        <f aca="false">AL$5</f>
        <v>35</v>
      </c>
      <c r="AM9" s="36" t="n">
        <f aca="false">AM$5</f>
        <v>36</v>
      </c>
      <c r="AN9" s="36" t="n">
        <f aca="false">AN$5</f>
        <v>37</v>
      </c>
      <c r="AO9" s="36" t="n">
        <f aca="false">AO$5</f>
        <v>38</v>
      </c>
      <c r="AP9" s="36" t="n">
        <f aca="false">AP$5</f>
        <v>39</v>
      </c>
      <c r="AQ9" s="36" t="n">
        <f aca="false">AQ$5</f>
        <v>40</v>
      </c>
      <c r="AR9" s="36" t="n">
        <f aca="false">AR$5</f>
        <v>41</v>
      </c>
      <c r="AS9" s="36" t="n">
        <f aca="false">AS$5</f>
        <v>42</v>
      </c>
      <c r="AT9" s="36" t="n">
        <f aca="false">AT$5</f>
        <v>43</v>
      </c>
      <c r="AU9" s="36" t="n">
        <f aca="false">AU$5</f>
        <v>44</v>
      </c>
      <c r="AV9" s="36" t="n">
        <f aca="false">AV$5</f>
        <v>45</v>
      </c>
      <c r="AW9" s="36" t="n">
        <f aca="false">AW$5</f>
        <v>46</v>
      </c>
      <c r="AX9" s="36" t="n">
        <f aca="false">AX$5</f>
        <v>47</v>
      </c>
      <c r="AY9" s="36" t="n">
        <f aca="false">AY$5</f>
        <v>48</v>
      </c>
      <c r="AZ9" s="36" t="n">
        <f aca="false">AZ$5</f>
        <v>49</v>
      </c>
      <c r="BA9" s="36" t="n">
        <f aca="false">BA$5</f>
        <v>50</v>
      </c>
      <c r="BB9" s="36" t="n">
        <f aca="false">BB$5</f>
        <v>51</v>
      </c>
      <c r="BC9" s="36" t="n">
        <f aca="false">BC$5</f>
        <v>52</v>
      </c>
      <c r="BD9" s="36" t="n">
        <f aca="false">BD$5</f>
        <v>53</v>
      </c>
      <c r="BE9" s="36" t="n">
        <f aca="false">BE$5</f>
        <v>54</v>
      </c>
      <c r="BF9" s="36" t="n">
        <f aca="false">BF$5</f>
        <v>55</v>
      </c>
      <c r="BG9" s="36" t="n">
        <f aca="false">BG$5</f>
        <v>56</v>
      </c>
      <c r="BH9" s="36" t="n">
        <f aca="false">BH$5</f>
        <v>57</v>
      </c>
      <c r="BI9" s="36" t="n">
        <f aca="false">BI$5</f>
        <v>58</v>
      </c>
      <c r="BJ9" s="36" t="n">
        <f aca="false">BJ$5</f>
        <v>59</v>
      </c>
      <c r="BK9" s="36" t="n">
        <f aca="false">BK$5</f>
        <v>60</v>
      </c>
      <c r="BL9" s="36" t="n">
        <f aca="false">BL$5</f>
        <v>61</v>
      </c>
      <c r="BM9" s="36" t="n">
        <f aca="false">BM$5</f>
        <v>62</v>
      </c>
      <c r="BN9" s="36" t="n">
        <f aca="false">BN$5</f>
        <v>63</v>
      </c>
      <c r="BO9" s="36" t="n">
        <f aca="false">BO$5</f>
        <v>64</v>
      </c>
      <c r="BP9" s="36" t="n">
        <f aca="false">BP$5</f>
        <v>65</v>
      </c>
      <c r="BQ9" s="36" t="n">
        <f aca="false">BQ$5</f>
        <v>66</v>
      </c>
      <c r="BR9" s="36" t="n">
        <f aca="false">BR$5</f>
        <v>67</v>
      </c>
      <c r="BS9" s="36" t="n">
        <f aca="false">BS$5</f>
        <v>68</v>
      </c>
      <c r="BT9" s="36" t="n">
        <f aca="false">BT$5</f>
        <v>69</v>
      </c>
      <c r="BU9" s="36" t="n">
        <f aca="false">BU$5</f>
        <v>70</v>
      </c>
      <c r="BV9" s="36" t="n">
        <f aca="false">BV$5</f>
        <v>71</v>
      </c>
      <c r="BW9" s="36" t="n">
        <f aca="false">BW$5</f>
        <v>72</v>
      </c>
      <c r="BX9" s="36" t="n">
        <f aca="false">BX$5</f>
        <v>73</v>
      </c>
      <c r="BY9" s="36" t="n">
        <f aca="false">BY$5</f>
        <v>74</v>
      </c>
      <c r="BZ9" s="36" t="n">
        <f aca="false">BZ$5</f>
        <v>75</v>
      </c>
      <c r="CA9" s="36" t="n">
        <f aca="false">CA$5</f>
        <v>76</v>
      </c>
      <c r="CB9" s="36" t="n">
        <f aca="false">CB$5</f>
        <v>77</v>
      </c>
      <c r="CC9" s="36" t="n">
        <f aca="false">CC$5</f>
        <v>78</v>
      </c>
      <c r="CD9" s="36" t="n">
        <f aca="false">CD$5</f>
        <v>79</v>
      </c>
      <c r="CE9" s="36" t="n">
        <f aca="false">CE$5</f>
        <v>80</v>
      </c>
      <c r="CF9" s="36" t="n">
        <f aca="false">CF$5</f>
        <v>81</v>
      </c>
      <c r="CG9" s="36" t="n">
        <f aca="false">CG$5</f>
        <v>82</v>
      </c>
      <c r="CH9" s="36" t="n">
        <f aca="false">CH$5</f>
        <v>83</v>
      </c>
      <c r="CI9" s="36" t="n">
        <f aca="false">CI$5</f>
        <v>84</v>
      </c>
      <c r="CJ9" s="36" t="n">
        <f aca="false">CJ$5</f>
        <v>85</v>
      </c>
      <c r="CK9" s="36" t="n">
        <f aca="false">CK$5</f>
        <v>86</v>
      </c>
      <c r="CL9" s="36" t="n">
        <f aca="false">CL$5</f>
        <v>87</v>
      </c>
      <c r="CM9" s="36" t="n">
        <f aca="false">CM$5</f>
        <v>88</v>
      </c>
      <c r="CN9" s="36" t="n">
        <f aca="false">CN$5</f>
        <v>89</v>
      </c>
      <c r="CO9" s="36" t="n">
        <f aca="false">CO$5</f>
        <v>90</v>
      </c>
      <c r="CP9" s="36" t="n">
        <f aca="false">CP$5</f>
        <v>91</v>
      </c>
      <c r="CQ9" s="36" t="n">
        <f aca="false">CQ$5</f>
        <v>92</v>
      </c>
      <c r="CR9" s="36" t="n">
        <f aca="false">CR$5</f>
        <v>93</v>
      </c>
      <c r="CS9" s="36" t="n">
        <f aca="false">CS$5</f>
        <v>94</v>
      </c>
      <c r="CT9" s="36" t="n">
        <f aca="false">CT$5</f>
        <v>95</v>
      </c>
      <c r="CU9" s="36" t="n">
        <f aca="false">CU$5</f>
        <v>96</v>
      </c>
    </row>
    <row r="10" customFormat="false" ht="15" hidden="false" customHeight="false" outlineLevel="0" collapsed="false">
      <c r="A10" s="35" t="s">
        <v>104</v>
      </c>
      <c r="C10" s="37" t="n">
        <f aca="false">EOMONTH(StartDate,C$5)</f>
        <v>46387</v>
      </c>
      <c r="D10" s="37" t="n">
        <f aca="false">EOMONTH(StartDate,D$5)</f>
        <v>46418</v>
      </c>
      <c r="E10" s="37" t="n">
        <f aca="false">EOMONTH(StartDate,E$5)</f>
        <v>46446</v>
      </c>
      <c r="F10" s="37" t="n">
        <f aca="false">EOMONTH(StartDate,F$5)</f>
        <v>46477</v>
      </c>
      <c r="G10" s="37" t="n">
        <f aca="false">EOMONTH(StartDate,G$5)</f>
        <v>46507</v>
      </c>
      <c r="H10" s="37" t="n">
        <f aca="false">EOMONTH(StartDate,H$5)</f>
        <v>46538</v>
      </c>
      <c r="I10" s="37" t="n">
        <f aca="false">EOMONTH(StartDate,I$5)</f>
        <v>46568</v>
      </c>
      <c r="J10" s="37" t="n">
        <f aca="false">EOMONTH(StartDate,J$5)</f>
        <v>46599</v>
      </c>
      <c r="K10" s="37" t="n">
        <f aca="false">EOMONTH(StartDate,K$5)</f>
        <v>46630</v>
      </c>
      <c r="L10" s="37" t="n">
        <f aca="false">EOMONTH(StartDate,L$5)</f>
        <v>46660</v>
      </c>
      <c r="M10" s="37" t="n">
        <f aca="false">EOMONTH(StartDate,M$5)</f>
        <v>46691</v>
      </c>
      <c r="N10" s="37" t="n">
        <f aca="false">EOMONTH(StartDate,N$5)</f>
        <v>46721</v>
      </c>
      <c r="O10" s="37" t="n">
        <f aca="false">EOMONTH(StartDate,O$5)</f>
        <v>46752</v>
      </c>
      <c r="P10" s="37" t="n">
        <f aca="false">EOMONTH(StartDate,P$5)</f>
        <v>46783</v>
      </c>
      <c r="Q10" s="37" t="n">
        <f aca="false">EOMONTH(StartDate,Q$5)</f>
        <v>46812</v>
      </c>
      <c r="R10" s="37" t="n">
        <f aca="false">EOMONTH(StartDate,R$5)</f>
        <v>46843</v>
      </c>
      <c r="S10" s="37" t="n">
        <f aca="false">EOMONTH(StartDate,S$5)</f>
        <v>46873</v>
      </c>
      <c r="T10" s="37" t="n">
        <f aca="false">EOMONTH(StartDate,T$5)</f>
        <v>46904</v>
      </c>
      <c r="U10" s="37" t="n">
        <f aca="false">EOMONTH(StartDate,U$5)</f>
        <v>46934</v>
      </c>
      <c r="V10" s="37" t="n">
        <f aca="false">EOMONTH(StartDate,V$5)</f>
        <v>46965</v>
      </c>
      <c r="W10" s="37" t="n">
        <f aca="false">EOMONTH(StartDate,W$5)</f>
        <v>46996</v>
      </c>
      <c r="X10" s="37" t="n">
        <f aca="false">EOMONTH(StartDate,X$5)</f>
        <v>47026</v>
      </c>
      <c r="Y10" s="37" t="n">
        <f aca="false">EOMONTH(StartDate,Y$5)</f>
        <v>47057</v>
      </c>
      <c r="Z10" s="37" t="n">
        <f aca="false">EOMONTH(StartDate,Z$5)</f>
        <v>47087</v>
      </c>
      <c r="AA10" s="37" t="n">
        <f aca="false">EOMONTH(StartDate,AA$5)</f>
        <v>47118</v>
      </c>
      <c r="AB10" s="37" t="n">
        <f aca="false">EOMONTH(StartDate,AB$5)</f>
        <v>47149</v>
      </c>
      <c r="AC10" s="37" t="n">
        <f aca="false">EOMONTH(StartDate,AC$5)</f>
        <v>47177</v>
      </c>
      <c r="AD10" s="37" t="n">
        <f aca="false">EOMONTH(StartDate,AD$5)</f>
        <v>47208</v>
      </c>
      <c r="AE10" s="37" t="n">
        <f aca="false">EOMONTH(StartDate,AE$5)</f>
        <v>47238</v>
      </c>
      <c r="AF10" s="37" t="n">
        <f aca="false">EOMONTH(StartDate,AF$5)</f>
        <v>47269</v>
      </c>
      <c r="AG10" s="37" t="n">
        <f aca="false">EOMONTH(StartDate,AG$5)</f>
        <v>47299</v>
      </c>
      <c r="AH10" s="37" t="n">
        <f aca="false">EOMONTH(StartDate,AH$5)</f>
        <v>47330</v>
      </c>
      <c r="AI10" s="37" t="n">
        <f aca="false">EOMONTH(StartDate,AI$5)</f>
        <v>47361</v>
      </c>
      <c r="AJ10" s="37" t="n">
        <f aca="false">EOMONTH(StartDate,AJ$5)</f>
        <v>47391</v>
      </c>
      <c r="AK10" s="37" t="n">
        <f aca="false">EOMONTH(StartDate,AK$5)</f>
        <v>47422</v>
      </c>
      <c r="AL10" s="37" t="n">
        <f aca="false">EOMONTH(StartDate,AL$5)</f>
        <v>47452</v>
      </c>
      <c r="AM10" s="37" t="n">
        <f aca="false">EOMONTH(StartDate,AM$5)</f>
        <v>47483</v>
      </c>
      <c r="AN10" s="37" t="n">
        <f aca="false">EOMONTH(StartDate,AN$5)</f>
        <v>47514</v>
      </c>
      <c r="AO10" s="37" t="n">
        <f aca="false">EOMONTH(StartDate,AO$5)</f>
        <v>47542</v>
      </c>
      <c r="AP10" s="37" t="n">
        <f aca="false">EOMONTH(StartDate,AP$5)</f>
        <v>47573</v>
      </c>
      <c r="AQ10" s="37" t="n">
        <f aca="false">EOMONTH(StartDate,AQ$5)</f>
        <v>47603</v>
      </c>
      <c r="AR10" s="37" t="n">
        <f aca="false">EOMONTH(StartDate,AR$5)</f>
        <v>47634</v>
      </c>
      <c r="AS10" s="37" t="n">
        <f aca="false">EOMONTH(StartDate,AS$5)</f>
        <v>47664</v>
      </c>
      <c r="AT10" s="37" t="n">
        <f aca="false">EOMONTH(StartDate,AT$5)</f>
        <v>47695</v>
      </c>
      <c r="AU10" s="37" t="n">
        <f aca="false">EOMONTH(StartDate,AU$5)</f>
        <v>47726</v>
      </c>
      <c r="AV10" s="37" t="n">
        <f aca="false">EOMONTH(StartDate,AV$5)</f>
        <v>47756</v>
      </c>
      <c r="AW10" s="37" t="n">
        <f aca="false">EOMONTH(StartDate,AW$5)</f>
        <v>47787</v>
      </c>
      <c r="AX10" s="37" t="n">
        <f aca="false">EOMONTH(StartDate,AX$5)</f>
        <v>47817</v>
      </c>
      <c r="AY10" s="37" t="n">
        <f aca="false">EOMONTH(StartDate,AY$5)</f>
        <v>47848</v>
      </c>
      <c r="AZ10" s="37" t="n">
        <f aca="false">EOMONTH(StartDate,AZ$5)</f>
        <v>47879</v>
      </c>
      <c r="BA10" s="37" t="n">
        <f aca="false">EOMONTH(StartDate,BA$5)</f>
        <v>47907</v>
      </c>
      <c r="BB10" s="37" t="n">
        <f aca="false">EOMONTH(StartDate,BB$5)</f>
        <v>47938</v>
      </c>
      <c r="BC10" s="37" t="n">
        <f aca="false">EOMONTH(StartDate,BC$5)</f>
        <v>47968</v>
      </c>
      <c r="BD10" s="37" t="n">
        <f aca="false">EOMONTH(StartDate,BD$5)</f>
        <v>47999</v>
      </c>
      <c r="BE10" s="37" t="n">
        <f aca="false">EOMONTH(StartDate,BE$5)</f>
        <v>48029</v>
      </c>
      <c r="BF10" s="37" t="n">
        <f aca="false">EOMONTH(StartDate,BF$5)</f>
        <v>48060</v>
      </c>
      <c r="BG10" s="37" t="n">
        <f aca="false">EOMONTH(StartDate,BG$5)</f>
        <v>48091</v>
      </c>
      <c r="BH10" s="37" t="n">
        <f aca="false">EOMONTH(StartDate,BH$5)</f>
        <v>48121</v>
      </c>
      <c r="BI10" s="37" t="n">
        <f aca="false">EOMONTH(StartDate,BI$5)</f>
        <v>48152</v>
      </c>
      <c r="BJ10" s="37" t="n">
        <f aca="false">EOMONTH(StartDate,BJ$5)</f>
        <v>48182</v>
      </c>
      <c r="BK10" s="37" t="n">
        <f aca="false">EOMONTH(StartDate,BK$5)</f>
        <v>48213</v>
      </c>
      <c r="BL10" s="37" t="n">
        <f aca="false">EOMONTH(StartDate,BL$5)</f>
        <v>48244</v>
      </c>
      <c r="BM10" s="37" t="n">
        <f aca="false">EOMONTH(StartDate,BM$5)</f>
        <v>48273</v>
      </c>
      <c r="BN10" s="37" t="n">
        <f aca="false">EOMONTH(StartDate,BN$5)</f>
        <v>48304</v>
      </c>
      <c r="BO10" s="37" t="n">
        <f aca="false">EOMONTH(StartDate,BO$5)</f>
        <v>48334</v>
      </c>
      <c r="BP10" s="37" t="n">
        <f aca="false">EOMONTH(StartDate,BP$5)</f>
        <v>48365</v>
      </c>
      <c r="BQ10" s="37" t="n">
        <f aca="false">EOMONTH(StartDate,BQ$5)</f>
        <v>48395</v>
      </c>
      <c r="BR10" s="37" t="n">
        <f aca="false">EOMONTH(StartDate,BR$5)</f>
        <v>48426</v>
      </c>
      <c r="BS10" s="37" t="n">
        <f aca="false">EOMONTH(StartDate,BS$5)</f>
        <v>48457</v>
      </c>
      <c r="BT10" s="37" t="n">
        <f aca="false">EOMONTH(StartDate,BT$5)</f>
        <v>48487</v>
      </c>
      <c r="BU10" s="37" t="n">
        <f aca="false">EOMONTH(StartDate,BU$5)</f>
        <v>48518</v>
      </c>
      <c r="BV10" s="37" t="n">
        <f aca="false">EOMONTH(StartDate,BV$5)</f>
        <v>48548</v>
      </c>
      <c r="BW10" s="37" t="n">
        <f aca="false">EOMONTH(StartDate,BW$5)</f>
        <v>48579</v>
      </c>
      <c r="BX10" s="37" t="n">
        <f aca="false">EOMONTH(StartDate,BX$5)</f>
        <v>48610</v>
      </c>
      <c r="BY10" s="37" t="n">
        <f aca="false">EOMONTH(StartDate,BY$5)</f>
        <v>48638</v>
      </c>
      <c r="BZ10" s="37" t="n">
        <f aca="false">EOMONTH(StartDate,BZ$5)</f>
        <v>48669</v>
      </c>
      <c r="CA10" s="37" t="n">
        <f aca="false">EOMONTH(StartDate,CA$5)</f>
        <v>48699</v>
      </c>
      <c r="CB10" s="37" t="n">
        <f aca="false">EOMONTH(StartDate,CB$5)</f>
        <v>48730</v>
      </c>
      <c r="CC10" s="37" t="n">
        <f aca="false">EOMONTH(StartDate,CC$5)</f>
        <v>48760</v>
      </c>
      <c r="CD10" s="37" t="n">
        <f aca="false">EOMONTH(StartDate,CD$5)</f>
        <v>48791</v>
      </c>
      <c r="CE10" s="37" t="n">
        <f aca="false">EOMONTH(StartDate,CE$5)</f>
        <v>48822</v>
      </c>
      <c r="CF10" s="37" t="n">
        <f aca="false">EOMONTH(StartDate,CF$5)</f>
        <v>48852</v>
      </c>
      <c r="CG10" s="37" t="n">
        <f aca="false">EOMONTH(StartDate,CG$5)</f>
        <v>48883</v>
      </c>
      <c r="CH10" s="37" t="n">
        <f aca="false">EOMONTH(StartDate,CH$5)</f>
        <v>48913</v>
      </c>
      <c r="CI10" s="37" t="n">
        <f aca="false">EOMONTH(StartDate,CI$5)</f>
        <v>48944</v>
      </c>
      <c r="CJ10" s="37" t="n">
        <f aca="false">EOMONTH(StartDate,CJ$5)</f>
        <v>48975</v>
      </c>
      <c r="CK10" s="37" t="n">
        <f aca="false">EOMONTH(StartDate,CK$5)</f>
        <v>49003</v>
      </c>
      <c r="CL10" s="37" t="n">
        <f aca="false">EOMONTH(StartDate,CL$5)</f>
        <v>49034</v>
      </c>
      <c r="CM10" s="37" t="n">
        <f aca="false">EOMONTH(StartDate,CM$5)</f>
        <v>49064</v>
      </c>
      <c r="CN10" s="37" t="n">
        <f aca="false">EOMONTH(StartDate,CN$5)</f>
        <v>49095</v>
      </c>
      <c r="CO10" s="37" t="n">
        <f aca="false">EOMONTH(StartDate,CO$5)</f>
        <v>49125</v>
      </c>
      <c r="CP10" s="37" t="n">
        <f aca="false">EOMONTH(StartDate,CP$5)</f>
        <v>49156</v>
      </c>
      <c r="CQ10" s="37" t="n">
        <f aca="false">EOMONTH(StartDate,CQ$5)</f>
        <v>49187</v>
      </c>
      <c r="CR10" s="37" t="n">
        <f aca="false">EOMONTH(StartDate,CR$5)</f>
        <v>49217</v>
      </c>
      <c r="CS10" s="37" t="n">
        <f aca="false">EOMONTH(StartDate,CS$5)</f>
        <v>49248</v>
      </c>
      <c r="CT10" s="37" t="n">
        <f aca="false">EOMONTH(StartDate,CT$5)</f>
        <v>49278</v>
      </c>
      <c r="CU10" s="37" t="n">
        <f aca="false">EOMONTH(StartDate,CU$5)</f>
        <v>49309</v>
      </c>
    </row>
    <row r="11" customFormat="false" ht="15" hidden="false" customHeight="false" outlineLevel="0" collapsed="false">
      <c r="A11" s="35" t="s">
        <v>105</v>
      </c>
      <c r="C11" s="36" t="n">
        <f aca="false">YEAR(C10)</f>
        <v>2026</v>
      </c>
      <c r="D11" s="36" t="n">
        <f aca="false">YEAR(D10)</f>
        <v>2027</v>
      </c>
      <c r="E11" s="36" t="n">
        <f aca="false">YEAR(E10)</f>
        <v>2027</v>
      </c>
      <c r="F11" s="36" t="n">
        <f aca="false">YEAR(F10)</f>
        <v>2027</v>
      </c>
      <c r="G11" s="36" t="n">
        <f aca="false">YEAR(G10)</f>
        <v>2027</v>
      </c>
      <c r="H11" s="36" t="n">
        <f aca="false">YEAR(H10)</f>
        <v>2027</v>
      </c>
      <c r="I11" s="36" t="n">
        <f aca="false">YEAR(I10)</f>
        <v>2027</v>
      </c>
      <c r="J11" s="36" t="n">
        <f aca="false">YEAR(J10)</f>
        <v>2027</v>
      </c>
      <c r="K11" s="36" t="n">
        <f aca="false">YEAR(K10)</f>
        <v>2027</v>
      </c>
      <c r="L11" s="36" t="n">
        <f aca="false">YEAR(L10)</f>
        <v>2027</v>
      </c>
      <c r="M11" s="36" t="n">
        <f aca="false">YEAR(M10)</f>
        <v>2027</v>
      </c>
      <c r="N11" s="36" t="n">
        <f aca="false">YEAR(N10)</f>
        <v>2027</v>
      </c>
      <c r="O11" s="36" t="n">
        <f aca="false">YEAR(O10)</f>
        <v>2027</v>
      </c>
      <c r="P11" s="36" t="n">
        <f aca="false">YEAR(P10)</f>
        <v>2028</v>
      </c>
      <c r="Q11" s="36" t="n">
        <f aca="false">YEAR(Q10)</f>
        <v>2028</v>
      </c>
      <c r="R11" s="36" t="n">
        <f aca="false">YEAR(R10)</f>
        <v>2028</v>
      </c>
      <c r="S11" s="36" t="n">
        <f aca="false">YEAR(S10)</f>
        <v>2028</v>
      </c>
      <c r="T11" s="36" t="n">
        <f aca="false">YEAR(T10)</f>
        <v>2028</v>
      </c>
      <c r="U11" s="36" t="n">
        <f aca="false">YEAR(U10)</f>
        <v>2028</v>
      </c>
      <c r="V11" s="36" t="n">
        <f aca="false">YEAR(V10)</f>
        <v>2028</v>
      </c>
      <c r="W11" s="36" t="n">
        <f aca="false">YEAR(W10)</f>
        <v>2028</v>
      </c>
      <c r="X11" s="36" t="n">
        <f aca="false">YEAR(X10)</f>
        <v>2028</v>
      </c>
      <c r="Y11" s="36" t="n">
        <f aca="false">YEAR(Y10)</f>
        <v>2028</v>
      </c>
      <c r="Z11" s="36" t="n">
        <f aca="false">YEAR(Z10)</f>
        <v>2028</v>
      </c>
      <c r="AA11" s="36" t="n">
        <f aca="false">YEAR(AA10)</f>
        <v>2028</v>
      </c>
      <c r="AB11" s="36" t="n">
        <f aca="false">YEAR(AB10)</f>
        <v>2029</v>
      </c>
      <c r="AC11" s="36" t="n">
        <f aca="false">YEAR(AC10)</f>
        <v>2029</v>
      </c>
      <c r="AD11" s="36" t="n">
        <f aca="false">YEAR(AD10)</f>
        <v>2029</v>
      </c>
      <c r="AE11" s="36" t="n">
        <f aca="false">YEAR(AE10)</f>
        <v>2029</v>
      </c>
      <c r="AF11" s="36" t="n">
        <f aca="false">YEAR(AF10)</f>
        <v>2029</v>
      </c>
      <c r="AG11" s="36" t="n">
        <f aca="false">YEAR(AG10)</f>
        <v>2029</v>
      </c>
      <c r="AH11" s="36" t="n">
        <f aca="false">YEAR(AH10)</f>
        <v>2029</v>
      </c>
      <c r="AI11" s="36" t="n">
        <f aca="false">YEAR(AI10)</f>
        <v>2029</v>
      </c>
      <c r="AJ11" s="36" t="n">
        <f aca="false">YEAR(AJ10)</f>
        <v>2029</v>
      </c>
      <c r="AK11" s="36" t="n">
        <f aca="false">YEAR(AK10)</f>
        <v>2029</v>
      </c>
      <c r="AL11" s="36" t="n">
        <f aca="false">YEAR(AL10)</f>
        <v>2029</v>
      </c>
      <c r="AM11" s="36" t="n">
        <f aca="false">YEAR(AM10)</f>
        <v>2029</v>
      </c>
      <c r="AN11" s="36" t="n">
        <f aca="false">YEAR(AN10)</f>
        <v>2030</v>
      </c>
      <c r="AO11" s="36" t="n">
        <f aca="false">YEAR(AO10)</f>
        <v>2030</v>
      </c>
      <c r="AP11" s="36" t="n">
        <f aca="false">YEAR(AP10)</f>
        <v>2030</v>
      </c>
      <c r="AQ11" s="36" t="n">
        <f aca="false">YEAR(AQ10)</f>
        <v>2030</v>
      </c>
      <c r="AR11" s="36" t="n">
        <f aca="false">YEAR(AR10)</f>
        <v>2030</v>
      </c>
      <c r="AS11" s="36" t="n">
        <f aca="false">YEAR(AS10)</f>
        <v>2030</v>
      </c>
      <c r="AT11" s="36" t="n">
        <f aca="false">YEAR(AT10)</f>
        <v>2030</v>
      </c>
      <c r="AU11" s="36" t="n">
        <f aca="false">YEAR(AU10)</f>
        <v>2030</v>
      </c>
      <c r="AV11" s="36" t="n">
        <f aca="false">YEAR(AV10)</f>
        <v>2030</v>
      </c>
      <c r="AW11" s="36" t="n">
        <f aca="false">YEAR(AW10)</f>
        <v>2030</v>
      </c>
      <c r="AX11" s="36" t="n">
        <f aca="false">YEAR(AX10)</f>
        <v>2030</v>
      </c>
      <c r="AY11" s="36" t="n">
        <f aca="false">YEAR(AY10)</f>
        <v>2030</v>
      </c>
      <c r="AZ11" s="36" t="n">
        <f aca="false">YEAR(AZ10)</f>
        <v>2031</v>
      </c>
      <c r="BA11" s="36" t="n">
        <f aca="false">YEAR(BA10)</f>
        <v>2031</v>
      </c>
      <c r="BB11" s="36" t="n">
        <f aca="false">YEAR(BB10)</f>
        <v>2031</v>
      </c>
      <c r="BC11" s="36" t="n">
        <f aca="false">YEAR(BC10)</f>
        <v>2031</v>
      </c>
      <c r="BD11" s="36" t="n">
        <f aca="false">YEAR(BD10)</f>
        <v>2031</v>
      </c>
      <c r="BE11" s="36" t="n">
        <f aca="false">YEAR(BE10)</f>
        <v>2031</v>
      </c>
      <c r="BF11" s="36" t="n">
        <f aca="false">YEAR(BF10)</f>
        <v>2031</v>
      </c>
      <c r="BG11" s="36" t="n">
        <f aca="false">YEAR(BG10)</f>
        <v>2031</v>
      </c>
      <c r="BH11" s="36" t="n">
        <f aca="false">YEAR(BH10)</f>
        <v>2031</v>
      </c>
      <c r="BI11" s="36" t="n">
        <f aca="false">YEAR(BI10)</f>
        <v>2031</v>
      </c>
      <c r="BJ11" s="36" t="n">
        <f aca="false">YEAR(BJ10)</f>
        <v>2031</v>
      </c>
      <c r="BK11" s="36" t="n">
        <f aca="false">YEAR(BK10)</f>
        <v>2031</v>
      </c>
      <c r="BL11" s="36" t="n">
        <f aca="false">YEAR(BL10)</f>
        <v>2032</v>
      </c>
      <c r="BM11" s="36" t="n">
        <f aca="false">YEAR(BM10)</f>
        <v>2032</v>
      </c>
      <c r="BN11" s="36" t="n">
        <f aca="false">YEAR(BN10)</f>
        <v>2032</v>
      </c>
      <c r="BO11" s="36" t="n">
        <f aca="false">YEAR(BO10)</f>
        <v>2032</v>
      </c>
      <c r="BP11" s="36" t="n">
        <f aca="false">YEAR(BP10)</f>
        <v>2032</v>
      </c>
      <c r="BQ11" s="36" t="n">
        <f aca="false">YEAR(BQ10)</f>
        <v>2032</v>
      </c>
      <c r="BR11" s="36" t="n">
        <f aca="false">YEAR(BR10)</f>
        <v>2032</v>
      </c>
      <c r="BS11" s="36" t="n">
        <f aca="false">YEAR(BS10)</f>
        <v>2032</v>
      </c>
      <c r="BT11" s="36" t="n">
        <f aca="false">YEAR(BT10)</f>
        <v>2032</v>
      </c>
      <c r="BU11" s="36" t="n">
        <f aca="false">YEAR(BU10)</f>
        <v>2032</v>
      </c>
      <c r="BV11" s="36" t="n">
        <f aca="false">YEAR(BV10)</f>
        <v>2032</v>
      </c>
      <c r="BW11" s="36" t="n">
        <f aca="false">YEAR(BW10)</f>
        <v>2032</v>
      </c>
      <c r="BX11" s="36" t="n">
        <f aca="false">YEAR(BX10)</f>
        <v>2033</v>
      </c>
      <c r="BY11" s="36" t="n">
        <f aca="false">YEAR(BY10)</f>
        <v>2033</v>
      </c>
      <c r="BZ11" s="36" t="n">
        <f aca="false">YEAR(BZ10)</f>
        <v>2033</v>
      </c>
      <c r="CA11" s="36" t="n">
        <f aca="false">YEAR(CA10)</f>
        <v>2033</v>
      </c>
      <c r="CB11" s="36" t="n">
        <f aca="false">YEAR(CB10)</f>
        <v>2033</v>
      </c>
      <c r="CC11" s="36" t="n">
        <f aca="false">YEAR(CC10)</f>
        <v>2033</v>
      </c>
      <c r="CD11" s="36" t="n">
        <f aca="false">YEAR(CD10)</f>
        <v>2033</v>
      </c>
      <c r="CE11" s="36" t="n">
        <f aca="false">YEAR(CE10)</f>
        <v>2033</v>
      </c>
      <c r="CF11" s="36" t="n">
        <f aca="false">YEAR(CF10)</f>
        <v>2033</v>
      </c>
      <c r="CG11" s="36" t="n">
        <f aca="false">YEAR(CG10)</f>
        <v>2033</v>
      </c>
      <c r="CH11" s="36" t="n">
        <f aca="false">YEAR(CH10)</f>
        <v>2033</v>
      </c>
      <c r="CI11" s="36" t="n">
        <f aca="false">YEAR(CI10)</f>
        <v>2033</v>
      </c>
      <c r="CJ11" s="36" t="n">
        <f aca="false">YEAR(CJ10)</f>
        <v>2034</v>
      </c>
      <c r="CK11" s="36" t="n">
        <f aca="false">YEAR(CK10)</f>
        <v>2034</v>
      </c>
      <c r="CL11" s="36" t="n">
        <f aca="false">YEAR(CL10)</f>
        <v>2034</v>
      </c>
      <c r="CM11" s="36" t="n">
        <f aca="false">YEAR(CM10)</f>
        <v>2034</v>
      </c>
      <c r="CN11" s="36" t="n">
        <f aca="false">YEAR(CN10)</f>
        <v>2034</v>
      </c>
      <c r="CO11" s="36" t="n">
        <f aca="false">YEAR(CO10)</f>
        <v>2034</v>
      </c>
      <c r="CP11" s="36" t="n">
        <f aca="false">YEAR(CP10)</f>
        <v>2034</v>
      </c>
      <c r="CQ11" s="36" t="n">
        <f aca="false">YEAR(CQ10)</f>
        <v>2034</v>
      </c>
      <c r="CR11" s="36" t="n">
        <f aca="false">YEAR(CR10)</f>
        <v>2034</v>
      </c>
      <c r="CS11" s="36" t="n">
        <f aca="false">YEAR(CS10)</f>
        <v>2034</v>
      </c>
      <c r="CT11" s="36" t="n">
        <f aca="false">YEAR(CT10)</f>
        <v>2034</v>
      </c>
      <c r="CU11" s="36" t="n">
        <f aca="false">YEAR(CU10)</f>
        <v>2034</v>
      </c>
    </row>
    <row r="12" customFormat="false" ht="15" hidden="false" customHeight="false" outlineLevel="0" collapsed="false">
      <c r="A12" s="35" t="s">
        <v>106</v>
      </c>
      <c r="C12" s="36" t="n">
        <f aca="false">IF(AND(C$5&gt;=1,C$5&lt;=BuildMonths),1,0)</f>
        <v>0</v>
      </c>
      <c r="D12" s="36" t="n">
        <f aca="false">IF(AND(D$5&gt;=1,D$5&lt;=BuildMonths),1,0)</f>
        <v>1</v>
      </c>
      <c r="E12" s="36" t="n">
        <f aca="false">IF(AND(E$5&gt;=1,E$5&lt;=BuildMonths),1,0)</f>
        <v>1</v>
      </c>
      <c r="F12" s="36" t="n">
        <f aca="false">IF(AND(F$5&gt;=1,F$5&lt;=BuildMonths),1,0)</f>
        <v>1</v>
      </c>
      <c r="G12" s="36" t="n">
        <f aca="false">IF(AND(G$5&gt;=1,G$5&lt;=BuildMonths),1,0)</f>
        <v>1</v>
      </c>
      <c r="H12" s="36" t="n">
        <f aca="false">IF(AND(H$5&gt;=1,H$5&lt;=BuildMonths),1,0)</f>
        <v>1</v>
      </c>
      <c r="I12" s="36" t="n">
        <f aca="false">IF(AND(I$5&gt;=1,I$5&lt;=BuildMonths),1,0)</f>
        <v>1</v>
      </c>
      <c r="J12" s="36" t="n">
        <f aca="false">IF(AND(J$5&gt;=1,J$5&lt;=BuildMonths),1,0)</f>
        <v>1</v>
      </c>
      <c r="K12" s="36" t="n">
        <f aca="false">IF(AND(K$5&gt;=1,K$5&lt;=BuildMonths),1,0)</f>
        <v>1</v>
      </c>
      <c r="L12" s="36" t="n">
        <f aca="false">IF(AND(L$5&gt;=1,L$5&lt;=BuildMonths),1,0)</f>
        <v>1</v>
      </c>
      <c r="M12" s="36" t="n">
        <f aca="false">IF(AND(M$5&gt;=1,M$5&lt;=BuildMonths),1,0)</f>
        <v>1</v>
      </c>
      <c r="N12" s="36" t="n">
        <f aca="false">IF(AND(N$5&gt;=1,N$5&lt;=BuildMonths),1,0)</f>
        <v>1</v>
      </c>
      <c r="O12" s="36" t="n">
        <f aca="false">IF(AND(O$5&gt;=1,O$5&lt;=BuildMonths),1,0)</f>
        <v>1</v>
      </c>
      <c r="P12" s="36" t="n">
        <f aca="false">IF(AND(P$5&gt;=1,P$5&lt;=BuildMonths),1,0)</f>
        <v>1</v>
      </c>
      <c r="Q12" s="36" t="n">
        <f aca="false">IF(AND(Q$5&gt;=1,Q$5&lt;=BuildMonths),1,0)</f>
        <v>1</v>
      </c>
      <c r="R12" s="36" t="n">
        <f aca="false">IF(AND(R$5&gt;=1,R$5&lt;=BuildMonths),1,0)</f>
        <v>1</v>
      </c>
      <c r="S12" s="36" t="n">
        <f aca="false">IF(AND(S$5&gt;=1,S$5&lt;=BuildMonths),1,0)</f>
        <v>1</v>
      </c>
      <c r="T12" s="36" t="n">
        <f aca="false">IF(AND(T$5&gt;=1,T$5&lt;=BuildMonths),1,0)</f>
        <v>1</v>
      </c>
      <c r="U12" s="36" t="n">
        <f aca="false">IF(AND(U$5&gt;=1,U$5&lt;=BuildMonths),1,0)</f>
        <v>1</v>
      </c>
      <c r="V12" s="36" t="n">
        <f aca="false">IF(AND(V$5&gt;=1,V$5&lt;=BuildMonths),1,0)</f>
        <v>1</v>
      </c>
      <c r="W12" s="36" t="n">
        <f aca="false">IF(AND(W$5&gt;=1,W$5&lt;=BuildMonths),1,0)</f>
        <v>1</v>
      </c>
      <c r="X12" s="36" t="n">
        <f aca="false">IF(AND(X$5&gt;=1,X$5&lt;=BuildMonths),1,0)</f>
        <v>1</v>
      </c>
      <c r="Y12" s="36" t="n">
        <f aca="false">IF(AND(Y$5&gt;=1,Y$5&lt;=BuildMonths),1,0)</f>
        <v>1</v>
      </c>
      <c r="Z12" s="36" t="n">
        <f aca="false">IF(AND(Z$5&gt;=1,Z$5&lt;=BuildMonths),1,0)</f>
        <v>1</v>
      </c>
      <c r="AA12" s="36" t="n">
        <f aca="false">IF(AND(AA$5&gt;=1,AA$5&lt;=BuildMonths),1,0)</f>
        <v>1</v>
      </c>
      <c r="AB12" s="36" t="n">
        <f aca="false">IF(AND(AB$5&gt;=1,AB$5&lt;=BuildMonths),1,0)</f>
        <v>1</v>
      </c>
      <c r="AC12" s="36" t="n">
        <f aca="false">IF(AND(AC$5&gt;=1,AC$5&lt;=BuildMonths),1,0)</f>
        <v>1</v>
      </c>
      <c r="AD12" s="36" t="n">
        <f aca="false">IF(AND(AD$5&gt;=1,AD$5&lt;=BuildMonths),1,0)</f>
        <v>1</v>
      </c>
      <c r="AE12" s="36" t="n">
        <f aca="false">IF(AND(AE$5&gt;=1,AE$5&lt;=BuildMonths),1,0)</f>
        <v>1</v>
      </c>
      <c r="AF12" s="36" t="n">
        <f aca="false">IF(AND(AF$5&gt;=1,AF$5&lt;=BuildMonths),1,0)</f>
        <v>1</v>
      </c>
      <c r="AG12" s="36" t="n">
        <f aca="false">IF(AND(AG$5&gt;=1,AG$5&lt;=BuildMonths),1,0)</f>
        <v>1</v>
      </c>
      <c r="AH12" s="36" t="n">
        <f aca="false">IF(AND(AH$5&gt;=1,AH$5&lt;=BuildMonths),1,0)</f>
        <v>0</v>
      </c>
      <c r="AI12" s="36" t="n">
        <f aca="false">IF(AND(AI$5&gt;=1,AI$5&lt;=BuildMonths),1,0)</f>
        <v>0</v>
      </c>
      <c r="AJ12" s="36" t="n">
        <f aca="false">IF(AND(AJ$5&gt;=1,AJ$5&lt;=BuildMonths),1,0)</f>
        <v>0</v>
      </c>
      <c r="AK12" s="36" t="n">
        <f aca="false">IF(AND(AK$5&gt;=1,AK$5&lt;=BuildMonths),1,0)</f>
        <v>0</v>
      </c>
      <c r="AL12" s="36" t="n">
        <f aca="false">IF(AND(AL$5&gt;=1,AL$5&lt;=BuildMonths),1,0)</f>
        <v>0</v>
      </c>
      <c r="AM12" s="36" t="n">
        <f aca="false">IF(AND(AM$5&gt;=1,AM$5&lt;=BuildMonths),1,0)</f>
        <v>0</v>
      </c>
      <c r="AN12" s="36" t="n">
        <f aca="false">IF(AND(AN$5&gt;=1,AN$5&lt;=BuildMonths),1,0)</f>
        <v>0</v>
      </c>
      <c r="AO12" s="36" t="n">
        <f aca="false">IF(AND(AO$5&gt;=1,AO$5&lt;=BuildMonths),1,0)</f>
        <v>0</v>
      </c>
      <c r="AP12" s="36" t="n">
        <f aca="false">IF(AND(AP$5&gt;=1,AP$5&lt;=BuildMonths),1,0)</f>
        <v>0</v>
      </c>
      <c r="AQ12" s="36" t="n">
        <f aca="false">IF(AND(AQ$5&gt;=1,AQ$5&lt;=BuildMonths),1,0)</f>
        <v>0</v>
      </c>
      <c r="AR12" s="36" t="n">
        <f aca="false">IF(AND(AR$5&gt;=1,AR$5&lt;=BuildMonths),1,0)</f>
        <v>0</v>
      </c>
      <c r="AS12" s="36" t="n">
        <f aca="false">IF(AND(AS$5&gt;=1,AS$5&lt;=BuildMonths),1,0)</f>
        <v>0</v>
      </c>
      <c r="AT12" s="36" t="n">
        <f aca="false">IF(AND(AT$5&gt;=1,AT$5&lt;=BuildMonths),1,0)</f>
        <v>0</v>
      </c>
      <c r="AU12" s="36" t="n">
        <f aca="false">IF(AND(AU$5&gt;=1,AU$5&lt;=BuildMonths),1,0)</f>
        <v>0</v>
      </c>
      <c r="AV12" s="36" t="n">
        <f aca="false">IF(AND(AV$5&gt;=1,AV$5&lt;=BuildMonths),1,0)</f>
        <v>0</v>
      </c>
      <c r="AW12" s="36" t="n">
        <f aca="false">IF(AND(AW$5&gt;=1,AW$5&lt;=BuildMonths),1,0)</f>
        <v>0</v>
      </c>
      <c r="AX12" s="36" t="n">
        <f aca="false">IF(AND(AX$5&gt;=1,AX$5&lt;=BuildMonths),1,0)</f>
        <v>0</v>
      </c>
      <c r="AY12" s="36" t="n">
        <f aca="false">IF(AND(AY$5&gt;=1,AY$5&lt;=BuildMonths),1,0)</f>
        <v>0</v>
      </c>
      <c r="AZ12" s="36" t="n">
        <f aca="false">IF(AND(AZ$5&gt;=1,AZ$5&lt;=BuildMonths),1,0)</f>
        <v>0</v>
      </c>
      <c r="BA12" s="36" t="n">
        <f aca="false">IF(AND(BA$5&gt;=1,BA$5&lt;=BuildMonths),1,0)</f>
        <v>0</v>
      </c>
      <c r="BB12" s="36" t="n">
        <f aca="false">IF(AND(BB$5&gt;=1,BB$5&lt;=BuildMonths),1,0)</f>
        <v>0</v>
      </c>
      <c r="BC12" s="36" t="n">
        <f aca="false">IF(AND(BC$5&gt;=1,BC$5&lt;=BuildMonths),1,0)</f>
        <v>0</v>
      </c>
      <c r="BD12" s="36" t="n">
        <f aca="false">IF(AND(BD$5&gt;=1,BD$5&lt;=BuildMonths),1,0)</f>
        <v>0</v>
      </c>
      <c r="BE12" s="36" t="n">
        <f aca="false">IF(AND(BE$5&gt;=1,BE$5&lt;=BuildMonths),1,0)</f>
        <v>0</v>
      </c>
      <c r="BF12" s="36" t="n">
        <f aca="false">IF(AND(BF$5&gt;=1,BF$5&lt;=BuildMonths),1,0)</f>
        <v>0</v>
      </c>
      <c r="BG12" s="36" t="n">
        <f aca="false">IF(AND(BG$5&gt;=1,BG$5&lt;=BuildMonths),1,0)</f>
        <v>0</v>
      </c>
      <c r="BH12" s="36" t="n">
        <f aca="false">IF(AND(BH$5&gt;=1,BH$5&lt;=BuildMonths),1,0)</f>
        <v>0</v>
      </c>
      <c r="BI12" s="36" t="n">
        <f aca="false">IF(AND(BI$5&gt;=1,BI$5&lt;=BuildMonths),1,0)</f>
        <v>0</v>
      </c>
      <c r="BJ12" s="36" t="n">
        <f aca="false">IF(AND(BJ$5&gt;=1,BJ$5&lt;=BuildMonths),1,0)</f>
        <v>0</v>
      </c>
      <c r="BK12" s="36" t="n">
        <f aca="false">IF(AND(BK$5&gt;=1,BK$5&lt;=BuildMonths),1,0)</f>
        <v>0</v>
      </c>
      <c r="BL12" s="36" t="n">
        <f aca="false">IF(AND(BL$5&gt;=1,BL$5&lt;=BuildMonths),1,0)</f>
        <v>0</v>
      </c>
      <c r="BM12" s="36" t="n">
        <f aca="false">IF(AND(BM$5&gt;=1,BM$5&lt;=BuildMonths),1,0)</f>
        <v>0</v>
      </c>
      <c r="BN12" s="36" t="n">
        <f aca="false">IF(AND(BN$5&gt;=1,BN$5&lt;=BuildMonths),1,0)</f>
        <v>0</v>
      </c>
      <c r="BO12" s="36" t="n">
        <f aca="false">IF(AND(BO$5&gt;=1,BO$5&lt;=BuildMonths),1,0)</f>
        <v>0</v>
      </c>
      <c r="BP12" s="36" t="n">
        <f aca="false">IF(AND(BP$5&gt;=1,BP$5&lt;=BuildMonths),1,0)</f>
        <v>0</v>
      </c>
      <c r="BQ12" s="36" t="n">
        <f aca="false">IF(AND(BQ$5&gt;=1,BQ$5&lt;=BuildMonths),1,0)</f>
        <v>0</v>
      </c>
      <c r="BR12" s="36" t="n">
        <f aca="false">IF(AND(BR$5&gt;=1,BR$5&lt;=BuildMonths),1,0)</f>
        <v>0</v>
      </c>
      <c r="BS12" s="36" t="n">
        <f aca="false">IF(AND(BS$5&gt;=1,BS$5&lt;=BuildMonths),1,0)</f>
        <v>0</v>
      </c>
      <c r="BT12" s="36" t="n">
        <f aca="false">IF(AND(BT$5&gt;=1,BT$5&lt;=BuildMonths),1,0)</f>
        <v>0</v>
      </c>
      <c r="BU12" s="36" t="n">
        <f aca="false">IF(AND(BU$5&gt;=1,BU$5&lt;=BuildMonths),1,0)</f>
        <v>0</v>
      </c>
      <c r="BV12" s="36" t="n">
        <f aca="false">IF(AND(BV$5&gt;=1,BV$5&lt;=BuildMonths),1,0)</f>
        <v>0</v>
      </c>
      <c r="BW12" s="36" t="n">
        <f aca="false">IF(AND(BW$5&gt;=1,BW$5&lt;=BuildMonths),1,0)</f>
        <v>0</v>
      </c>
      <c r="BX12" s="36" t="n">
        <f aca="false">IF(AND(BX$5&gt;=1,BX$5&lt;=BuildMonths),1,0)</f>
        <v>0</v>
      </c>
      <c r="BY12" s="36" t="n">
        <f aca="false">IF(AND(BY$5&gt;=1,BY$5&lt;=BuildMonths),1,0)</f>
        <v>0</v>
      </c>
      <c r="BZ12" s="36" t="n">
        <f aca="false">IF(AND(BZ$5&gt;=1,BZ$5&lt;=BuildMonths),1,0)</f>
        <v>0</v>
      </c>
      <c r="CA12" s="36" t="n">
        <f aca="false">IF(AND(CA$5&gt;=1,CA$5&lt;=BuildMonths),1,0)</f>
        <v>0</v>
      </c>
      <c r="CB12" s="36" t="n">
        <f aca="false">IF(AND(CB$5&gt;=1,CB$5&lt;=BuildMonths),1,0)</f>
        <v>0</v>
      </c>
      <c r="CC12" s="36" t="n">
        <f aca="false">IF(AND(CC$5&gt;=1,CC$5&lt;=BuildMonths),1,0)</f>
        <v>0</v>
      </c>
      <c r="CD12" s="36" t="n">
        <f aca="false">IF(AND(CD$5&gt;=1,CD$5&lt;=BuildMonths),1,0)</f>
        <v>0</v>
      </c>
      <c r="CE12" s="36" t="n">
        <f aca="false">IF(AND(CE$5&gt;=1,CE$5&lt;=BuildMonths),1,0)</f>
        <v>0</v>
      </c>
      <c r="CF12" s="36" t="n">
        <f aca="false">IF(AND(CF$5&gt;=1,CF$5&lt;=BuildMonths),1,0)</f>
        <v>0</v>
      </c>
      <c r="CG12" s="36" t="n">
        <f aca="false">IF(AND(CG$5&gt;=1,CG$5&lt;=BuildMonths),1,0)</f>
        <v>0</v>
      </c>
      <c r="CH12" s="36" t="n">
        <f aca="false">IF(AND(CH$5&gt;=1,CH$5&lt;=BuildMonths),1,0)</f>
        <v>0</v>
      </c>
      <c r="CI12" s="36" t="n">
        <f aca="false">IF(AND(CI$5&gt;=1,CI$5&lt;=BuildMonths),1,0)</f>
        <v>0</v>
      </c>
      <c r="CJ12" s="36" t="n">
        <f aca="false">IF(AND(CJ$5&gt;=1,CJ$5&lt;=BuildMonths),1,0)</f>
        <v>0</v>
      </c>
      <c r="CK12" s="36" t="n">
        <f aca="false">IF(AND(CK$5&gt;=1,CK$5&lt;=BuildMonths),1,0)</f>
        <v>0</v>
      </c>
      <c r="CL12" s="36" t="n">
        <f aca="false">IF(AND(CL$5&gt;=1,CL$5&lt;=BuildMonths),1,0)</f>
        <v>0</v>
      </c>
      <c r="CM12" s="36" t="n">
        <f aca="false">IF(AND(CM$5&gt;=1,CM$5&lt;=BuildMonths),1,0)</f>
        <v>0</v>
      </c>
      <c r="CN12" s="36" t="n">
        <f aca="false">IF(AND(CN$5&gt;=1,CN$5&lt;=BuildMonths),1,0)</f>
        <v>0</v>
      </c>
      <c r="CO12" s="36" t="n">
        <f aca="false">IF(AND(CO$5&gt;=1,CO$5&lt;=BuildMonths),1,0)</f>
        <v>0</v>
      </c>
      <c r="CP12" s="36" t="n">
        <f aca="false">IF(AND(CP$5&gt;=1,CP$5&lt;=BuildMonths),1,0)</f>
        <v>0</v>
      </c>
      <c r="CQ12" s="36" t="n">
        <f aca="false">IF(AND(CQ$5&gt;=1,CQ$5&lt;=BuildMonths),1,0)</f>
        <v>0</v>
      </c>
      <c r="CR12" s="36" t="n">
        <f aca="false">IF(AND(CR$5&gt;=1,CR$5&lt;=BuildMonths),1,0)</f>
        <v>0</v>
      </c>
      <c r="CS12" s="36" t="n">
        <f aca="false">IF(AND(CS$5&gt;=1,CS$5&lt;=BuildMonths),1,0)</f>
        <v>0</v>
      </c>
      <c r="CT12" s="36" t="n">
        <f aca="false">IF(AND(CT$5&gt;=1,CT$5&lt;=BuildMonths),1,0)</f>
        <v>0</v>
      </c>
      <c r="CU12" s="36" t="n">
        <f aca="false">IF(AND(CU$5&gt;=1,CU$5&lt;=BuildMonths),1,0)</f>
        <v>0</v>
      </c>
    </row>
    <row r="13" customFormat="false" ht="15" hidden="false" customHeight="false" outlineLevel="0" collapsed="false">
      <c r="A13" s="35" t="s">
        <v>107</v>
      </c>
      <c r="C13" s="36" t="n">
        <f aca="false">IF(AND(C$5&gt;BuildMonths,C$5&lt;=BuildMonths+HoldMonths),1,0)</f>
        <v>0</v>
      </c>
      <c r="D13" s="36" t="n">
        <f aca="false">IF(AND(D$5&gt;BuildMonths,D$5&lt;=BuildMonths+HoldMonths),1,0)</f>
        <v>0</v>
      </c>
      <c r="E13" s="36" t="n">
        <f aca="false">IF(AND(E$5&gt;BuildMonths,E$5&lt;=BuildMonths+HoldMonths),1,0)</f>
        <v>0</v>
      </c>
      <c r="F13" s="36" t="n">
        <f aca="false">IF(AND(F$5&gt;BuildMonths,F$5&lt;=BuildMonths+HoldMonths),1,0)</f>
        <v>0</v>
      </c>
      <c r="G13" s="36" t="n">
        <f aca="false">IF(AND(G$5&gt;BuildMonths,G$5&lt;=BuildMonths+HoldMonths),1,0)</f>
        <v>0</v>
      </c>
      <c r="H13" s="36" t="n">
        <f aca="false">IF(AND(H$5&gt;BuildMonths,H$5&lt;=BuildMonths+HoldMonths),1,0)</f>
        <v>0</v>
      </c>
      <c r="I13" s="36" t="n">
        <f aca="false">IF(AND(I$5&gt;BuildMonths,I$5&lt;=BuildMonths+HoldMonths),1,0)</f>
        <v>0</v>
      </c>
      <c r="J13" s="36" t="n">
        <f aca="false">IF(AND(J$5&gt;BuildMonths,J$5&lt;=BuildMonths+HoldMonths),1,0)</f>
        <v>0</v>
      </c>
      <c r="K13" s="36" t="n">
        <f aca="false">IF(AND(K$5&gt;BuildMonths,K$5&lt;=BuildMonths+HoldMonths),1,0)</f>
        <v>0</v>
      </c>
      <c r="L13" s="36" t="n">
        <f aca="false">IF(AND(L$5&gt;BuildMonths,L$5&lt;=BuildMonths+HoldMonths),1,0)</f>
        <v>0</v>
      </c>
      <c r="M13" s="36" t="n">
        <f aca="false">IF(AND(M$5&gt;BuildMonths,M$5&lt;=BuildMonths+HoldMonths),1,0)</f>
        <v>0</v>
      </c>
      <c r="N13" s="36" t="n">
        <f aca="false">IF(AND(N$5&gt;BuildMonths,N$5&lt;=BuildMonths+HoldMonths),1,0)</f>
        <v>0</v>
      </c>
      <c r="O13" s="36" t="n">
        <f aca="false">IF(AND(O$5&gt;BuildMonths,O$5&lt;=BuildMonths+HoldMonths),1,0)</f>
        <v>0</v>
      </c>
      <c r="P13" s="36" t="n">
        <f aca="false">IF(AND(P$5&gt;BuildMonths,P$5&lt;=BuildMonths+HoldMonths),1,0)</f>
        <v>0</v>
      </c>
      <c r="Q13" s="36" t="n">
        <f aca="false">IF(AND(Q$5&gt;BuildMonths,Q$5&lt;=BuildMonths+HoldMonths),1,0)</f>
        <v>0</v>
      </c>
      <c r="R13" s="36" t="n">
        <f aca="false">IF(AND(R$5&gt;BuildMonths,R$5&lt;=BuildMonths+HoldMonths),1,0)</f>
        <v>0</v>
      </c>
      <c r="S13" s="36" t="n">
        <f aca="false">IF(AND(S$5&gt;BuildMonths,S$5&lt;=BuildMonths+HoldMonths),1,0)</f>
        <v>0</v>
      </c>
      <c r="T13" s="36" t="n">
        <f aca="false">IF(AND(T$5&gt;BuildMonths,T$5&lt;=BuildMonths+HoldMonths),1,0)</f>
        <v>0</v>
      </c>
      <c r="U13" s="36" t="n">
        <f aca="false">IF(AND(U$5&gt;BuildMonths,U$5&lt;=BuildMonths+HoldMonths),1,0)</f>
        <v>0</v>
      </c>
      <c r="V13" s="36" t="n">
        <f aca="false">IF(AND(V$5&gt;BuildMonths,V$5&lt;=BuildMonths+HoldMonths),1,0)</f>
        <v>0</v>
      </c>
      <c r="W13" s="36" t="n">
        <f aca="false">IF(AND(W$5&gt;BuildMonths,W$5&lt;=BuildMonths+HoldMonths),1,0)</f>
        <v>0</v>
      </c>
      <c r="X13" s="36" t="n">
        <f aca="false">IF(AND(X$5&gt;BuildMonths,X$5&lt;=BuildMonths+HoldMonths),1,0)</f>
        <v>0</v>
      </c>
      <c r="Y13" s="36" t="n">
        <f aca="false">IF(AND(Y$5&gt;BuildMonths,Y$5&lt;=BuildMonths+HoldMonths),1,0)</f>
        <v>0</v>
      </c>
      <c r="Z13" s="36" t="n">
        <f aca="false">IF(AND(Z$5&gt;BuildMonths,Z$5&lt;=BuildMonths+HoldMonths),1,0)</f>
        <v>0</v>
      </c>
      <c r="AA13" s="36" t="n">
        <f aca="false">IF(AND(AA$5&gt;BuildMonths,AA$5&lt;=BuildMonths+HoldMonths),1,0)</f>
        <v>0</v>
      </c>
      <c r="AB13" s="36" t="n">
        <f aca="false">IF(AND(AB$5&gt;BuildMonths,AB$5&lt;=BuildMonths+HoldMonths),1,0)</f>
        <v>0</v>
      </c>
      <c r="AC13" s="36" t="n">
        <f aca="false">IF(AND(AC$5&gt;BuildMonths,AC$5&lt;=BuildMonths+HoldMonths),1,0)</f>
        <v>0</v>
      </c>
      <c r="AD13" s="36" t="n">
        <f aca="false">IF(AND(AD$5&gt;BuildMonths,AD$5&lt;=BuildMonths+HoldMonths),1,0)</f>
        <v>0</v>
      </c>
      <c r="AE13" s="36" t="n">
        <f aca="false">IF(AND(AE$5&gt;BuildMonths,AE$5&lt;=BuildMonths+HoldMonths),1,0)</f>
        <v>0</v>
      </c>
      <c r="AF13" s="36" t="n">
        <f aca="false">IF(AND(AF$5&gt;BuildMonths,AF$5&lt;=BuildMonths+HoldMonths),1,0)</f>
        <v>0</v>
      </c>
      <c r="AG13" s="36" t="n">
        <f aca="false">IF(AND(AG$5&gt;BuildMonths,AG$5&lt;=BuildMonths+HoldMonths),1,0)</f>
        <v>0</v>
      </c>
      <c r="AH13" s="36" t="n">
        <f aca="false">IF(AND(AH$5&gt;BuildMonths,AH$5&lt;=BuildMonths+HoldMonths),1,0)</f>
        <v>1</v>
      </c>
      <c r="AI13" s="36" t="n">
        <f aca="false">IF(AND(AI$5&gt;BuildMonths,AI$5&lt;=BuildMonths+HoldMonths),1,0)</f>
        <v>1</v>
      </c>
      <c r="AJ13" s="36" t="n">
        <f aca="false">IF(AND(AJ$5&gt;BuildMonths,AJ$5&lt;=BuildMonths+HoldMonths),1,0)</f>
        <v>1</v>
      </c>
      <c r="AK13" s="36" t="n">
        <f aca="false">IF(AND(AK$5&gt;BuildMonths,AK$5&lt;=BuildMonths+HoldMonths),1,0)</f>
        <v>1</v>
      </c>
      <c r="AL13" s="36" t="n">
        <f aca="false">IF(AND(AL$5&gt;BuildMonths,AL$5&lt;=BuildMonths+HoldMonths),1,0)</f>
        <v>1</v>
      </c>
      <c r="AM13" s="36" t="n">
        <f aca="false">IF(AND(AM$5&gt;BuildMonths,AM$5&lt;=BuildMonths+HoldMonths),1,0)</f>
        <v>1</v>
      </c>
      <c r="AN13" s="36" t="n">
        <f aca="false">IF(AND(AN$5&gt;BuildMonths,AN$5&lt;=BuildMonths+HoldMonths),1,0)</f>
        <v>1</v>
      </c>
      <c r="AO13" s="36" t="n">
        <f aca="false">IF(AND(AO$5&gt;BuildMonths,AO$5&lt;=BuildMonths+HoldMonths),1,0)</f>
        <v>1</v>
      </c>
      <c r="AP13" s="36" t="n">
        <f aca="false">IF(AND(AP$5&gt;BuildMonths,AP$5&lt;=BuildMonths+HoldMonths),1,0)</f>
        <v>1</v>
      </c>
      <c r="AQ13" s="36" t="n">
        <f aca="false">IF(AND(AQ$5&gt;BuildMonths,AQ$5&lt;=BuildMonths+HoldMonths),1,0)</f>
        <v>1</v>
      </c>
      <c r="AR13" s="36" t="n">
        <f aca="false">IF(AND(AR$5&gt;BuildMonths,AR$5&lt;=BuildMonths+HoldMonths),1,0)</f>
        <v>1</v>
      </c>
      <c r="AS13" s="36" t="n">
        <f aca="false">IF(AND(AS$5&gt;BuildMonths,AS$5&lt;=BuildMonths+HoldMonths),1,0)</f>
        <v>1</v>
      </c>
      <c r="AT13" s="36" t="n">
        <f aca="false">IF(AND(AT$5&gt;BuildMonths,AT$5&lt;=BuildMonths+HoldMonths),1,0)</f>
        <v>1</v>
      </c>
      <c r="AU13" s="36" t="n">
        <f aca="false">IF(AND(AU$5&gt;BuildMonths,AU$5&lt;=BuildMonths+HoldMonths),1,0)</f>
        <v>1</v>
      </c>
      <c r="AV13" s="36" t="n">
        <f aca="false">IF(AND(AV$5&gt;BuildMonths,AV$5&lt;=BuildMonths+HoldMonths),1,0)</f>
        <v>1</v>
      </c>
      <c r="AW13" s="36" t="n">
        <f aca="false">IF(AND(AW$5&gt;BuildMonths,AW$5&lt;=BuildMonths+HoldMonths),1,0)</f>
        <v>1</v>
      </c>
      <c r="AX13" s="36" t="n">
        <f aca="false">IF(AND(AX$5&gt;BuildMonths,AX$5&lt;=BuildMonths+HoldMonths),1,0)</f>
        <v>1</v>
      </c>
      <c r="AY13" s="36" t="n">
        <f aca="false">IF(AND(AY$5&gt;BuildMonths,AY$5&lt;=BuildMonths+HoldMonths),1,0)</f>
        <v>1</v>
      </c>
      <c r="AZ13" s="36" t="n">
        <f aca="false">IF(AND(AZ$5&gt;BuildMonths,AZ$5&lt;=BuildMonths+HoldMonths),1,0)</f>
        <v>1</v>
      </c>
      <c r="BA13" s="36" t="n">
        <f aca="false">IF(AND(BA$5&gt;BuildMonths,BA$5&lt;=BuildMonths+HoldMonths),1,0)</f>
        <v>1</v>
      </c>
      <c r="BB13" s="36" t="n">
        <f aca="false">IF(AND(BB$5&gt;BuildMonths,BB$5&lt;=BuildMonths+HoldMonths),1,0)</f>
        <v>1</v>
      </c>
      <c r="BC13" s="36" t="n">
        <f aca="false">IF(AND(BC$5&gt;BuildMonths,BC$5&lt;=BuildMonths+HoldMonths),1,0)</f>
        <v>1</v>
      </c>
      <c r="BD13" s="36" t="n">
        <f aca="false">IF(AND(BD$5&gt;BuildMonths,BD$5&lt;=BuildMonths+HoldMonths),1,0)</f>
        <v>1</v>
      </c>
      <c r="BE13" s="36" t="n">
        <f aca="false">IF(AND(BE$5&gt;BuildMonths,BE$5&lt;=BuildMonths+HoldMonths),1,0)</f>
        <v>1</v>
      </c>
      <c r="BF13" s="36" t="n">
        <f aca="false">IF(AND(BF$5&gt;BuildMonths,BF$5&lt;=BuildMonths+HoldMonths),1,0)</f>
        <v>1</v>
      </c>
      <c r="BG13" s="36" t="n">
        <f aca="false">IF(AND(BG$5&gt;BuildMonths,BG$5&lt;=BuildMonths+HoldMonths),1,0)</f>
        <v>1</v>
      </c>
      <c r="BH13" s="36" t="n">
        <f aca="false">IF(AND(BH$5&gt;BuildMonths,BH$5&lt;=BuildMonths+HoldMonths),1,0)</f>
        <v>1</v>
      </c>
      <c r="BI13" s="36" t="n">
        <f aca="false">IF(AND(BI$5&gt;BuildMonths,BI$5&lt;=BuildMonths+HoldMonths),1,0)</f>
        <v>1</v>
      </c>
      <c r="BJ13" s="36" t="n">
        <f aca="false">IF(AND(BJ$5&gt;BuildMonths,BJ$5&lt;=BuildMonths+HoldMonths),1,0)</f>
        <v>1</v>
      </c>
      <c r="BK13" s="36" t="n">
        <f aca="false">IF(AND(BK$5&gt;BuildMonths,BK$5&lt;=BuildMonths+HoldMonths),1,0)</f>
        <v>1</v>
      </c>
      <c r="BL13" s="36" t="n">
        <f aca="false">IF(AND(BL$5&gt;BuildMonths,BL$5&lt;=BuildMonths+HoldMonths),1,0)</f>
        <v>1</v>
      </c>
      <c r="BM13" s="36" t="n">
        <f aca="false">IF(AND(BM$5&gt;BuildMonths,BM$5&lt;=BuildMonths+HoldMonths),1,0)</f>
        <v>1</v>
      </c>
      <c r="BN13" s="36" t="n">
        <f aca="false">IF(AND(BN$5&gt;BuildMonths,BN$5&lt;=BuildMonths+HoldMonths),1,0)</f>
        <v>1</v>
      </c>
      <c r="BO13" s="36" t="n">
        <f aca="false">IF(AND(BO$5&gt;BuildMonths,BO$5&lt;=BuildMonths+HoldMonths),1,0)</f>
        <v>1</v>
      </c>
      <c r="BP13" s="36" t="n">
        <f aca="false">IF(AND(BP$5&gt;BuildMonths,BP$5&lt;=BuildMonths+HoldMonths),1,0)</f>
        <v>1</v>
      </c>
      <c r="BQ13" s="36" t="n">
        <f aca="false">IF(AND(BQ$5&gt;BuildMonths,BQ$5&lt;=BuildMonths+HoldMonths),1,0)</f>
        <v>1</v>
      </c>
      <c r="BR13" s="36" t="n">
        <f aca="false">IF(AND(BR$5&gt;BuildMonths,BR$5&lt;=BuildMonths+HoldMonths),1,0)</f>
        <v>1</v>
      </c>
      <c r="BS13" s="36" t="n">
        <f aca="false">IF(AND(BS$5&gt;BuildMonths,BS$5&lt;=BuildMonths+HoldMonths),1,0)</f>
        <v>1</v>
      </c>
      <c r="BT13" s="36" t="n">
        <f aca="false">IF(AND(BT$5&gt;BuildMonths,BT$5&lt;=BuildMonths+HoldMonths),1,0)</f>
        <v>1</v>
      </c>
      <c r="BU13" s="36" t="n">
        <f aca="false">IF(AND(BU$5&gt;BuildMonths,BU$5&lt;=BuildMonths+HoldMonths),1,0)</f>
        <v>1</v>
      </c>
      <c r="BV13" s="36" t="n">
        <f aca="false">IF(AND(BV$5&gt;BuildMonths,BV$5&lt;=BuildMonths+HoldMonths),1,0)</f>
        <v>1</v>
      </c>
      <c r="BW13" s="36" t="n">
        <f aca="false">IF(AND(BW$5&gt;BuildMonths,BW$5&lt;=BuildMonths+HoldMonths),1,0)</f>
        <v>1</v>
      </c>
      <c r="BX13" s="36" t="n">
        <f aca="false">IF(AND(BX$5&gt;BuildMonths,BX$5&lt;=BuildMonths+HoldMonths),1,0)</f>
        <v>0</v>
      </c>
      <c r="BY13" s="36" t="n">
        <f aca="false">IF(AND(BY$5&gt;BuildMonths,BY$5&lt;=BuildMonths+HoldMonths),1,0)</f>
        <v>0</v>
      </c>
      <c r="BZ13" s="36" t="n">
        <f aca="false">IF(AND(BZ$5&gt;BuildMonths,BZ$5&lt;=BuildMonths+HoldMonths),1,0)</f>
        <v>0</v>
      </c>
      <c r="CA13" s="36" t="n">
        <f aca="false">IF(AND(CA$5&gt;BuildMonths,CA$5&lt;=BuildMonths+HoldMonths),1,0)</f>
        <v>0</v>
      </c>
      <c r="CB13" s="36" t="n">
        <f aca="false">IF(AND(CB$5&gt;BuildMonths,CB$5&lt;=BuildMonths+HoldMonths),1,0)</f>
        <v>0</v>
      </c>
      <c r="CC13" s="36" t="n">
        <f aca="false">IF(AND(CC$5&gt;BuildMonths,CC$5&lt;=BuildMonths+HoldMonths),1,0)</f>
        <v>0</v>
      </c>
      <c r="CD13" s="36" t="n">
        <f aca="false">IF(AND(CD$5&gt;BuildMonths,CD$5&lt;=BuildMonths+HoldMonths),1,0)</f>
        <v>0</v>
      </c>
      <c r="CE13" s="36" t="n">
        <f aca="false">IF(AND(CE$5&gt;BuildMonths,CE$5&lt;=BuildMonths+HoldMonths),1,0)</f>
        <v>0</v>
      </c>
      <c r="CF13" s="36" t="n">
        <f aca="false">IF(AND(CF$5&gt;BuildMonths,CF$5&lt;=BuildMonths+HoldMonths),1,0)</f>
        <v>0</v>
      </c>
      <c r="CG13" s="36" t="n">
        <f aca="false">IF(AND(CG$5&gt;BuildMonths,CG$5&lt;=BuildMonths+HoldMonths),1,0)</f>
        <v>0</v>
      </c>
      <c r="CH13" s="36" t="n">
        <f aca="false">IF(AND(CH$5&gt;BuildMonths,CH$5&lt;=BuildMonths+HoldMonths),1,0)</f>
        <v>0</v>
      </c>
      <c r="CI13" s="36" t="n">
        <f aca="false">IF(AND(CI$5&gt;BuildMonths,CI$5&lt;=BuildMonths+HoldMonths),1,0)</f>
        <v>0</v>
      </c>
      <c r="CJ13" s="36" t="n">
        <f aca="false">IF(AND(CJ$5&gt;BuildMonths,CJ$5&lt;=BuildMonths+HoldMonths),1,0)</f>
        <v>0</v>
      </c>
      <c r="CK13" s="36" t="n">
        <f aca="false">IF(AND(CK$5&gt;BuildMonths,CK$5&lt;=BuildMonths+HoldMonths),1,0)</f>
        <v>0</v>
      </c>
      <c r="CL13" s="36" t="n">
        <f aca="false">IF(AND(CL$5&gt;BuildMonths,CL$5&lt;=BuildMonths+HoldMonths),1,0)</f>
        <v>0</v>
      </c>
      <c r="CM13" s="36" t="n">
        <f aca="false">IF(AND(CM$5&gt;BuildMonths,CM$5&lt;=BuildMonths+HoldMonths),1,0)</f>
        <v>0</v>
      </c>
      <c r="CN13" s="36" t="n">
        <f aca="false">IF(AND(CN$5&gt;BuildMonths,CN$5&lt;=BuildMonths+HoldMonths),1,0)</f>
        <v>0</v>
      </c>
      <c r="CO13" s="36" t="n">
        <f aca="false">IF(AND(CO$5&gt;BuildMonths,CO$5&lt;=BuildMonths+HoldMonths),1,0)</f>
        <v>0</v>
      </c>
      <c r="CP13" s="36" t="n">
        <f aca="false">IF(AND(CP$5&gt;BuildMonths,CP$5&lt;=BuildMonths+HoldMonths),1,0)</f>
        <v>0</v>
      </c>
      <c r="CQ13" s="36" t="n">
        <f aca="false">IF(AND(CQ$5&gt;BuildMonths,CQ$5&lt;=BuildMonths+HoldMonths),1,0)</f>
        <v>0</v>
      </c>
      <c r="CR13" s="36" t="n">
        <f aca="false">IF(AND(CR$5&gt;BuildMonths,CR$5&lt;=BuildMonths+HoldMonths),1,0)</f>
        <v>0</v>
      </c>
      <c r="CS13" s="36" t="n">
        <f aca="false">IF(AND(CS$5&gt;BuildMonths,CS$5&lt;=BuildMonths+HoldMonths),1,0)</f>
        <v>0</v>
      </c>
      <c r="CT13" s="36" t="n">
        <f aca="false">IF(AND(CT$5&gt;BuildMonths,CT$5&lt;=BuildMonths+HoldMonths),1,0)</f>
        <v>0</v>
      </c>
      <c r="CU13" s="36" t="n">
        <f aca="false">IF(AND(CU$5&gt;BuildMonths,CU$5&lt;=BuildMonths+HoldMonths),1,0)</f>
        <v>0</v>
      </c>
    </row>
    <row r="14" customFormat="false" ht="15" hidden="false" customHeight="false" outlineLevel="0" collapsed="false">
      <c r="A14" s="35" t="s">
        <v>108</v>
      </c>
      <c r="C14" s="36" t="n">
        <f aca="false">IF(C$5=BuildMonths+HoldMonths,1,0)</f>
        <v>0</v>
      </c>
      <c r="D14" s="36" t="n">
        <f aca="false">IF(D$5=BuildMonths+HoldMonths,1,0)</f>
        <v>0</v>
      </c>
      <c r="E14" s="36" t="n">
        <f aca="false">IF(E$5=BuildMonths+HoldMonths,1,0)</f>
        <v>0</v>
      </c>
      <c r="F14" s="36" t="n">
        <f aca="false">IF(F$5=BuildMonths+HoldMonths,1,0)</f>
        <v>0</v>
      </c>
      <c r="G14" s="36" t="n">
        <f aca="false">IF(G$5=BuildMonths+HoldMonths,1,0)</f>
        <v>0</v>
      </c>
      <c r="H14" s="36" t="n">
        <f aca="false">IF(H$5=BuildMonths+HoldMonths,1,0)</f>
        <v>0</v>
      </c>
      <c r="I14" s="36" t="n">
        <f aca="false">IF(I$5=BuildMonths+HoldMonths,1,0)</f>
        <v>0</v>
      </c>
      <c r="J14" s="36" t="n">
        <f aca="false">IF(J$5=BuildMonths+HoldMonths,1,0)</f>
        <v>0</v>
      </c>
      <c r="K14" s="36" t="n">
        <f aca="false">IF(K$5=BuildMonths+HoldMonths,1,0)</f>
        <v>0</v>
      </c>
      <c r="L14" s="36" t="n">
        <f aca="false">IF(L$5=BuildMonths+HoldMonths,1,0)</f>
        <v>0</v>
      </c>
      <c r="M14" s="36" t="n">
        <f aca="false">IF(M$5=BuildMonths+HoldMonths,1,0)</f>
        <v>0</v>
      </c>
      <c r="N14" s="36" t="n">
        <f aca="false">IF(N$5=BuildMonths+HoldMonths,1,0)</f>
        <v>0</v>
      </c>
      <c r="O14" s="36" t="n">
        <f aca="false">IF(O$5=BuildMonths+HoldMonths,1,0)</f>
        <v>0</v>
      </c>
      <c r="P14" s="36" t="n">
        <f aca="false">IF(P$5=BuildMonths+HoldMonths,1,0)</f>
        <v>0</v>
      </c>
      <c r="Q14" s="36" t="n">
        <f aca="false">IF(Q$5=BuildMonths+HoldMonths,1,0)</f>
        <v>0</v>
      </c>
      <c r="R14" s="36" t="n">
        <f aca="false">IF(R$5=BuildMonths+HoldMonths,1,0)</f>
        <v>0</v>
      </c>
      <c r="S14" s="36" t="n">
        <f aca="false">IF(S$5=BuildMonths+HoldMonths,1,0)</f>
        <v>0</v>
      </c>
      <c r="T14" s="36" t="n">
        <f aca="false">IF(T$5=BuildMonths+HoldMonths,1,0)</f>
        <v>0</v>
      </c>
      <c r="U14" s="36" t="n">
        <f aca="false">IF(U$5=BuildMonths+HoldMonths,1,0)</f>
        <v>0</v>
      </c>
      <c r="V14" s="36" t="n">
        <f aca="false">IF(V$5=BuildMonths+HoldMonths,1,0)</f>
        <v>0</v>
      </c>
      <c r="W14" s="36" t="n">
        <f aca="false">IF(W$5=BuildMonths+HoldMonths,1,0)</f>
        <v>0</v>
      </c>
      <c r="X14" s="36" t="n">
        <f aca="false">IF(X$5=BuildMonths+HoldMonths,1,0)</f>
        <v>0</v>
      </c>
      <c r="Y14" s="36" t="n">
        <f aca="false">IF(Y$5=BuildMonths+HoldMonths,1,0)</f>
        <v>0</v>
      </c>
      <c r="Z14" s="36" t="n">
        <f aca="false">IF(Z$5=BuildMonths+HoldMonths,1,0)</f>
        <v>0</v>
      </c>
      <c r="AA14" s="36" t="n">
        <f aca="false">IF(AA$5=BuildMonths+HoldMonths,1,0)</f>
        <v>0</v>
      </c>
      <c r="AB14" s="36" t="n">
        <f aca="false">IF(AB$5=BuildMonths+HoldMonths,1,0)</f>
        <v>0</v>
      </c>
      <c r="AC14" s="36" t="n">
        <f aca="false">IF(AC$5=BuildMonths+HoldMonths,1,0)</f>
        <v>0</v>
      </c>
      <c r="AD14" s="36" t="n">
        <f aca="false">IF(AD$5=BuildMonths+HoldMonths,1,0)</f>
        <v>0</v>
      </c>
      <c r="AE14" s="36" t="n">
        <f aca="false">IF(AE$5=BuildMonths+HoldMonths,1,0)</f>
        <v>0</v>
      </c>
      <c r="AF14" s="36" t="n">
        <f aca="false">IF(AF$5=BuildMonths+HoldMonths,1,0)</f>
        <v>0</v>
      </c>
      <c r="AG14" s="36" t="n">
        <f aca="false">IF(AG$5=BuildMonths+HoldMonths,1,0)</f>
        <v>0</v>
      </c>
      <c r="AH14" s="36" t="n">
        <f aca="false">IF(AH$5=BuildMonths+HoldMonths,1,0)</f>
        <v>0</v>
      </c>
      <c r="AI14" s="36" t="n">
        <f aca="false">IF(AI$5=BuildMonths+HoldMonths,1,0)</f>
        <v>0</v>
      </c>
      <c r="AJ14" s="36" t="n">
        <f aca="false">IF(AJ$5=BuildMonths+HoldMonths,1,0)</f>
        <v>0</v>
      </c>
      <c r="AK14" s="36" t="n">
        <f aca="false">IF(AK$5=BuildMonths+HoldMonths,1,0)</f>
        <v>0</v>
      </c>
      <c r="AL14" s="36" t="n">
        <f aca="false">IF(AL$5=BuildMonths+HoldMonths,1,0)</f>
        <v>0</v>
      </c>
      <c r="AM14" s="36" t="n">
        <f aca="false">IF(AM$5=BuildMonths+HoldMonths,1,0)</f>
        <v>0</v>
      </c>
      <c r="AN14" s="36" t="n">
        <f aca="false">IF(AN$5=BuildMonths+HoldMonths,1,0)</f>
        <v>0</v>
      </c>
      <c r="AO14" s="36" t="n">
        <f aca="false">IF(AO$5=BuildMonths+HoldMonths,1,0)</f>
        <v>0</v>
      </c>
      <c r="AP14" s="36" t="n">
        <f aca="false">IF(AP$5=BuildMonths+HoldMonths,1,0)</f>
        <v>0</v>
      </c>
      <c r="AQ14" s="36" t="n">
        <f aca="false">IF(AQ$5=BuildMonths+HoldMonths,1,0)</f>
        <v>0</v>
      </c>
      <c r="AR14" s="36" t="n">
        <f aca="false">IF(AR$5=BuildMonths+HoldMonths,1,0)</f>
        <v>0</v>
      </c>
      <c r="AS14" s="36" t="n">
        <f aca="false">IF(AS$5=BuildMonths+HoldMonths,1,0)</f>
        <v>0</v>
      </c>
      <c r="AT14" s="36" t="n">
        <f aca="false">IF(AT$5=BuildMonths+HoldMonths,1,0)</f>
        <v>0</v>
      </c>
      <c r="AU14" s="36" t="n">
        <f aca="false">IF(AU$5=BuildMonths+HoldMonths,1,0)</f>
        <v>0</v>
      </c>
      <c r="AV14" s="36" t="n">
        <f aca="false">IF(AV$5=BuildMonths+HoldMonths,1,0)</f>
        <v>0</v>
      </c>
      <c r="AW14" s="36" t="n">
        <f aca="false">IF(AW$5=BuildMonths+HoldMonths,1,0)</f>
        <v>0</v>
      </c>
      <c r="AX14" s="36" t="n">
        <f aca="false">IF(AX$5=BuildMonths+HoldMonths,1,0)</f>
        <v>0</v>
      </c>
      <c r="AY14" s="36" t="n">
        <f aca="false">IF(AY$5=BuildMonths+HoldMonths,1,0)</f>
        <v>0</v>
      </c>
      <c r="AZ14" s="36" t="n">
        <f aca="false">IF(AZ$5=BuildMonths+HoldMonths,1,0)</f>
        <v>0</v>
      </c>
      <c r="BA14" s="36" t="n">
        <f aca="false">IF(BA$5=BuildMonths+HoldMonths,1,0)</f>
        <v>0</v>
      </c>
      <c r="BB14" s="36" t="n">
        <f aca="false">IF(BB$5=BuildMonths+HoldMonths,1,0)</f>
        <v>0</v>
      </c>
      <c r="BC14" s="36" t="n">
        <f aca="false">IF(BC$5=BuildMonths+HoldMonths,1,0)</f>
        <v>0</v>
      </c>
      <c r="BD14" s="36" t="n">
        <f aca="false">IF(BD$5=BuildMonths+HoldMonths,1,0)</f>
        <v>0</v>
      </c>
      <c r="BE14" s="36" t="n">
        <f aca="false">IF(BE$5=BuildMonths+HoldMonths,1,0)</f>
        <v>0</v>
      </c>
      <c r="BF14" s="36" t="n">
        <f aca="false">IF(BF$5=BuildMonths+HoldMonths,1,0)</f>
        <v>0</v>
      </c>
      <c r="BG14" s="36" t="n">
        <f aca="false">IF(BG$5=BuildMonths+HoldMonths,1,0)</f>
        <v>0</v>
      </c>
      <c r="BH14" s="36" t="n">
        <f aca="false">IF(BH$5=BuildMonths+HoldMonths,1,0)</f>
        <v>0</v>
      </c>
      <c r="BI14" s="36" t="n">
        <f aca="false">IF(BI$5=BuildMonths+HoldMonths,1,0)</f>
        <v>0</v>
      </c>
      <c r="BJ14" s="36" t="n">
        <f aca="false">IF(BJ$5=BuildMonths+HoldMonths,1,0)</f>
        <v>0</v>
      </c>
      <c r="BK14" s="36" t="n">
        <f aca="false">IF(BK$5=BuildMonths+HoldMonths,1,0)</f>
        <v>0</v>
      </c>
      <c r="BL14" s="36" t="n">
        <f aca="false">IF(BL$5=BuildMonths+HoldMonths,1,0)</f>
        <v>0</v>
      </c>
      <c r="BM14" s="36" t="n">
        <f aca="false">IF(BM$5=BuildMonths+HoldMonths,1,0)</f>
        <v>0</v>
      </c>
      <c r="BN14" s="36" t="n">
        <f aca="false">IF(BN$5=BuildMonths+HoldMonths,1,0)</f>
        <v>0</v>
      </c>
      <c r="BO14" s="36" t="n">
        <f aca="false">IF(BO$5=BuildMonths+HoldMonths,1,0)</f>
        <v>0</v>
      </c>
      <c r="BP14" s="36" t="n">
        <f aca="false">IF(BP$5=BuildMonths+HoldMonths,1,0)</f>
        <v>0</v>
      </c>
      <c r="BQ14" s="36" t="n">
        <f aca="false">IF(BQ$5=BuildMonths+HoldMonths,1,0)</f>
        <v>0</v>
      </c>
      <c r="BR14" s="36" t="n">
        <f aca="false">IF(BR$5=BuildMonths+HoldMonths,1,0)</f>
        <v>0</v>
      </c>
      <c r="BS14" s="36" t="n">
        <f aca="false">IF(BS$5=BuildMonths+HoldMonths,1,0)</f>
        <v>0</v>
      </c>
      <c r="BT14" s="36" t="n">
        <f aca="false">IF(BT$5=BuildMonths+HoldMonths,1,0)</f>
        <v>0</v>
      </c>
      <c r="BU14" s="36" t="n">
        <f aca="false">IF(BU$5=BuildMonths+HoldMonths,1,0)</f>
        <v>0</v>
      </c>
      <c r="BV14" s="36" t="n">
        <f aca="false">IF(BV$5=BuildMonths+HoldMonths,1,0)</f>
        <v>0</v>
      </c>
      <c r="BW14" s="36" t="n">
        <f aca="false">IF(BW$5=BuildMonths+HoldMonths,1,0)</f>
        <v>1</v>
      </c>
      <c r="BX14" s="36" t="n">
        <f aca="false">IF(BX$5=BuildMonths+HoldMonths,1,0)</f>
        <v>0</v>
      </c>
      <c r="BY14" s="36" t="n">
        <f aca="false">IF(BY$5=BuildMonths+HoldMonths,1,0)</f>
        <v>0</v>
      </c>
      <c r="BZ14" s="36" t="n">
        <f aca="false">IF(BZ$5=BuildMonths+HoldMonths,1,0)</f>
        <v>0</v>
      </c>
      <c r="CA14" s="36" t="n">
        <f aca="false">IF(CA$5=BuildMonths+HoldMonths,1,0)</f>
        <v>0</v>
      </c>
      <c r="CB14" s="36" t="n">
        <f aca="false">IF(CB$5=BuildMonths+HoldMonths,1,0)</f>
        <v>0</v>
      </c>
      <c r="CC14" s="36" t="n">
        <f aca="false">IF(CC$5=BuildMonths+HoldMonths,1,0)</f>
        <v>0</v>
      </c>
      <c r="CD14" s="36" t="n">
        <f aca="false">IF(CD$5=BuildMonths+HoldMonths,1,0)</f>
        <v>0</v>
      </c>
      <c r="CE14" s="36" t="n">
        <f aca="false">IF(CE$5=BuildMonths+HoldMonths,1,0)</f>
        <v>0</v>
      </c>
      <c r="CF14" s="36" t="n">
        <f aca="false">IF(CF$5=BuildMonths+HoldMonths,1,0)</f>
        <v>0</v>
      </c>
      <c r="CG14" s="36" t="n">
        <f aca="false">IF(CG$5=BuildMonths+HoldMonths,1,0)</f>
        <v>0</v>
      </c>
      <c r="CH14" s="36" t="n">
        <f aca="false">IF(CH$5=BuildMonths+HoldMonths,1,0)</f>
        <v>0</v>
      </c>
      <c r="CI14" s="36" t="n">
        <f aca="false">IF(CI$5=BuildMonths+HoldMonths,1,0)</f>
        <v>0</v>
      </c>
      <c r="CJ14" s="36" t="n">
        <f aca="false">IF(CJ$5=BuildMonths+HoldMonths,1,0)</f>
        <v>0</v>
      </c>
      <c r="CK14" s="36" t="n">
        <f aca="false">IF(CK$5=BuildMonths+HoldMonths,1,0)</f>
        <v>0</v>
      </c>
      <c r="CL14" s="36" t="n">
        <f aca="false">IF(CL$5=BuildMonths+HoldMonths,1,0)</f>
        <v>0</v>
      </c>
      <c r="CM14" s="36" t="n">
        <f aca="false">IF(CM$5=BuildMonths+HoldMonths,1,0)</f>
        <v>0</v>
      </c>
      <c r="CN14" s="36" t="n">
        <f aca="false">IF(CN$5=BuildMonths+HoldMonths,1,0)</f>
        <v>0</v>
      </c>
      <c r="CO14" s="36" t="n">
        <f aca="false">IF(CO$5=BuildMonths+HoldMonths,1,0)</f>
        <v>0</v>
      </c>
      <c r="CP14" s="36" t="n">
        <f aca="false">IF(CP$5=BuildMonths+HoldMonths,1,0)</f>
        <v>0</v>
      </c>
      <c r="CQ14" s="36" t="n">
        <f aca="false">IF(CQ$5=BuildMonths+HoldMonths,1,0)</f>
        <v>0</v>
      </c>
      <c r="CR14" s="36" t="n">
        <f aca="false">IF(CR$5=BuildMonths+HoldMonths,1,0)</f>
        <v>0</v>
      </c>
      <c r="CS14" s="36" t="n">
        <f aca="false">IF(CS$5=BuildMonths+HoldMonths,1,0)</f>
        <v>0</v>
      </c>
      <c r="CT14" s="36" t="n">
        <f aca="false">IF(CT$5=BuildMonths+HoldMonths,1,0)</f>
        <v>0</v>
      </c>
      <c r="CU14" s="36" t="n">
        <f aca="false">IF(CU$5=BuildMonths+HoldMonths,1,0)</f>
        <v>0</v>
      </c>
    </row>
    <row r="15" customFormat="false" ht="15" hidden="false" customHeight="false" outlineLevel="0" collapsed="false">
      <c r="A15" s="35" t="s">
        <v>109</v>
      </c>
      <c r="B15" s="28" t="n">
        <f aca="false">SUM(C15:CU15)</f>
        <v>1</v>
      </c>
      <c r="C15" s="38" t="n">
        <f aca="false">IF(C12=1,(1-COS(PI()*C$5/BuildMonths))/2-(1-COS(PI()*(C$5-1)/BuildMonths))/2,0)</f>
        <v>0</v>
      </c>
      <c r="D15" s="38" t="n">
        <f aca="false">IF(D12=1,(1-COS(PI()*D$5/BuildMonths))/2-(1-COS(PI()*(D$5-1)/BuildMonths))/2,0)</f>
        <v>0.00273905231586336</v>
      </c>
      <c r="E15" s="38" t="n">
        <f aca="false">IF(E12=1,(1-COS(PI()*E$5/BuildMonths))/2-(1-COS(PI()*(E$5-1)/BuildMonths))/2,0)</f>
        <v>0.0081871473172338</v>
      </c>
      <c r="F15" s="38" t="n">
        <f aca="false">IF(F12=1,(1-COS(PI()*F$5/BuildMonths))/2-(1-COS(PI()*(F$5-1)/BuildMonths))/2,0)</f>
        <v>0.0135455422193261</v>
      </c>
      <c r="G15" s="38" t="n">
        <f aca="false">IF(G12=1,(1-COS(PI()*G$5/BuildMonths))/2-(1-COS(PI()*(G$5-1)/BuildMonths))/2,0)</f>
        <v>0.0187555293262763</v>
      </c>
      <c r="H15" s="38" t="n">
        <f aca="false">IF(H12=1,(1-COS(PI()*H$5/BuildMonths))/2-(1-COS(PI()*(H$5-1)/BuildMonths))/2,0)</f>
        <v>0.0237600269290811</v>
      </c>
      <c r="I15" s="38" t="n">
        <f aca="false">IF(I12=1,(1-COS(PI()*I$5/BuildMonths))/2-(1-COS(PI()*(I$5-1)/BuildMonths))/2,0)</f>
        <v>0.0285042047047456</v>
      </c>
      <c r="J15" s="38" t="n">
        <f aca="false">IF(J12=1,(1-COS(PI()*J$5/BuildMonths))/2-(1-COS(PI()*(J$5-1)/BuildMonths))/2,0)</f>
        <v>0.0329360844487766</v>
      </c>
      <c r="K15" s="38" t="n">
        <f aca="false">IF(K12=1,(1-COS(PI()*K$5/BuildMonths))/2-(1-COS(PI()*(K$5-1)/BuildMonths))/2,0)</f>
        <v>0.037007109559268</v>
      </c>
      <c r="L15" s="38" t="n">
        <f aca="false">IF(L12=1,(1-COS(PI()*L$5/BuildMonths))/2-(1-COS(PI()*(L$5-1)/BuildMonths))/2,0)</f>
        <v>0.0406726770331926</v>
      </c>
      <c r="M15" s="38" t="n">
        <f aca="false">IF(M12=1,(1-COS(PI()*M$5/BuildMonths))/2-(1-COS(PI()*(M$5-1)/BuildMonths))/2,0)</f>
        <v>0.0438926261462365</v>
      </c>
      <c r="N15" s="38" t="n">
        <f aca="false">IF(N12=1,(1-COS(PI()*N$5/BuildMonths))/2-(1-COS(PI()*(N$5-1)/BuildMonths))/2,0)</f>
        <v>0.0466316784620999</v>
      </c>
      <c r="O15" s="38" t="n">
        <f aca="false">IF(O12=1,(1-COS(PI()*O$5/BuildMonths))/2-(1-COS(PI()*(O$5-1)/BuildMonths))/2,0)</f>
        <v>0.0488598243504265</v>
      </c>
      <c r="P15" s="38" t="n">
        <f aca="false">IF(P12=1,(1-COS(PI()*P$5/BuildMonths))/2-(1-COS(PI()*(P$5-1)/BuildMonths))/2,0)</f>
        <v>0.0505526517785941</v>
      </c>
      <c r="Q15" s="38" t="n">
        <f aca="false">IF(Q12=1,(1-COS(PI()*Q$5/BuildMonths))/2-(1-COS(PI()*(Q$5-1)/BuildMonths))/2,0)</f>
        <v>0.0516916137750529</v>
      </c>
      <c r="R15" s="38" t="n">
        <f aca="false">IF(R12=1,(1-COS(PI()*R$5/BuildMonths))/2-(1-COS(PI()*(R$5-1)/BuildMonths))/2,0)</f>
        <v>0.0522642316338265</v>
      </c>
      <c r="S15" s="38" t="n">
        <f aca="false">IF(S12=1,(1-COS(PI()*S$5/BuildMonths))/2-(1-COS(PI()*(S$5-1)/BuildMonths))/2,0)</f>
        <v>0.0522642316338268</v>
      </c>
      <c r="T15" s="38" t="n">
        <f aca="false">IF(T12=1,(1-COS(PI()*T$5/BuildMonths))/2-(1-COS(PI()*(T$5-1)/BuildMonths))/2,0)</f>
        <v>0.0516916137750531</v>
      </c>
      <c r="U15" s="38" t="n">
        <f aca="false">IF(U12=1,(1-COS(PI()*U$5/BuildMonths))/2-(1-COS(PI()*(U$5-1)/BuildMonths))/2,0)</f>
        <v>0.050552651778594</v>
      </c>
      <c r="V15" s="38" t="n">
        <f aca="false">IF(V12=1,(1-COS(PI()*V$5/BuildMonths))/2-(1-COS(PI()*(V$5-1)/BuildMonths))/2,0)</f>
        <v>0.0488598243504264</v>
      </c>
      <c r="W15" s="38" t="n">
        <f aca="false">IF(W12=1,(1-COS(PI()*W$5/BuildMonths))/2-(1-COS(PI()*(W$5-1)/BuildMonths))/2,0)</f>
        <v>0.0466316784620998</v>
      </c>
      <c r="X15" s="38" t="n">
        <f aca="false">IF(X12=1,(1-COS(PI()*X$5/BuildMonths))/2-(1-COS(PI()*(X$5-1)/BuildMonths))/2,0)</f>
        <v>0.0438926261462366</v>
      </c>
      <c r="Y15" s="38" t="n">
        <f aca="false">IF(Y12=1,(1-COS(PI()*Y$5/BuildMonths))/2-(1-COS(PI()*(Y$5-1)/BuildMonths))/2,0)</f>
        <v>0.0406726770331924</v>
      </c>
      <c r="Z15" s="38" t="n">
        <f aca="false">IF(Z12=1,(1-COS(PI()*Z$5/BuildMonths))/2-(1-COS(PI()*(Z$5-1)/BuildMonths))/2,0)</f>
        <v>0.0370071095592681</v>
      </c>
      <c r="AA15" s="38" t="n">
        <f aca="false">IF(AA12=1,(1-COS(PI()*AA$5/BuildMonths))/2-(1-COS(PI()*(AA$5-1)/BuildMonths))/2,0)</f>
        <v>0.0329360844487767</v>
      </c>
      <c r="AB15" s="38" t="n">
        <f aca="false">IF(AB12=1,(1-COS(PI()*AB$5/BuildMonths))/2-(1-COS(PI()*(AB$5-1)/BuildMonths))/2,0)</f>
        <v>0.0285042047047457</v>
      </c>
      <c r="AC15" s="38" t="n">
        <f aca="false">IF(AC12=1,(1-COS(PI()*AC$5/BuildMonths))/2-(1-COS(PI()*(AC$5-1)/BuildMonths))/2,0)</f>
        <v>0.0237600269290811</v>
      </c>
      <c r="AD15" s="38" t="n">
        <f aca="false">IF(AD12=1,(1-COS(PI()*AD$5/BuildMonths))/2-(1-COS(PI()*(AD$5-1)/BuildMonths))/2,0)</f>
        <v>0.0187555293262763</v>
      </c>
      <c r="AE15" s="38" t="n">
        <f aca="false">IF(AE12=1,(1-COS(PI()*AE$5/BuildMonths))/2-(1-COS(PI()*(AE$5-1)/BuildMonths))/2,0)</f>
        <v>0.013545542219326</v>
      </c>
      <c r="AF15" s="38" t="n">
        <f aca="false">IF(AF12=1,(1-COS(PI()*AF$5/BuildMonths))/2-(1-COS(PI()*(AF$5-1)/BuildMonths))/2,0)</f>
        <v>0.00818714731723391</v>
      </c>
      <c r="AG15" s="38" t="n">
        <f aca="false">IF(AG12=1,(1-COS(PI()*AG$5/BuildMonths))/2-(1-COS(PI()*(AG$5-1)/BuildMonths))/2,0)</f>
        <v>0.00273905231586324</v>
      </c>
      <c r="AH15" s="38" t="n">
        <f aca="false">IF(AH12=1,(1-COS(PI()*AH$5/BuildMonths))/2-(1-COS(PI()*(AH$5-1)/BuildMonths))/2,0)</f>
        <v>0</v>
      </c>
      <c r="AI15" s="38" t="n">
        <f aca="false">IF(AI12=1,(1-COS(PI()*AI$5/BuildMonths))/2-(1-COS(PI()*(AI$5-1)/BuildMonths))/2,0)</f>
        <v>0</v>
      </c>
      <c r="AJ15" s="38" t="n">
        <f aca="false">IF(AJ12=1,(1-COS(PI()*AJ$5/BuildMonths))/2-(1-COS(PI()*(AJ$5-1)/BuildMonths))/2,0)</f>
        <v>0</v>
      </c>
      <c r="AK15" s="38" t="n">
        <f aca="false">IF(AK12=1,(1-COS(PI()*AK$5/BuildMonths))/2-(1-COS(PI()*(AK$5-1)/BuildMonths))/2,0)</f>
        <v>0</v>
      </c>
      <c r="AL15" s="38" t="n">
        <f aca="false">IF(AL12=1,(1-COS(PI()*AL$5/BuildMonths))/2-(1-COS(PI()*(AL$5-1)/BuildMonths))/2,0)</f>
        <v>0</v>
      </c>
      <c r="AM15" s="38" t="n">
        <f aca="false">IF(AM12=1,(1-COS(PI()*AM$5/BuildMonths))/2-(1-COS(PI()*(AM$5-1)/BuildMonths))/2,0)</f>
        <v>0</v>
      </c>
      <c r="AN15" s="38" t="n">
        <f aca="false">IF(AN12=1,(1-COS(PI()*AN$5/BuildMonths))/2-(1-COS(PI()*(AN$5-1)/BuildMonths))/2,0)</f>
        <v>0</v>
      </c>
      <c r="AO15" s="38" t="n">
        <f aca="false">IF(AO12=1,(1-COS(PI()*AO$5/BuildMonths))/2-(1-COS(PI()*(AO$5-1)/BuildMonths))/2,0)</f>
        <v>0</v>
      </c>
      <c r="AP15" s="38" t="n">
        <f aca="false">IF(AP12=1,(1-COS(PI()*AP$5/BuildMonths))/2-(1-COS(PI()*(AP$5-1)/BuildMonths))/2,0)</f>
        <v>0</v>
      </c>
      <c r="AQ15" s="38" t="n">
        <f aca="false">IF(AQ12=1,(1-COS(PI()*AQ$5/BuildMonths))/2-(1-COS(PI()*(AQ$5-1)/BuildMonths))/2,0)</f>
        <v>0</v>
      </c>
      <c r="AR15" s="38" t="n">
        <f aca="false">IF(AR12=1,(1-COS(PI()*AR$5/BuildMonths))/2-(1-COS(PI()*(AR$5-1)/BuildMonths))/2,0)</f>
        <v>0</v>
      </c>
      <c r="AS15" s="38" t="n">
        <f aca="false">IF(AS12=1,(1-COS(PI()*AS$5/BuildMonths))/2-(1-COS(PI()*(AS$5-1)/BuildMonths))/2,0)</f>
        <v>0</v>
      </c>
      <c r="AT15" s="38" t="n">
        <f aca="false">IF(AT12=1,(1-COS(PI()*AT$5/BuildMonths))/2-(1-COS(PI()*(AT$5-1)/BuildMonths))/2,0)</f>
        <v>0</v>
      </c>
      <c r="AU15" s="38" t="n">
        <f aca="false">IF(AU12=1,(1-COS(PI()*AU$5/BuildMonths))/2-(1-COS(PI()*(AU$5-1)/BuildMonths))/2,0)</f>
        <v>0</v>
      </c>
      <c r="AV15" s="38" t="n">
        <f aca="false">IF(AV12=1,(1-COS(PI()*AV$5/BuildMonths))/2-(1-COS(PI()*(AV$5-1)/BuildMonths))/2,0)</f>
        <v>0</v>
      </c>
      <c r="AW15" s="38" t="n">
        <f aca="false">IF(AW12=1,(1-COS(PI()*AW$5/BuildMonths))/2-(1-COS(PI()*(AW$5-1)/BuildMonths))/2,0)</f>
        <v>0</v>
      </c>
      <c r="AX15" s="38" t="n">
        <f aca="false">IF(AX12=1,(1-COS(PI()*AX$5/BuildMonths))/2-(1-COS(PI()*(AX$5-1)/BuildMonths))/2,0)</f>
        <v>0</v>
      </c>
      <c r="AY15" s="38" t="n">
        <f aca="false">IF(AY12=1,(1-COS(PI()*AY$5/BuildMonths))/2-(1-COS(PI()*(AY$5-1)/BuildMonths))/2,0)</f>
        <v>0</v>
      </c>
      <c r="AZ15" s="38" t="n">
        <f aca="false">IF(AZ12=1,(1-COS(PI()*AZ$5/BuildMonths))/2-(1-COS(PI()*(AZ$5-1)/BuildMonths))/2,0)</f>
        <v>0</v>
      </c>
      <c r="BA15" s="38" t="n">
        <f aca="false">IF(BA12=1,(1-COS(PI()*BA$5/BuildMonths))/2-(1-COS(PI()*(BA$5-1)/BuildMonths))/2,0)</f>
        <v>0</v>
      </c>
      <c r="BB15" s="38" t="n">
        <f aca="false">IF(BB12=1,(1-COS(PI()*BB$5/BuildMonths))/2-(1-COS(PI()*(BB$5-1)/BuildMonths))/2,0)</f>
        <v>0</v>
      </c>
      <c r="BC15" s="38" t="n">
        <f aca="false">IF(BC12=1,(1-COS(PI()*BC$5/BuildMonths))/2-(1-COS(PI()*(BC$5-1)/BuildMonths))/2,0)</f>
        <v>0</v>
      </c>
      <c r="BD15" s="38" t="n">
        <f aca="false">IF(BD12=1,(1-COS(PI()*BD$5/BuildMonths))/2-(1-COS(PI()*(BD$5-1)/BuildMonths))/2,0)</f>
        <v>0</v>
      </c>
      <c r="BE15" s="38" t="n">
        <f aca="false">IF(BE12=1,(1-COS(PI()*BE$5/BuildMonths))/2-(1-COS(PI()*(BE$5-1)/BuildMonths))/2,0)</f>
        <v>0</v>
      </c>
      <c r="BF15" s="38" t="n">
        <f aca="false">IF(BF12=1,(1-COS(PI()*BF$5/BuildMonths))/2-(1-COS(PI()*(BF$5-1)/BuildMonths))/2,0)</f>
        <v>0</v>
      </c>
      <c r="BG15" s="38" t="n">
        <f aca="false">IF(BG12=1,(1-COS(PI()*BG$5/BuildMonths))/2-(1-COS(PI()*(BG$5-1)/BuildMonths))/2,0)</f>
        <v>0</v>
      </c>
      <c r="BH15" s="38" t="n">
        <f aca="false">IF(BH12=1,(1-COS(PI()*BH$5/BuildMonths))/2-(1-COS(PI()*(BH$5-1)/BuildMonths))/2,0)</f>
        <v>0</v>
      </c>
      <c r="BI15" s="38" t="n">
        <f aca="false">IF(BI12=1,(1-COS(PI()*BI$5/BuildMonths))/2-(1-COS(PI()*(BI$5-1)/BuildMonths))/2,0)</f>
        <v>0</v>
      </c>
      <c r="BJ15" s="38" t="n">
        <f aca="false">IF(BJ12=1,(1-COS(PI()*BJ$5/BuildMonths))/2-(1-COS(PI()*(BJ$5-1)/BuildMonths))/2,0)</f>
        <v>0</v>
      </c>
      <c r="BK15" s="38" t="n">
        <f aca="false">IF(BK12=1,(1-COS(PI()*BK$5/BuildMonths))/2-(1-COS(PI()*(BK$5-1)/BuildMonths))/2,0)</f>
        <v>0</v>
      </c>
      <c r="BL15" s="38" t="n">
        <f aca="false">IF(BL12=1,(1-COS(PI()*BL$5/BuildMonths))/2-(1-COS(PI()*(BL$5-1)/BuildMonths))/2,0)</f>
        <v>0</v>
      </c>
      <c r="BM15" s="38" t="n">
        <f aca="false">IF(BM12=1,(1-COS(PI()*BM$5/BuildMonths))/2-(1-COS(PI()*(BM$5-1)/BuildMonths))/2,0)</f>
        <v>0</v>
      </c>
      <c r="BN15" s="38" t="n">
        <f aca="false">IF(BN12=1,(1-COS(PI()*BN$5/BuildMonths))/2-(1-COS(PI()*(BN$5-1)/BuildMonths))/2,0)</f>
        <v>0</v>
      </c>
      <c r="BO15" s="38" t="n">
        <f aca="false">IF(BO12=1,(1-COS(PI()*BO$5/BuildMonths))/2-(1-COS(PI()*(BO$5-1)/BuildMonths))/2,0)</f>
        <v>0</v>
      </c>
      <c r="BP15" s="38" t="n">
        <f aca="false">IF(BP12=1,(1-COS(PI()*BP$5/BuildMonths))/2-(1-COS(PI()*(BP$5-1)/BuildMonths))/2,0)</f>
        <v>0</v>
      </c>
      <c r="BQ15" s="38" t="n">
        <f aca="false">IF(BQ12=1,(1-COS(PI()*BQ$5/BuildMonths))/2-(1-COS(PI()*(BQ$5-1)/BuildMonths))/2,0)</f>
        <v>0</v>
      </c>
      <c r="BR15" s="38" t="n">
        <f aca="false">IF(BR12=1,(1-COS(PI()*BR$5/BuildMonths))/2-(1-COS(PI()*(BR$5-1)/BuildMonths))/2,0)</f>
        <v>0</v>
      </c>
      <c r="BS15" s="38" t="n">
        <f aca="false">IF(BS12=1,(1-COS(PI()*BS$5/BuildMonths))/2-(1-COS(PI()*(BS$5-1)/BuildMonths))/2,0)</f>
        <v>0</v>
      </c>
      <c r="BT15" s="38" t="n">
        <f aca="false">IF(BT12=1,(1-COS(PI()*BT$5/BuildMonths))/2-(1-COS(PI()*(BT$5-1)/BuildMonths))/2,0)</f>
        <v>0</v>
      </c>
      <c r="BU15" s="38" t="n">
        <f aca="false">IF(BU12=1,(1-COS(PI()*BU$5/BuildMonths))/2-(1-COS(PI()*(BU$5-1)/BuildMonths))/2,0)</f>
        <v>0</v>
      </c>
      <c r="BV15" s="38" t="n">
        <f aca="false">IF(BV12=1,(1-COS(PI()*BV$5/BuildMonths))/2-(1-COS(PI()*(BV$5-1)/BuildMonths))/2,0)</f>
        <v>0</v>
      </c>
      <c r="BW15" s="38" t="n">
        <f aca="false">IF(BW12=1,(1-COS(PI()*BW$5/BuildMonths))/2-(1-COS(PI()*(BW$5-1)/BuildMonths))/2,0)</f>
        <v>0</v>
      </c>
      <c r="BX15" s="38" t="n">
        <f aca="false">IF(BX12=1,(1-COS(PI()*BX$5/BuildMonths))/2-(1-COS(PI()*(BX$5-1)/BuildMonths))/2,0)</f>
        <v>0</v>
      </c>
      <c r="BY15" s="38" t="n">
        <f aca="false">IF(BY12=1,(1-COS(PI()*BY$5/BuildMonths))/2-(1-COS(PI()*(BY$5-1)/BuildMonths))/2,0)</f>
        <v>0</v>
      </c>
      <c r="BZ15" s="38" t="n">
        <f aca="false">IF(BZ12=1,(1-COS(PI()*BZ$5/BuildMonths))/2-(1-COS(PI()*(BZ$5-1)/BuildMonths))/2,0)</f>
        <v>0</v>
      </c>
      <c r="CA15" s="38" t="n">
        <f aca="false">IF(CA12=1,(1-COS(PI()*CA$5/BuildMonths))/2-(1-COS(PI()*(CA$5-1)/BuildMonths))/2,0)</f>
        <v>0</v>
      </c>
      <c r="CB15" s="38" t="n">
        <f aca="false">IF(CB12=1,(1-COS(PI()*CB$5/BuildMonths))/2-(1-COS(PI()*(CB$5-1)/BuildMonths))/2,0)</f>
        <v>0</v>
      </c>
      <c r="CC15" s="38" t="n">
        <f aca="false">IF(CC12=1,(1-COS(PI()*CC$5/BuildMonths))/2-(1-COS(PI()*(CC$5-1)/BuildMonths))/2,0)</f>
        <v>0</v>
      </c>
      <c r="CD15" s="38" t="n">
        <f aca="false">IF(CD12=1,(1-COS(PI()*CD$5/BuildMonths))/2-(1-COS(PI()*(CD$5-1)/BuildMonths))/2,0)</f>
        <v>0</v>
      </c>
      <c r="CE15" s="38" t="n">
        <f aca="false">IF(CE12=1,(1-COS(PI()*CE$5/BuildMonths))/2-(1-COS(PI()*(CE$5-1)/BuildMonths))/2,0)</f>
        <v>0</v>
      </c>
      <c r="CF15" s="38" t="n">
        <f aca="false">IF(CF12=1,(1-COS(PI()*CF$5/BuildMonths))/2-(1-COS(PI()*(CF$5-1)/BuildMonths))/2,0)</f>
        <v>0</v>
      </c>
      <c r="CG15" s="38" t="n">
        <f aca="false">IF(CG12=1,(1-COS(PI()*CG$5/BuildMonths))/2-(1-COS(PI()*(CG$5-1)/BuildMonths))/2,0)</f>
        <v>0</v>
      </c>
      <c r="CH15" s="38" t="n">
        <f aca="false">IF(CH12=1,(1-COS(PI()*CH$5/BuildMonths))/2-(1-COS(PI()*(CH$5-1)/BuildMonths))/2,0)</f>
        <v>0</v>
      </c>
      <c r="CI15" s="38" t="n">
        <f aca="false">IF(CI12=1,(1-COS(PI()*CI$5/BuildMonths))/2-(1-COS(PI()*(CI$5-1)/BuildMonths))/2,0)</f>
        <v>0</v>
      </c>
      <c r="CJ15" s="38" t="n">
        <f aca="false">IF(CJ12=1,(1-COS(PI()*CJ$5/BuildMonths))/2-(1-COS(PI()*(CJ$5-1)/BuildMonths))/2,0)</f>
        <v>0</v>
      </c>
      <c r="CK15" s="38" t="n">
        <f aca="false">IF(CK12=1,(1-COS(PI()*CK$5/BuildMonths))/2-(1-COS(PI()*(CK$5-1)/BuildMonths))/2,0)</f>
        <v>0</v>
      </c>
      <c r="CL15" s="38" t="n">
        <f aca="false">IF(CL12=1,(1-COS(PI()*CL$5/BuildMonths))/2-(1-COS(PI()*(CL$5-1)/BuildMonths))/2,0)</f>
        <v>0</v>
      </c>
      <c r="CM15" s="38" t="n">
        <f aca="false">IF(CM12=1,(1-COS(PI()*CM$5/BuildMonths))/2-(1-COS(PI()*(CM$5-1)/BuildMonths))/2,0)</f>
        <v>0</v>
      </c>
      <c r="CN15" s="38" t="n">
        <f aca="false">IF(CN12=1,(1-COS(PI()*CN$5/BuildMonths))/2-(1-COS(PI()*(CN$5-1)/BuildMonths))/2,0)</f>
        <v>0</v>
      </c>
      <c r="CO15" s="38" t="n">
        <f aca="false">IF(CO12=1,(1-COS(PI()*CO$5/BuildMonths))/2-(1-COS(PI()*(CO$5-1)/BuildMonths))/2,0)</f>
        <v>0</v>
      </c>
      <c r="CP15" s="38" t="n">
        <f aca="false">IF(CP12=1,(1-COS(PI()*CP$5/BuildMonths))/2-(1-COS(PI()*(CP$5-1)/BuildMonths))/2,0)</f>
        <v>0</v>
      </c>
      <c r="CQ15" s="38" t="n">
        <f aca="false">IF(CQ12=1,(1-COS(PI()*CQ$5/BuildMonths))/2-(1-COS(PI()*(CQ$5-1)/BuildMonths))/2,0)</f>
        <v>0</v>
      </c>
      <c r="CR15" s="38" t="n">
        <f aca="false">IF(CR12=1,(1-COS(PI()*CR$5/BuildMonths))/2-(1-COS(PI()*(CR$5-1)/BuildMonths))/2,0)</f>
        <v>0</v>
      </c>
      <c r="CS15" s="38" t="n">
        <f aca="false">IF(CS12=1,(1-COS(PI()*CS$5/BuildMonths))/2-(1-COS(PI()*(CS$5-1)/BuildMonths))/2,0)</f>
        <v>0</v>
      </c>
      <c r="CT15" s="38" t="n">
        <f aca="false">IF(CT12=1,(1-COS(PI()*CT$5/BuildMonths))/2-(1-COS(PI()*(CT$5-1)/BuildMonths))/2,0)</f>
        <v>0</v>
      </c>
      <c r="CU15" s="38" t="n">
        <f aca="false">IF(CU12=1,(1-COS(PI()*CU$5/BuildMonths))/2-(1-COS(PI()*(CU$5-1)/BuildMonths))/2,0)</f>
        <v>0</v>
      </c>
    </row>
    <row r="16" customFormat="false" ht="15" hidden="false" customHeight="false" outlineLevel="0" collapsed="false">
      <c r="A16" s="35" t="s">
        <v>110</v>
      </c>
      <c r="C16" s="39" t="n">
        <f aca="false">SUM($C15:C15)</f>
        <v>0</v>
      </c>
      <c r="D16" s="39" t="n">
        <f aca="false">SUM($C15:D15)</f>
        <v>0.00273905231586336</v>
      </c>
      <c r="E16" s="39" t="n">
        <f aca="false">SUM($C15:E15)</f>
        <v>0.0109261996330972</v>
      </c>
      <c r="F16" s="39" t="n">
        <f aca="false">SUM($C15:F15)</f>
        <v>0.0244717418524232</v>
      </c>
      <c r="G16" s="39" t="n">
        <f aca="false">SUM($C15:G15)</f>
        <v>0.0432272711786996</v>
      </c>
      <c r="H16" s="39" t="n">
        <f aca="false">SUM($C15:H15)</f>
        <v>0.0669872981077807</v>
      </c>
      <c r="I16" s="39" t="n">
        <f aca="false">SUM($C15:I15)</f>
        <v>0.0954915028125263</v>
      </c>
      <c r="J16" s="39" t="n">
        <f aca="false">SUM($C15:J15)</f>
        <v>0.128427587261303</v>
      </c>
      <c r="K16" s="39" t="n">
        <f aca="false">SUM($C15:K15)</f>
        <v>0.165434696820571</v>
      </c>
      <c r="L16" s="39" t="n">
        <f aca="false">SUM($C15:L15)</f>
        <v>0.206107373853763</v>
      </c>
      <c r="M16" s="39" t="n">
        <f aca="false">SUM($C15:M15)</f>
        <v>0.25</v>
      </c>
      <c r="N16" s="39" t="n">
        <f aca="false">SUM($C15:N15)</f>
        <v>0.2966316784621</v>
      </c>
      <c r="O16" s="39" t="n">
        <f aca="false">SUM($C15:O15)</f>
        <v>0.345491502812526</v>
      </c>
      <c r="P16" s="39" t="n">
        <f aca="false">SUM($C15:P15)</f>
        <v>0.39604415459112</v>
      </c>
      <c r="Q16" s="39" t="n">
        <f aca="false">SUM($C15:Q15)</f>
        <v>0.447735768366173</v>
      </c>
      <c r="R16" s="39" t="n">
        <f aca="false">SUM($C15:R15)</f>
        <v>0.5</v>
      </c>
      <c r="S16" s="39" t="n">
        <f aca="false">SUM($C15:S15)</f>
        <v>0.552264231633827</v>
      </c>
      <c r="T16" s="39" t="n">
        <f aca="false">SUM($C15:T15)</f>
        <v>0.60395584540888</v>
      </c>
      <c r="U16" s="39" t="n">
        <f aca="false">SUM($C15:U15)</f>
        <v>0.654508497187474</v>
      </c>
      <c r="V16" s="39" t="n">
        <f aca="false">SUM($C15:V15)</f>
        <v>0.7033683215379</v>
      </c>
      <c r="W16" s="39" t="n">
        <f aca="false">SUM($C15:W15)</f>
        <v>0.75</v>
      </c>
      <c r="X16" s="39" t="n">
        <f aca="false">SUM($C15:X15)</f>
        <v>0.793892626146237</v>
      </c>
      <c r="Y16" s="39" t="n">
        <f aca="false">SUM($C15:Y15)</f>
        <v>0.834565303179429</v>
      </c>
      <c r="Z16" s="39" t="n">
        <f aca="false">SUM($C15:Z15)</f>
        <v>0.871572412738697</v>
      </c>
      <c r="AA16" s="39" t="n">
        <f aca="false">SUM($C15:AA15)</f>
        <v>0.904508497187474</v>
      </c>
      <c r="AB16" s="39" t="n">
        <f aca="false">SUM($C15:AB15)</f>
        <v>0.933012701892219</v>
      </c>
      <c r="AC16" s="39" t="n">
        <f aca="false">SUM($C15:AC15)</f>
        <v>0.956772728821301</v>
      </c>
      <c r="AD16" s="39" t="n">
        <f aca="false">SUM($C15:AD15)</f>
        <v>0.975528258147577</v>
      </c>
      <c r="AE16" s="39" t="n">
        <f aca="false">SUM($C15:AE15)</f>
        <v>0.989073800366903</v>
      </c>
      <c r="AF16" s="39" t="n">
        <f aca="false">SUM($C15:AF15)</f>
        <v>0.997260947684137</v>
      </c>
      <c r="AG16" s="39" t="n">
        <f aca="false">SUM($C15:AG15)</f>
        <v>1</v>
      </c>
      <c r="AH16" s="39" t="n">
        <f aca="false">SUM($C15:AH15)</f>
        <v>1</v>
      </c>
      <c r="AI16" s="39" t="n">
        <f aca="false">SUM($C15:AI15)</f>
        <v>1</v>
      </c>
      <c r="AJ16" s="39" t="n">
        <f aca="false">SUM($C15:AJ15)</f>
        <v>1</v>
      </c>
      <c r="AK16" s="39" t="n">
        <f aca="false">SUM($C15:AK15)</f>
        <v>1</v>
      </c>
      <c r="AL16" s="39" t="n">
        <f aca="false">SUM($C15:AL15)</f>
        <v>1</v>
      </c>
      <c r="AM16" s="39" t="n">
        <f aca="false">SUM($C15:AM15)</f>
        <v>1</v>
      </c>
      <c r="AN16" s="39" t="n">
        <f aca="false">SUM($C15:AN15)</f>
        <v>1</v>
      </c>
      <c r="AO16" s="39" t="n">
        <f aca="false">SUM($C15:AO15)</f>
        <v>1</v>
      </c>
      <c r="AP16" s="39" t="n">
        <f aca="false">SUM($C15:AP15)</f>
        <v>1</v>
      </c>
      <c r="AQ16" s="39" t="n">
        <f aca="false">SUM($C15:AQ15)</f>
        <v>1</v>
      </c>
      <c r="AR16" s="39" t="n">
        <f aca="false">SUM($C15:AR15)</f>
        <v>1</v>
      </c>
      <c r="AS16" s="39" t="n">
        <f aca="false">SUM($C15:AS15)</f>
        <v>1</v>
      </c>
      <c r="AT16" s="39" t="n">
        <f aca="false">SUM($C15:AT15)</f>
        <v>1</v>
      </c>
      <c r="AU16" s="39" t="n">
        <f aca="false">SUM($C15:AU15)</f>
        <v>1</v>
      </c>
      <c r="AV16" s="39" t="n">
        <f aca="false">SUM($C15:AV15)</f>
        <v>1</v>
      </c>
      <c r="AW16" s="39" t="n">
        <f aca="false">SUM($C15:AW15)</f>
        <v>1</v>
      </c>
      <c r="AX16" s="39" t="n">
        <f aca="false">SUM($C15:AX15)</f>
        <v>1</v>
      </c>
      <c r="AY16" s="39" t="n">
        <f aca="false">SUM($C15:AY15)</f>
        <v>1</v>
      </c>
      <c r="AZ16" s="39" t="n">
        <f aca="false">SUM($C15:AZ15)</f>
        <v>1</v>
      </c>
      <c r="BA16" s="39" t="n">
        <f aca="false">SUM($C15:BA15)</f>
        <v>1</v>
      </c>
      <c r="BB16" s="39" t="n">
        <f aca="false">SUM($C15:BB15)</f>
        <v>1</v>
      </c>
      <c r="BC16" s="39" t="n">
        <f aca="false">SUM($C15:BC15)</f>
        <v>1</v>
      </c>
      <c r="BD16" s="39" t="n">
        <f aca="false">SUM($C15:BD15)</f>
        <v>1</v>
      </c>
      <c r="BE16" s="39" t="n">
        <f aca="false">SUM($C15:BE15)</f>
        <v>1</v>
      </c>
      <c r="BF16" s="39" t="n">
        <f aca="false">SUM($C15:BF15)</f>
        <v>1</v>
      </c>
      <c r="BG16" s="39" t="n">
        <f aca="false">SUM($C15:BG15)</f>
        <v>1</v>
      </c>
      <c r="BH16" s="39" t="n">
        <f aca="false">SUM($C15:BH15)</f>
        <v>1</v>
      </c>
      <c r="BI16" s="39" t="n">
        <f aca="false">SUM($C15:BI15)</f>
        <v>1</v>
      </c>
      <c r="BJ16" s="39" t="n">
        <f aca="false">SUM($C15:BJ15)</f>
        <v>1</v>
      </c>
      <c r="BK16" s="39" t="n">
        <f aca="false">SUM($C15:BK15)</f>
        <v>1</v>
      </c>
      <c r="BL16" s="39" t="n">
        <f aca="false">SUM($C15:BL15)</f>
        <v>1</v>
      </c>
      <c r="BM16" s="39" t="n">
        <f aca="false">SUM($C15:BM15)</f>
        <v>1</v>
      </c>
      <c r="BN16" s="39" t="n">
        <f aca="false">SUM($C15:BN15)</f>
        <v>1</v>
      </c>
      <c r="BO16" s="39" t="n">
        <f aca="false">SUM($C15:BO15)</f>
        <v>1</v>
      </c>
      <c r="BP16" s="39" t="n">
        <f aca="false">SUM($C15:BP15)</f>
        <v>1</v>
      </c>
      <c r="BQ16" s="39" t="n">
        <f aca="false">SUM($C15:BQ15)</f>
        <v>1</v>
      </c>
      <c r="BR16" s="39" t="n">
        <f aca="false">SUM($C15:BR15)</f>
        <v>1</v>
      </c>
      <c r="BS16" s="39" t="n">
        <f aca="false">SUM($C15:BS15)</f>
        <v>1</v>
      </c>
      <c r="BT16" s="39" t="n">
        <f aca="false">SUM($C15:BT15)</f>
        <v>1</v>
      </c>
      <c r="BU16" s="39" t="n">
        <f aca="false">SUM($C15:BU15)</f>
        <v>1</v>
      </c>
      <c r="BV16" s="39" t="n">
        <f aca="false">SUM($C15:BV15)</f>
        <v>1</v>
      </c>
      <c r="BW16" s="39" t="n">
        <f aca="false">SUM($C15:BW15)</f>
        <v>1</v>
      </c>
      <c r="BX16" s="39" t="n">
        <f aca="false">SUM($C15:BX15)</f>
        <v>1</v>
      </c>
      <c r="BY16" s="39" t="n">
        <f aca="false">SUM($C15:BY15)</f>
        <v>1</v>
      </c>
      <c r="BZ16" s="39" t="n">
        <f aca="false">SUM($C15:BZ15)</f>
        <v>1</v>
      </c>
      <c r="CA16" s="39" t="n">
        <f aca="false">SUM($C15:CA15)</f>
        <v>1</v>
      </c>
      <c r="CB16" s="39" t="n">
        <f aca="false">SUM($C15:CB15)</f>
        <v>1</v>
      </c>
      <c r="CC16" s="39" t="n">
        <f aca="false">SUM($C15:CC15)</f>
        <v>1</v>
      </c>
      <c r="CD16" s="39" t="n">
        <f aca="false">SUM($C15:CD15)</f>
        <v>1</v>
      </c>
      <c r="CE16" s="39" t="n">
        <f aca="false">SUM($C15:CE15)</f>
        <v>1</v>
      </c>
      <c r="CF16" s="39" t="n">
        <f aca="false">SUM($C15:CF15)</f>
        <v>1</v>
      </c>
      <c r="CG16" s="39" t="n">
        <f aca="false">SUM($C15:CG15)</f>
        <v>1</v>
      </c>
      <c r="CH16" s="39" t="n">
        <f aca="false">SUM($C15:CH15)</f>
        <v>1</v>
      </c>
      <c r="CI16" s="39" t="n">
        <f aca="false">SUM($C15:CI15)</f>
        <v>1</v>
      </c>
      <c r="CJ16" s="39" t="n">
        <f aca="false">SUM($C15:CJ15)</f>
        <v>1</v>
      </c>
      <c r="CK16" s="39" t="n">
        <f aca="false">SUM($C15:CK15)</f>
        <v>1</v>
      </c>
      <c r="CL16" s="39" t="n">
        <f aca="false">SUM($C15:CL15)</f>
        <v>1</v>
      </c>
      <c r="CM16" s="39" t="n">
        <f aca="false">SUM($C15:CM15)</f>
        <v>1</v>
      </c>
      <c r="CN16" s="39" t="n">
        <f aca="false">SUM($C15:CN15)</f>
        <v>1</v>
      </c>
      <c r="CO16" s="39" t="n">
        <f aca="false">SUM($C15:CO15)</f>
        <v>1</v>
      </c>
      <c r="CP16" s="39" t="n">
        <f aca="false">SUM($C15:CP15)</f>
        <v>1</v>
      </c>
      <c r="CQ16" s="39" t="n">
        <f aca="false">SUM($C15:CQ15)</f>
        <v>1</v>
      </c>
      <c r="CR16" s="39" t="n">
        <f aca="false">SUM($C15:CR15)</f>
        <v>1</v>
      </c>
      <c r="CS16" s="39" t="n">
        <f aca="false">SUM($C15:CS15)</f>
        <v>1</v>
      </c>
      <c r="CT16" s="39" t="n">
        <f aca="false">SUM($C15:CT15)</f>
        <v>1</v>
      </c>
      <c r="CU16" s="39" t="n">
        <f aca="false">SUM($C15:CU15)</f>
        <v>1</v>
      </c>
    </row>
    <row r="18" customFormat="false" ht="15" hidden="false" customHeight="false" outlineLevel="0" collapsed="false">
      <c r="A18" s="19" t="s">
        <v>111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customFormat="false" ht="15" hidden="false" customHeight="false" outlineLevel="0" collapsed="false">
      <c r="A19" s="35" t="s">
        <v>112</v>
      </c>
      <c r="B19" s="26" t="n">
        <f aca="false">SUM(C19:CU19)</f>
        <v>650000000</v>
      </c>
      <c r="C19" s="40" t="n">
        <f aca="false">IF(C$5=0,Land,0)</f>
        <v>650000000</v>
      </c>
      <c r="D19" s="40" t="n">
        <f aca="false">IF(D$5=0,Land,0)</f>
        <v>0</v>
      </c>
      <c r="E19" s="40" t="n">
        <f aca="false">IF(E$5=0,Land,0)</f>
        <v>0</v>
      </c>
      <c r="F19" s="40" t="n">
        <f aca="false">IF(F$5=0,Land,0)</f>
        <v>0</v>
      </c>
      <c r="G19" s="40" t="n">
        <f aca="false">IF(G$5=0,Land,0)</f>
        <v>0</v>
      </c>
      <c r="H19" s="40" t="n">
        <f aca="false">IF(H$5=0,Land,0)</f>
        <v>0</v>
      </c>
      <c r="I19" s="40" t="n">
        <f aca="false">IF(I$5=0,Land,0)</f>
        <v>0</v>
      </c>
      <c r="J19" s="40" t="n">
        <f aca="false">IF(J$5=0,Land,0)</f>
        <v>0</v>
      </c>
      <c r="K19" s="40" t="n">
        <f aca="false">IF(K$5=0,Land,0)</f>
        <v>0</v>
      </c>
      <c r="L19" s="40" t="n">
        <f aca="false">IF(L$5=0,Land,0)</f>
        <v>0</v>
      </c>
      <c r="M19" s="40" t="n">
        <f aca="false">IF(M$5=0,Land,0)</f>
        <v>0</v>
      </c>
      <c r="N19" s="40" t="n">
        <f aca="false">IF(N$5=0,Land,0)</f>
        <v>0</v>
      </c>
      <c r="O19" s="40" t="n">
        <f aca="false">IF(O$5=0,Land,0)</f>
        <v>0</v>
      </c>
      <c r="P19" s="40" t="n">
        <f aca="false">IF(P$5=0,Land,0)</f>
        <v>0</v>
      </c>
      <c r="Q19" s="40" t="n">
        <f aca="false">IF(Q$5=0,Land,0)</f>
        <v>0</v>
      </c>
      <c r="R19" s="40" t="n">
        <f aca="false">IF(R$5=0,Land,0)</f>
        <v>0</v>
      </c>
      <c r="S19" s="40" t="n">
        <f aca="false">IF(S$5=0,Land,0)</f>
        <v>0</v>
      </c>
      <c r="T19" s="40" t="n">
        <f aca="false">IF(T$5=0,Land,0)</f>
        <v>0</v>
      </c>
      <c r="U19" s="40" t="n">
        <f aca="false">IF(U$5=0,Land,0)</f>
        <v>0</v>
      </c>
      <c r="V19" s="40" t="n">
        <f aca="false">IF(V$5=0,Land,0)</f>
        <v>0</v>
      </c>
      <c r="W19" s="40" t="n">
        <f aca="false">IF(W$5=0,Land,0)</f>
        <v>0</v>
      </c>
      <c r="X19" s="40" t="n">
        <f aca="false">IF(X$5=0,Land,0)</f>
        <v>0</v>
      </c>
      <c r="Y19" s="40" t="n">
        <f aca="false">IF(Y$5=0,Land,0)</f>
        <v>0</v>
      </c>
      <c r="Z19" s="40" t="n">
        <f aca="false">IF(Z$5=0,Land,0)</f>
        <v>0</v>
      </c>
      <c r="AA19" s="40" t="n">
        <f aca="false">IF(AA$5=0,Land,0)</f>
        <v>0</v>
      </c>
      <c r="AB19" s="40" t="n">
        <f aca="false">IF(AB$5=0,Land,0)</f>
        <v>0</v>
      </c>
      <c r="AC19" s="40" t="n">
        <f aca="false">IF(AC$5=0,Land,0)</f>
        <v>0</v>
      </c>
      <c r="AD19" s="40" t="n">
        <f aca="false">IF(AD$5=0,Land,0)</f>
        <v>0</v>
      </c>
      <c r="AE19" s="40" t="n">
        <f aca="false">IF(AE$5=0,Land,0)</f>
        <v>0</v>
      </c>
      <c r="AF19" s="40" t="n">
        <f aca="false">IF(AF$5=0,Land,0)</f>
        <v>0</v>
      </c>
      <c r="AG19" s="40" t="n">
        <f aca="false">IF(AG$5=0,Land,0)</f>
        <v>0</v>
      </c>
      <c r="AH19" s="40" t="n">
        <f aca="false">IF(AH$5=0,Land,0)</f>
        <v>0</v>
      </c>
      <c r="AI19" s="40" t="n">
        <f aca="false">IF(AI$5=0,Land,0)</f>
        <v>0</v>
      </c>
      <c r="AJ19" s="40" t="n">
        <f aca="false">IF(AJ$5=0,Land,0)</f>
        <v>0</v>
      </c>
      <c r="AK19" s="40" t="n">
        <f aca="false">IF(AK$5=0,Land,0)</f>
        <v>0</v>
      </c>
      <c r="AL19" s="40" t="n">
        <f aca="false">IF(AL$5=0,Land,0)</f>
        <v>0</v>
      </c>
      <c r="AM19" s="40" t="n">
        <f aca="false">IF(AM$5=0,Land,0)</f>
        <v>0</v>
      </c>
      <c r="AN19" s="40" t="n">
        <f aca="false">IF(AN$5=0,Land,0)</f>
        <v>0</v>
      </c>
      <c r="AO19" s="40" t="n">
        <f aca="false">IF(AO$5=0,Land,0)</f>
        <v>0</v>
      </c>
      <c r="AP19" s="40" t="n">
        <f aca="false">IF(AP$5=0,Land,0)</f>
        <v>0</v>
      </c>
      <c r="AQ19" s="40" t="n">
        <f aca="false">IF(AQ$5=0,Land,0)</f>
        <v>0</v>
      </c>
      <c r="AR19" s="40" t="n">
        <f aca="false">IF(AR$5=0,Land,0)</f>
        <v>0</v>
      </c>
      <c r="AS19" s="40" t="n">
        <f aca="false">IF(AS$5=0,Land,0)</f>
        <v>0</v>
      </c>
      <c r="AT19" s="40" t="n">
        <f aca="false">IF(AT$5=0,Land,0)</f>
        <v>0</v>
      </c>
      <c r="AU19" s="40" t="n">
        <f aca="false">IF(AU$5=0,Land,0)</f>
        <v>0</v>
      </c>
      <c r="AV19" s="40" t="n">
        <f aca="false">IF(AV$5=0,Land,0)</f>
        <v>0</v>
      </c>
      <c r="AW19" s="40" t="n">
        <f aca="false">IF(AW$5=0,Land,0)</f>
        <v>0</v>
      </c>
      <c r="AX19" s="40" t="n">
        <f aca="false">IF(AX$5=0,Land,0)</f>
        <v>0</v>
      </c>
      <c r="AY19" s="40" t="n">
        <f aca="false">IF(AY$5=0,Land,0)</f>
        <v>0</v>
      </c>
      <c r="AZ19" s="40" t="n">
        <f aca="false">IF(AZ$5=0,Land,0)</f>
        <v>0</v>
      </c>
      <c r="BA19" s="40" t="n">
        <f aca="false">IF(BA$5=0,Land,0)</f>
        <v>0</v>
      </c>
      <c r="BB19" s="40" t="n">
        <f aca="false">IF(BB$5=0,Land,0)</f>
        <v>0</v>
      </c>
      <c r="BC19" s="40" t="n">
        <f aca="false">IF(BC$5=0,Land,0)</f>
        <v>0</v>
      </c>
      <c r="BD19" s="40" t="n">
        <f aca="false">IF(BD$5=0,Land,0)</f>
        <v>0</v>
      </c>
      <c r="BE19" s="40" t="n">
        <f aca="false">IF(BE$5=0,Land,0)</f>
        <v>0</v>
      </c>
      <c r="BF19" s="40" t="n">
        <f aca="false">IF(BF$5=0,Land,0)</f>
        <v>0</v>
      </c>
      <c r="BG19" s="40" t="n">
        <f aca="false">IF(BG$5=0,Land,0)</f>
        <v>0</v>
      </c>
      <c r="BH19" s="40" t="n">
        <f aca="false">IF(BH$5=0,Land,0)</f>
        <v>0</v>
      </c>
      <c r="BI19" s="40" t="n">
        <f aca="false">IF(BI$5=0,Land,0)</f>
        <v>0</v>
      </c>
      <c r="BJ19" s="40" t="n">
        <f aca="false">IF(BJ$5=0,Land,0)</f>
        <v>0</v>
      </c>
      <c r="BK19" s="40" t="n">
        <f aca="false">IF(BK$5=0,Land,0)</f>
        <v>0</v>
      </c>
      <c r="BL19" s="40" t="n">
        <f aca="false">IF(BL$5=0,Land,0)</f>
        <v>0</v>
      </c>
      <c r="BM19" s="40" t="n">
        <f aca="false">IF(BM$5=0,Land,0)</f>
        <v>0</v>
      </c>
      <c r="BN19" s="40" t="n">
        <f aca="false">IF(BN$5=0,Land,0)</f>
        <v>0</v>
      </c>
      <c r="BO19" s="40" t="n">
        <f aca="false">IF(BO$5=0,Land,0)</f>
        <v>0</v>
      </c>
      <c r="BP19" s="40" t="n">
        <f aca="false">IF(BP$5=0,Land,0)</f>
        <v>0</v>
      </c>
      <c r="BQ19" s="40" t="n">
        <f aca="false">IF(BQ$5=0,Land,0)</f>
        <v>0</v>
      </c>
      <c r="BR19" s="40" t="n">
        <f aca="false">IF(BR$5=0,Land,0)</f>
        <v>0</v>
      </c>
      <c r="BS19" s="40" t="n">
        <f aca="false">IF(BS$5=0,Land,0)</f>
        <v>0</v>
      </c>
      <c r="BT19" s="40" t="n">
        <f aca="false">IF(BT$5=0,Land,0)</f>
        <v>0</v>
      </c>
      <c r="BU19" s="40" t="n">
        <f aca="false">IF(BU$5=0,Land,0)</f>
        <v>0</v>
      </c>
      <c r="BV19" s="40" t="n">
        <f aca="false">IF(BV$5=0,Land,0)</f>
        <v>0</v>
      </c>
      <c r="BW19" s="40" t="n">
        <f aca="false">IF(BW$5=0,Land,0)</f>
        <v>0</v>
      </c>
      <c r="BX19" s="40" t="n">
        <f aca="false">IF(BX$5=0,Land,0)</f>
        <v>0</v>
      </c>
      <c r="BY19" s="40" t="n">
        <f aca="false">IF(BY$5=0,Land,0)</f>
        <v>0</v>
      </c>
      <c r="BZ19" s="40" t="n">
        <f aca="false">IF(BZ$5=0,Land,0)</f>
        <v>0</v>
      </c>
      <c r="CA19" s="40" t="n">
        <f aca="false">IF(CA$5=0,Land,0)</f>
        <v>0</v>
      </c>
      <c r="CB19" s="40" t="n">
        <f aca="false">IF(CB$5=0,Land,0)</f>
        <v>0</v>
      </c>
      <c r="CC19" s="40" t="n">
        <f aca="false">IF(CC$5=0,Land,0)</f>
        <v>0</v>
      </c>
      <c r="CD19" s="40" t="n">
        <f aca="false">IF(CD$5=0,Land,0)</f>
        <v>0</v>
      </c>
      <c r="CE19" s="40" t="n">
        <f aca="false">IF(CE$5=0,Land,0)</f>
        <v>0</v>
      </c>
      <c r="CF19" s="40" t="n">
        <f aca="false">IF(CF$5=0,Land,0)</f>
        <v>0</v>
      </c>
      <c r="CG19" s="40" t="n">
        <f aca="false">IF(CG$5=0,Land,0)</f>
        <v>0</v>
      </c>
      <c r="CH19" s="40" t="n">
        <f aca="false">IF(CH$5=0,Land,0)</f>
        <v>0</v>
      </c>
      <c r="CI19" s="40" t="n">
        <f aca="false">IF(CI$5=0,Land,0)</f>
        <v>0</v>
      </c>
      <c r="CJ19" s="40" t="n">
        <f aca="false">IF(CJ$5=0,Land,0)</f>
        <v>0</v>
      </c>
      <c r="CK19" s="40" t="n">
        <f aca="false">IF(CK$5=0,Land,0)</f>
        <v>0</v>
      </c>
      <c r="CL19" s="40" t="n">
        <f aca="false">IF(CL$5=0,Land,0)</f>
        <v>0</v>
      </c>
      <c r="CM19" s="40" t="n">
        <f aca="false">IF(CM$5=0,Land,0)</f>
        <v>0</v>
      </c>
      <c r="CN19" s="40" t="n">
        <f aca="false">IF(CN$5=0,Land,0)</f>
        <v>0</v>
      </c>
      <c r="CO19" s="40" t="n">
        <f aca="false">IF(CO$5=0,Land,0)</f>
        <v>0</v>
      </c>
      <c r="CP19" s="40" t="n">
        <f aca="false">IF(CP$5=0,Land,0)</f>
        <v>0</v>
      </c>
      <c r="CQ19" s="40" t="n">
        <f aca="false">IF(CQ$5=0,Land,0)</f>
        <v>0</v>
      </c>
      <c r="CR19" s="40" t="n">
        <f aca="false">IF(CR$5=0,Land,0)</f>
        <v>0</v>
      </c>
      <c r="CS19" s="40" t="n">
        <f aca="false">IF(CS$5=0,Land,0)</f>
        <v>0</v>
      </c>
      <c r="CT19" s="40" t="n">
        <f aca="false">IF(CT$5=0,Land,0)</f>
        <v>0</v>
      </c>
      <c r="CU19" s="40" t="n">
        <f aca="false">IF(CU$5=0,Land,0)</f>
        <v>0</v>
      </c>
    </row>
    <row r="20" customFormat="false" ht="15" hidden="false" customHeight="false" outlineLevel="0" collapsed="false">
      <c r="A20" s="35" t="s">
        <v>113</v>
      </c>
      <c r="B20" s="26" t="n">
        <f aca="false">SUM(C20:CU20)</f>
        <v>32500000</v>
      </c>
      <c r="C20" s="40" t="n">
        <f aca="false">C19*RETT</f>
        <v>32500000</v>
      </c>
      <c r="D20" s="40" t="n">
        <f aca="false">D19*RETT</f>
        <v>0</v>
      </c>
      <c r="E20" s="40" t="n">
        <f aca="false">E19*RETT</f>
        <v>0</v>
      </c>
      <c r="F20" s="40" t="n">
        <f aca="false">F19*RETT</f>
        <v>0</v>
      </c>
      <c r="G20" s="40" t="n">
        <f aca="false">G19*RETT</f>
        <v>0</v>
      </c>
      <c r="H20" s="40" t="n">
        <f aca="false">H19*RETT</f>
        <v>0</v>
      </c>
      <c r="I20" s="40" t="n">
        <f aca="false">I19*RETT</f>
        <v>0</v>
      </c>
      <c r="J20" s="40" t="n">
        <f aca="false">J19*RETT</f>
        <v>0</v>
      </c>
      <c r="K20" s="40" t="n">
        <f aca="false">K19*RETT</f>
        <v>0</v>
      </c>
      <c r="L20" s="40" t="n">
        <f aca="false">L19*RETT</f>
        <v>0</v>
      </c>
      <c r="M20" s="40" t="n">
        <f aca="false">M19*RETT</f>
        <v>0</v>
      </c>
      <c r="N20" s="40" t="n">
        <f aca="false">N19*RETT</f>
        <v>0</v>
      </c>
      <c r="O20" s="40" t="n">
        <f aca="false">O19*RETT</f>
        <v>0</v>
      </c>
      <c r="P20" s="40" t="n">
        <f aca="false">P19*RETT</f>
        <v>0</v>
      </c>
      <c r="Q20" s="40" t="n">
        <f aca="false">Q19*RETT</f>
        <v>0</v>
      </c>
      <c r="R20" s="40" t="n">
        <f aca="false">R19*RETT</f>
        <v>0</v>
      </c>
      <c r="S20" s="40" t="n">
        <f aca="false">S19*RETT</f>
        <v>0</v>
      </c>
      <c r="T20" s="40" t="n">
        <f aca="false">T19*RETT</f>
        <v>0</v>
      </c>
      <c r="U20" s="40" t="n">
        <f aca="false">U19*RETT</f>
        <v>0</v>
      </c>
      <c r="V20" s="40" t="n">
        <f aca="false">V19*RETT</f>
        <v>0</v>
      </c>
      <c r="W20" s="40" t="n">
        <f aca="false">W19*RETT</f>
        <v>0</v>
      </c>
      <c r="X20" s="40" t="n">
        <f aca="false">X19*RETT</f>
        <v>0</v>
      </c>
      <c r="Y20" s="40" t="n">
        <f aca="false">Y19*RETT</f>
        <v>0</v>
      </c>
      <c r="Z20" s="40" t="n">
        <f aca="false">Z19*RETT</f>
        <v>0</v>
      </c>
      <c r="AA20" s="40" t="n">
        <f aca="false">AA19*RETT</f>
        <v>0</v>
      </c>
      <c r="AB20" s="40" t="n">
        <f aca="false">AB19*RETT</f>
        <v>0</v>
      </c>
      <c r="AC20" s="40" t="n">
        <f aca="false">AC19*RETT</f>
        <v>0</v>
      </c>
      <c r="AD20" s="40" t="n">
        <f aca="false">AD19*RETT</f>
        <v>0</v>
      </c>
      <c r="AE20" s="40" t="n">
        <f aca="false">AE19*RETT</f>
        <v>0</v>
      </c>
      <c r="AF20" s="40" t="n">
        <f aca="false">AF19*RETT</f>
        <v>0</v>
      </c>
      <c r="AG20" s="40" t="n">
        <f aca="false">AG19*RETT</f>
        <v>0</v>
      </c>
      <c r="AH20" s="40" t="n">
        <f aca="false">AH19*RETT</f>
        <v>0</v>
      </c>
      <c r="AI20" s="40" t="n">
        <f aca="false">AI19*RETT</f>
        <v>0</v>
      </c>
      <c r="AJ20" s="40" t="n">
        <f aca="false">AJ19*RETT</f>
        <v>0</v>
      </c>
      <c r="AK20" s="40" t="n">
        <f aca="false">AK19*RETT</f>
        <v>0</v>
      </c>
      <c r="AL20" s="40" t="n">
        <f aca="false">AL19*RETT</f>
        <v>0</v>
      </c>
      <c r="AM20" s="40" t="n">
        <f aca="false">AM19*RETT</f>
        <v>0</v>
      </c>
      <c r="AN20" s="40" t="n">
        <f aca="false">AN19*RETT</f>
        <v>0</v>
      </c>
      <c r="AO20" s="40" t="n">
        <f aca="false">AO19*RETT</f>
        <v>0</v>
      </c>
      <c r="AP20" s="40" t="n">
        <f aca="false">AP19*RETT</f>
        <v>0</v>
      </c>
      <c r="AQ20" s="40" t="n">
        <f aca="false">AQ19*RETT</f>
        <v>0</v>
      </c>
      <c r="AR20" s="40" t="n">
        <f aca="false">AR19*RETT</f>
        <v>0</v>
      </c>
      <c r="AS20" s="40" t="n">
        <f aca="false">AS19*RETT</f>
        <v>0</v>
      </c>
      <c r="AT20" s="40" t="n">
        <f aca="false">AT19*RETT</f>
        <v>0</v>
      </c>
      <c r="AU20" s="40" t="n">
        <f aca="false">AU19*RETT</f>
        <v>0</v>
      </c>
      <c r="AV20" s="40" t="n">
        <f aca="false">AV19*RETT</f>
        <v>0</v>
      </c>
      <c r="AW20" s="40" t="n">
        <f aca="false">AW19*RETT</f>
        <v>0</v>
      </c>
      <c r="AX20" s="40" t="n">
        <f aca="false">AX19*RETT</f>
        <v>0</v>
      </c>
      <c r="AY20" s="40" t="n">
        <f aca="false">AY19*RETT</f>
        <v>0</v>
      </c>
      <c r="AZ20" s="40" t="n">
        <f aca="false">AZ19*RETT</f>
        <v>0</v>
      </c>
      <c r="BA20" s="40" t="n">
        <f aca="false">BA19*RETT</f>
        <v>0</v>
      </c>
      <c r="BB20" s="40" t="n">
        <f aca="false">BB19*RETT</f>
        <v>0</v>
      </c>
      <c r="BC20" s="40" t="n">
        <f aca="false">BC19*RETT</f>
        <v>0</v>
      </c>
      <c r="BD20" s="40" t="n">
        <f aca="false">BD19*RETT</f>
        <v>0</v>
      </c>
      <c r="BE20" s="40" t="n">
        <f aca="false">BE19*RETT</f>
        <v>0</v>
      </c>
      <c r="BF20" s="40" t="n">
        <f aca="false">BF19*RETT</f>
        <v>0</v>
      </c>
      <c r="BG20" s="40" t="n">
        <f aca="false">BG19*RETT</f>
        <v>0</v>
      </c>
      <c r="BH20" s="40" t="n">
        <f aca="false">BH19*RETT</f>
        <v>0</v>
      </c>
      <c r="BI20" s="40" t="n">
        <f aca="false">BI19*RETT</f>
        <v>0</v>
      </c>
      <c r="BJ20" s="40" t="n">
        <f aca="false">BJ19*RETT</f>
        <v>0</v>
      </c>
      <c r="BK20" s="40" t="n">
        <f aca="false">BK19*RETT</f>
        <v>0</v>
      </c>
      <c r="BL20" s="40" t="n">
        <f aca="false">BL19*RETT</f>
        <v>0</v>
      </c>
      <c r="BM20" s="40" t="n">
        <f aca="false">BM19*RETT</f>
        <v>0</v>
      </c>
      <c r="BN20" s="40" t="n">
        <f aca="false">BN19*RETT</f>
        <v>0</v>
      </c>
      <c r="BO20" s="40" t="n">
        <f aca="false">BO19*RETT</f>
        <v>0</v>
      </c>
      <c r="BP20" s="40" t="n">
        <f aca="false">BP19*RETT</f>
        <v>0</v>
      </c>
      <c r="BQ20" s="40" t="n">
        <f aca="false">BQ19*RETT</f>
        <v>0</v>
      </c>
      <c r="BR20" s="40" t="n">
        <f aca="false">BR19*RETT</f>
        <v>0</v>
      </c>
      <c r="BS20" s="40" t="n">
        <f aca="false">BS19*RETT</f>
        <v>0</v>
      </c>
      <c r="BT20" s="40" t="n">
        <f aca="false">BT19*RETT</f>
        <v>0</v>
      </c>
      <c r="BU20" s="40" t="n">
        <f aca="false">BU19*RETT</f>
        <v>0</v>
      </c>
      <c r="BV20" s="40" t="n">
        <f aca="false">BV19*RETT</f>
        <v>0</v>
      </c>
      <c r="BW20" s="40" t="n">
        <f aca="false">BW19*RETT</f>
        <v>0</v>
      </c>
      <c r="BX20" s="40" t="n">
        <f aca="false">BX19*RETT</f>
        <v>0</v>
      </c>
      <c r="BY20" s="40" t="n">
        <f aca="false">BY19*RETT</f>
        <v>0</v>
      </c>
      <c r="BZ20" s="40" t="n">
        <f aca="false">BZ19*RETT</f>
        <v>0</v>
      </c>
      <c r="CA20" s="40" t="n">
        <f aca="false">CA19*RETT</f>
        <v>0</v>
      </c>
      <c r="CB20" s="40" t="n">
        <f aca="false">CB19*RETT</f>
        <v>0</v>
      </c>
      <c r="CC20" s="40" t="n">
        <f aca="false">CC19*RETT</f>
        <v>0</v>
      </c>
      <c r="CD20" s="40" t="n">
        <f aca="false">CD19*RETT</f>
        <v>0</v>
      </c>
      <c r="CE20" s="40" t="n">
        <f aca="false">CE19*RETT</f>
        <v>0</v>
      </c>
      <c r="CF20" s="40" t="n">
        <f aca="false">CF19*RETT</f>
        <v>0</v>
      </c>
      <c r="CG20" s="40" t="n">
        <f aca="false">CG19*RETT</f>
        <v>0</v>
      </c>
      <c r="CH20" s="40" t="n">
        <f aca="false">CH19*RETT</f>
        <v>0</v>
      </c>
      <c r="CI20" s="40" t="n">
        <f aca="false">CI19*RETT</f>
        <v>0</v>
      </c>
      <c r="CJ20" s="40" t="n">
        <f aca="false">CJ19*RETT</f>
        <v>0</v>
      </c>
      <c r="CK20" s="40" t="n">
        <f aca="false">CK19*RETT</f>
        <v>0</v>
      </c>
      <c r="CL20" s="40" t="n">
        <f aca="false">CL19*RETT</f>
        <v>0</v>
      </c>
      <c r="CM20" s="40" t="n">
        <f aca="false">CM19*RETT</f>
        <v>0</v>
      </c>
      <c r="CN20" s="40" t="n">
        <f aca="false">CN19*RETT</f>
        <v>0</v>
      </c>
      <c r="CO20" s="40" t="n">
        <f aca="false">CO19*RETT</f>
        <v>0</v>
      </c>
      <c r="CP20" s="40" t="n">
        <f aca="false">CP19*RETT</f>
        <v>0</v>
      </c>
      <c r="CQ20" s="40" t="n">
        <f aca="false">CQ19*RETT</f>
        <v>0</v>
      </c>
      <c r="CR20" s="40" t="n">
        <f aca="false">CR19*RETT</f>
        <v>0</v>
      </c>
      <c r="CS20" s="40" t="n">
        <f aca="false">CS19*RETT</f>
        <v>0</v>
      </c>
      <c r="CT20" s="40" t="n">
        <f aca="false">CT19*RETT</f>
        <v>0</v>
      </c>
      <c r="CU20" s="40" t="n">
        <f aca="false">CU19*RETT</f>
        <v>0</v>
      </c>
    </row>
    <row r="21" customFormat="false" ht="15" hidden="false" customHeight="false" outlineLevel="0" collapsed="false">
      <c r="A21" s="35" t="s">
        <v>114</v>
      </c>
      <c r="B21" s="26" t="n">
        <f aca="false">SUM(C21:CU21)</f>
        <v>1153200000</v>
      </c>
      <c r="C21" s="40" t="n">
        <f aca="false">GFA*BuildRate*C15</f>
        <v>0</v>
      </c>
      <c r="D21" s="40" t="n">
        <f aca="false">GFA*BuildRate*D15</f>
        <v>3158675.13065362</v>
      </c>
      <c r="E21" s="40" t="n">
        <f aca="false">GFA*BuildRate*E15</f>
        <v>9441418.28623402</v>
      </c>
      <c r="F21" s="40" t="n">
        <f aca="false">GFA*BuildRate*F15</f>
        <v>15620719.2873268</v>
      </c>
      <c r="G21" s="40" t="n">
        <f aca="false">GFA*BuildRate*G15</f>
        <v>21628876.4190619</v>
      </c>
      <c r="H21" s="40" t="n">
        <f aca="false">GFA*BuildRate*H15</f>
        <v>27400063.0546163</v>
      </c>
      <c r="I21" s="40" t="n">
        <f aca="false">GFA*BuildRate*I15</f>
        <v>32871048.8655127</v>
      </c>
      <c r="J21" s="40" t="n">
        <f aca="false">GFA*BuildRate*J15</f>
        <v>37981892.5863292</v>
      </c>
      <c r="K21" s="40" t="n">
        <f aca="false">GFA*BuildRate*K15</f>
        <v>42676598.7437479</v>
      </c>
      <c r="L21" s="40" t="n">
        <f aca="false">GFA*BuildRate*L15</f>
        <v>46903731.1546777</v>
      </c>
      <c r="M21" s="40" t="n">
        <f aca="false">GFA*BuildRate*M15</f>
        <v>50616976.47184</v>
      </c>
      <c r="N21" s="40" t="n">
        <f aca="false">GFA*BuildRate*N15</f>
        <v>53775651.6024936</v>
      </c>
      <c r="O21" s="40" t="n">
        <f aca="false">GFA*BuildRate*O15</f>
        <v>56345149.4409118</v>
      </c>
      <c r="P21" s="40" t="n">
        <f aca="false">GFA*BuildRate*P15</f>
        <v>58297318.0310748</v>
      </c>
      <c r="Q21" s="40" t="n">
        <f aca="false">GFA*BuildRate*Q15</f>
        <v>59610769.005391</v>
      </c>
      <c r="R21" s="40" t="n">
        <f aca="false">GFA*BuildRate*R15</f>
        <v>60271111.9201288</v>
      </c>
      <c r="S21" s="40" t="n">
        <f aca="false">GFA*BuildRate*S15</f>
        <v>60271111.9201291</v>
      </c>
      <c r="T21" s="40" t="n">
        <f aca="false">GFA*BuildRate*T15</f>
        <v>59610769.0053912</v>
      </c>
      <c r="U21" s="40" t="n">
        <f aca="false">GFA*BuildRate*U15</f>
        <v>58297318.0310746</v>
      </c>
      <c r="V21" s="40" t="n">
        <f aca="false">GFA*BuildRate*V15</f>
        <v>56345149.4409117</v>
      </c>
      <c r="W21" s="40" t="n">
        <f aca="false">GFA*BuildRate*W15</f>
        <v>53775651.6024935</v>
      </c>
      <c r="X21" s="40" t="n">
        <f aca="false">GFA*BuildRate*X15</f>
        <v>50616976.47184</v>
      </c>
      <c r="Y21" s="40" t="n">
        <f aca="false">GFA*BuildRate*Y15</f>
        <v>46903731.1546775</v>
      </c>
      <c r="Z21" s="40" t="n">
        <f aca="false">GFA*BuildRate*Z15</f>
        <v>42676598.743748</v>
      </c>
      <c r="AA21" s="40" t="n">
        <f aca="false">GFA*BuildRate*AA15</f>
        <v>37981892.5863293</v>
      </c>
      <c r="AB21" s="40" t="n">
        <f aca="false">GFA*BuildRate*AB15</f>
        <v>32871048.8655127</v>
      </c>
      <c r="AC21" s="40" t="n">
        <f aca="false">GFA*BuildRate*AC15</f>
        <v>27400063.0546163</v>
      </c>
      <c r="AD21" s="40" t="n">
        <f aca="false">GFA*BuildRate*AD15</f>
        <v>21628876.4190619</v>
      </c>
      <c r="AE21" s="40" t="n">
        <f aca="false">GFA*BuildRate*AE15</f>
        <v>15620719.2873268</v>
      </c>
      <c r="AF21" s="40" t="n">
        <f aca="false">GFA*BuildRate*AF15</f>
        <v>9441418.28623415</v>
      </c>
      <c r="AG21" s="40" t="n">
        <f aca="false">GFA*BuildRate*AG15</f>
        <v>3158675.13065349</v>
      </c>
      <c r="AH21" s="40" t="n">
        <f aca="false">GFA*BuildRate*AH15</f>
        <v>0</v>
      </c>
      <c r="AI21" s="40" t="n">
        <f aca="false">GFA*BuildRate*AI15</f>
        <v>0</v>
      </c>
      <c r="AJ21" s="40" t="n">
        <f aca="false">GFA*BuildRate*AJ15</f>
        <v>0</v>
      </c>
      <c r="AK21" s="40" t="n">
        <f aca="false">GFA*BuildRate*AK15</f>
        <v>0</v>
      </c>
      <c r="AL21" s="40" t="n">
        <f aca="false">GFA*BuildRate*AL15</f>
        <v>0</v>
      </c>
      <c r="AM21" s="40" t="n">
        <f aca="false">GFA*BuildRate*AM15</f>
        <v>0</v>
      </c>
      <c r="AN21" s="40" t="n">
        <f aca="false">GFA*BuildRate*AN15</f>
        <v>0</v>
      </c>
      <c r="AO21" s="40" t="n">
        <f aca="false">GFA*BuildRate*AO15</f>
        <v>0</v>
      </c>
      <c r="AP21" s="40" t="n">
        <f aca="false">GFA*BuildRate*AP15</f>
        <v>0</v>
      </c>
      <c r="AQ21" s="40" t="n">
        <f aca="false">GFA*BuildRate*AQ15</f>
        <v>0</v>
      </c>
      <c r="AR21" s="40" t="n">
        <f aca="false">GFA*BuildRate*AR15</f>
        <v>0</v>
      </c>
      <c r="AS21" s="40" t="n">
        <f aca="false">GFA*BuildRate*AS15</f>
        <v>0</v>
      </c>
      <c r="AT21" s="40" t="n">
        <f aca="false">GFA*BuildRate*AT15</f>
        <v>0</v>
      </c>
      <c r="AU21" s="40" t="n">
        <f aca="false">GFA*BuildRate*AU15</f>
        <v>0</v>
      </c>
      <c r="AV21" s="40" t="n">
        <f aca="false">GFA*BuildRate*AV15</f>
        <v>0</v>
      </c>
      <c r="AW21" s="40" t="n">
        <f aca="false">GFA*BuildRate*AW15</f>
        <v>0</v>
      </c>
      <c r="AX21" s="40" t="n">
        <f aca="false">GFA*BuildRate*AX15</f>
        <v>0</v>
      </c>
      <c r="AY21" s="40" t="n">
        <f aca="false">GFA*BuildRate*AY15</f>
        <v>0</v>
      </c>
      <c r="AZ21" s="40" t="n">
        <f aca="false">GFA*BuildRate*AZ15</f>
        <v>0</v>
      </c>
      <c r="BA21" s="40" t="n">
        <f aca="false">GFA*BuildRate*BA15</f>
        <v>0</v>
      </c>
      <c r="BB21" s="40" t="n">
        <f aca="false">GFA*BuildRate*BB15</f>
        <v>0</v>
      </c>
      <c r="BC21" s="40" t="n">
        <f aca="false">GFA*BuildRate*BC15</f>
        <v>0</v>
      </c>
      <c r="BD21" s="40" t="n">
        <f aca="false">GFA*BuildRate*BD15</f>
        <v>0</v>
      </c>
      <c r="BE21" s="40" t="n">
        <f aca="false">GFA*BuildRate*BE15</f>
        <v>0</v>
      </c>
      <c r="BF21" s="40" t="n">
        <f aca="false">GFA*BuildRate*BF15</f>
        <v>0</v>
      </c>
      <c r="BG21" s="40" t="n">
        <f aca="false">GFA*BuildRate*BG15</f>
        <v>0</v>
      </c>
      <c r="BH21" s="40" t="n">
        <f aca="false">GFA*BuildRate*BH15</f>
        <v>0</v>
      </c>
      <c r="BI21" s="40" t="n">
        <f aca="false">GFA*BuildRate*BI15</f>
        <v>0</v>
      </c>
      <c r="BJ21" s="40" t="n">
        <f aca="false">GFA*BuildRate*BJ15</f>
        <v>0</v>
      </c>
      <c r="BK21" s="40" t="n">
        <f aca="false">GFA*BuildRate*BK15</f>
        <v>0</v>
      </c>
      <c r="BL21" s="40" t="n">
        <f aca="false">GFA*BuildRate*BL15</f>
        <v>0</v>
      </c>
      <c r="BM21" s="40" t="n">
        <f aca="false">GFA*BuildRate*BM15</f>
        <v>0</v>
      </c>
      <c r="BN21" s="40" t="n">
        <f aca="false">GFA*BuildRate*BN15</f>
        <v>0</v>
      </c>
      <c r="BO21" s="40" t="n">
        <f aca="false">GFA*BuildRate*BO15</f>
        <v>0</v>
      </c>
      <c r="BP21" s="40" t="n">
        <f aca="false">GFA*BuildRate*BP15</f>
        <v>0</v>
      </c>
      <c r="BQ21" s="40" t="n">
        <f aca="false">GFA*BuildRate*BQ15</f>
        <v>0</v>
      </c>
      <c r="BR21" s="40" t="n">
        <f aca="false">GFA*BuildRate*BR15</f>
        <v>0</v>
      </c>
      <c r="BS21" s="40" t="n">
        <f aca="false">GFA*BuildRate*BS15</f>
        <v>0</v>
      </c>
      <c r="BT21" s="40" t="n">
        <f aca="false">GFA*BuildRate*BT15</f>
        <v>0</v>
      </c>
      <c r="BU21" s="40" t="n">
        <f aca="false">GFA*BuildRate*BU15</f>
        <v>0</v>
      </c>
      <c r="BV21" s="40" t="n">
        <f aca="false">GFA*BuildRate*BV15</f>
        <v>0</v>
      </c>
      <c r="BW21" s="40" t="n">
        <f aca="false">GFA*BuildRate*BW15</f>
        <v>0</v>
      </c>
      <c r="BX21" s="40" t="n">
        <f aca="false">GFA*BuildRate*BX15</f>
        <v>0</v>
      </c>
      <c r="BY21" s="40" t="n">
        <f aca="false">GFA*BuildRate*BY15</f>
        <v>0</v>
      </c>
      <c r="BZ21" s="40" t="n">
        <f aca="false">GFA*BuildRate*BZ15</f>
        <v>0</v>
      </c>
      <c r="CA21" s="40" t="n">
        <f aca="false">GFA*BuildRate*CA15</f>
        <v>0</v>
      </c>
      <c r="CB21" s="40" t="n">
        <f aca="false">GFA*BuildRate*CB15</f>
        <v>0</v>
      </c>
      <c r="CC21" s="40" t="n">
        <f aca="false">GFA*BuildRate*CC15</f>
        <v>0</v>
      </c>
      <c r="CD21" s="40" t="n">
        <f aca="false">GFA*BuildRate*CD15</f>
        <v>0</v>
      </c>
      <c r="CE21" s="40" t="n">
        <f aca="false">GFA*BuildRate*CE15</f>
        <v>0</v>
      </c>
      <c r="CF21" s="40" t="n">
        <f aca="false">GFA*BuildRate*CF15</f>
        <v>0</v>
      </c>
      <c r="CG21" s="40" t="n">
        <f aca="false">GFA*BuildRate*CG15</f>
        <v>0</v>
      </c>
      <c r="CH21" s="40" t="n">
        <f aca="false">GFA*BuildRate*CH15</f>
        <v>0</v>
      </c>
      <c r="CI21" s="40" t="n">
        <f aca="false">GFA*BuildRate*CI15</f>
        <v>0</v>
      </c>
      <c r="CJ21" s="40" t="n">
        <f aca="false">GFA*BuildRate*CJ15</f>
        <v>0</v>
      </c>
      <c r="CK21" s="40" t="n">
        <f aca="false">GFA*BuildRate*CK15</f>
        <v>0</v>
      </c>
      <c r="CL21" s="40" t="n">
        <f aca="false">GFA*BuildRate*CL15</f>
        <v>0</v>
      </c>
      <c r="CM21" s="40" t="n">
        <f aca="false">GFA*BuildRate*CM15</f>
        <v>0</v>
      </c>
      <c r="CN21" s="40" t="n">
        <f aca="false">GFA*BuildRate*CN15</f>
        <v>0</v>
      </c>
      <c r="CO21" s="40" t="n">
        <f aca="false">GFA*BuildRate*CO15</f>
        <v>0</v>
      </c>
      <c r="CP21" s="40" t="n">
        <f aca="false">GFA*BuildRate*CP15</f>
        <v>0</v>
      </c>
      <c r="CQ21" s="40" t="n">
        <f aca="false">GFA*BuildRate*CQ15</f>
        <v>0</v>
      </c>
      <c r="CR21" s="40" t="n">
        <f aca="false">GFA*BuildRate*CR15</f>
        <v>0</v>
      </c>
      <c r="CS21" s="40" t="n">
        <f aca="false">GFA*BuildRate*CS15</f>
        <v>0</v>
      </c>
      <c r="CT21" s="40" t="n">
        <f aca="false">GFA*BuildRate*CT15</f>
        <v>0</v>
      </c>
      <c r="CU21" s="40" t="n">
        <f aca="false">GFA*BuildRate*CU15</f>
        <v>0</v>
      </c>
    </row>
    <row r="22" customFormat="false" ht="15" hidden="false" customHeight="false" outlineLevel="0" collapsed="false">
      <c r="A22" s="35" t="s">
        <v>115</v>
      </c>
      <c r="B22" s="26" t="n">
        <f aca="false">SUM(C22:CU22)</f>
        <v>126852000</v>
      </c>
      <c r="C22" s="40" t="n">
        <f aca="false">C21*SoftCosts</f>
        <v>0</v>
      </c>
      <c r="D22" s="40" t="n">
        <f aca="false">D21*SoftCosts</f>
        <v>347454.264371898</v>
      </c>
      <c r="E22" s="40" t="n">
        <f aca="false">E21*SoftCosts</f>
        <v>1038556.01148574</v>
      </c>
      <c r="F22" s="40" t="n">
        <f aca="false">F21*SoftCosts</f>
        <v>1718279.12160595</v>
      </c>
      <c r="G22" s="40" t="n">
        <f aca="false">G21*SoftCosts</f>
        <v>2379176.40609681</v>
      </c>
      <c r="H22" s="40" t="n">
        <f aca="false">H21*SoftCosts</f>
        <v>3014006.93600779</v>
      </c>
      <c r="I22" s="40" t="n">
        <f aca="false">I21*SoftCosts</f>
        <v>3615815.37520639</v>
      </c>
      <c r="J22" s="40" t="n">
        <f aca="false">J21*SoftCosts</f>
        <v>4178008.18449621</v>
      </c>
      <c r="K22" s="40" t="n">
        <f aca="false">K21*SoftCosts</f>
        <v>4694425.86181227</v>
      </c>
      <c r="L22" s="40" t="n">
        <f aca="false">L21*SoftCosts</f>
        <v>5159410.42701454</v>
      </c>
      <c r="M22" s="40" t="n">
        <f aca="false">M21*SoftCosts</f>
        <v>5567867.41190239</v>
      </c>
      <c r="N22" s="40" t="n">
        <f aca="false">N21*SoftCosts</f>
        <v>5915321.67627429</v>
      </c>
      <c r="O22" s="40" t="n">
        <f aca="false">O21*SoftCosts</f>
        <v>6197966.4385003</v>
      </c>
      <c r="P22" s="40" t="n">
        <f aca="false">P21*SoftCosts</f>
        <v>6412704.98341822</v>
      </c>
      <c r="Q22" s="40" t="n">
        <f aca="false">Q21*SoftCosts</f>
        <v>6557184.59059301</v>
      </c>
      <c r="R22" s="40" t="n">
        <f aca="false">R21*SoftCosts</f>
        <v>6629822.31121417</v>
      </c>
      <c r="S22" s="40" t="n">
        <f aca="false">S21*SoftCosts</f>
        <v>6629822.3112142</v>
      </c>
      <c r="T22" s="40" t="n">
        <f aca="false">T21*SoftCosts</f>
        <v>6557184.59059303</v>
      </c>
      <c r="U22" s="40" t="n">
        <f aca="false">U21*SoftCosts</f>
        <v>6412704.98341821</v>
      </c>
      <c r="V22" s="40" t="n">
        <f aca="false">V21*SoftCosts</f>
        <v>6197966.43850028</v>
      </c>
      <c r="W22" s="40" t="n">
        <f aca="false">W21*SoftCosts</f>
        <v>5915321.67627429</v>
      </c>
      <c r="X22" s="40" t="n">
        <f aca="false">X21*SoftCosts</f>
        <v>5567867.4119024</v>
      </c>
      <c r="Y22" s="40" t="n">
        <f aca="false">Y21*SoftCosts</f>
        <v>5159410.42701453</v>
      </c>
      <c r="Z22" s="40" t="n">
        <f aca="false">Z21*SoftCosts</f>
        <v>4694425.86181228</v>
      </c>
      <c r="AA22" s="40" t="n">
        <f aca="false">AA21*SoftCosts</f>
        <v>4178008.18449622</v>
      </c>
      <c r="AB22" s="40" t="n">
        <f aca="false">AB21*SoftCosts</f>
        <v>3615815.3752064</v>
      </c>
      <c r="AC22" s="40" t="n">
        <f aca="false">AC21*SoftCosts</f>
        <v>3014006.93600779</v>
      </c>
      <c r="AD22" s="40" t="n">
        <f aca="false">AD21*SoftCosts</f>
        <v>2379176.40609681</v>
      </c>
      <c r="AE22" s="40" t="n">
        <f aca="false">AE21*SoftCosts</f>
        <v>1718279.12160594</v>
      </c>
      <c r="AF22" s="40" t="n">
        <f aca="false">AF21*SoftCosts</f>
        <v>1038556.01148576</v>
      </c>
      <c r="AG22" s="40" t="n">
        <f aca="false">AG21*SoftCosts</f>
        <v>347454.264371884</v>
      </c>
      <c r="AH22" s="40" t="n">
        <f aca="false">AH21*SoftCosts</f>
        <v>0</v>
      </c>
      <c r="AI22" s="40" t="n">
        <f aca="false">AI21*SoftCosts</f>
        <v>0</v>
      </c>
      <c r="AJ22" s="40" t="n">
        <f aca="false">AJ21*SoftCosts</f>
        <v>0</v>
      </c>
      <c r="AK22" s="40" t="n">
        <f aca="false">AK21*SoftCosts</f>
        <v>0</v>
      </c>
      <c r="AL22" s="40" t="n">
        <f aca="false">AL21*SoftCosts</f>
        <v>0</v>
      </c>
      <c r="AM22" s="40" t="n">
        <f aca="false">AM21*SoftCosts</f>
        <v>0</v>
      </c>
      <c r="AN22" s="40" t="n">
        <f aca="false">AN21*SoftCosts</f>
        <v>0</v>
      </c>
      <c r="AO22" s="40" t="n">
        <f aca="false">AO21*SoftCosts</f>
        <v>0</v>
      </c>
      <c r="AP22" s="40" t="n">
        <f aca="false">AP21*SoftCosts</f>
        <v>0</v>
      </c>
      <c r="AQ22" s="40" t="n">
        <f aca="false">AQ21*SoftCosts</f>
        <v>0</v>
      </c>
      <c r="AR22" s="40" t="n">
        <f aca="false">AR21*SoftCosts</f>
        <v>0</v>
      </c>
      <c r="AS22" s="40" t="n">
        <f aca="false">AS21*SoftCosts</f>
        <v>0</v>
      </c>
      <c r="AT22" s="40" t="n">
        <f aca="false">AT21*SoftCosts</f>
        <v>0</v>
      </c>
      <c r="AU22" s="40" t="n">
        <f aca="false">AU21*SoftCosts</f>
        <v>0</v>
      </c>
      <c r="AV22" s="40" t="n">
        <f aca="false">AV21*SoftCosts</f>
        <v>0</v>
      </c>
      <c r="AW22" s="40" t="n">
        <f aca="false">AW21*SoftCosts</f>
        <v>0</v>
      </c>
      <c r="AX22" s="40" t="n">
        <f aca="false">AX21*SoftCosts</f>
        <v>0</v>
      </c>
      <c r="AY22" s="40" t="n">
        <f aca="false">AY21*SoftCosts</f>
        <v>0</v>
      </c>
      <c r="AZ22" s="40" t="n">
        <f aca="false">AZ21*SoftCosts</f>
        <v>0</v>
      </c>
      <c r="BA22" s="40" t="n">
        <f aca="false">BA21*SoftCosts</f>
        <v>0</v>
      </c>
      <c r="BB22" s="40" t="n">
        <f aca="false">BB21*SoftCosts</f>
        <v>0</v>
      </c>
      <c r="BC22" s="40" t="n">
        <f aca="false">BC21*SoftCosts</f>
        <v>0</v>
      </c>
      <c r="BD22" s="40" t="n">
        <f aca="false">BD21*SoftCosts</f>
        <v>0</v>
      </c>
      <c r="BE22" s="40" t="n">
        <f aca="false">BE21*SoftCosts</f>
        <v>0</v>
      </c>
      <c r="BF22" s="40" t="n">
        <f aca="false">BF21*SoftCosts</f>
        <v>0</v>
      </c>
      <c r="BG22" s="40" t="n">
        <f aca="false">BG21*SoftCosts</f>
        <v>0</v>
      </c>
      <c r="BH22" s="40" t="n">
        <f aca="false">BH21*SoftCosts</f>
        <v>0</v>
      </c>
      <c r="BI22" s="40" t="n">
        <f aca="false">BI21*SoftCosts</f>
        <v>0</v>
      </c>
      <c r="BJ22" s="40" t="n">
        <f aca="false">BJ21*SoftCosts</f>
        <v>0</v>
      </c>
      <c r="BK22" s="40" t="n">
        <f aca="false">BK21*SoftCosts</f>
        <v>0</v>
      </c>
      <c r="BL22" s="40" t="n">
        <f aca="false">BL21*SoftCosts</f>
        <v>0</v>
      </c>
      <c r="BM22" s="40" t="n">
        <f aca="false">BM21*SoftCosts</f>
        <v>0</v>
      </c>
      <c r="BN22" s="40" t="n">
        <f aca="false">BN21*SoftCosts</f>
        <v>0</v>
      </c>
      <c r="BO22" s="40" t="n">
        <f aca="false">BO21*SoftCosts</f>
        <v>0</v>
      </c>
      <c r="BP22" s="40" t="n">
        <f aca="false">BP21*SoftCosts</f>
        <v>0</v>
      </c>
      <c r="BQ22" s="40" t="n">
        <f aca="false">BQ21*SoftCosts</f>
        <v>0</v>
      </c>
      <c r="BR22" s="40" t="n">
        <f aca="false">BR21*SoftCosts</f>
        <v>0</v>
      </c>
      <c r="BS22" s="40" t="n">
        <f aca="false">BS21*SoftCosts</f>
        <v>0</v>
      </c>
      <c r="BT22" s="40" t="n">
        <f aca="false">BT21*SoftCosts</f>
        <v>0</v>
      </c>
      <c r="BU22" s="40" t="n">
        <f aca="false">BU21*SoftCosts</f>
        <v>0</v>
      </c>
      <c r="BV22" s="40" t="n">
        <f aca="false">BV21*SoftCosts</f>
        <v>0</v>
      </c>
      <c r="BW22" s="40" t="n">
        <f aca="false">BW21*SoftCosts</f>
        <v>0</v>
      </c>
      <c r="BX22" s="40" t="n">
        <f aca="false">BX21*SoftCosts</f>
        <v>0</v>
      </c>
      <c r="BY22" s="40" t="n">
        <f aca="false">BY21*SoftCosts</f>
        <v>0</v>
      </c>
      <c r="BZ22" s="40" t="n">
        <f aca="false">BZ21*SoftCosts</f>
        <v>0</v>
      </c>
      <c r="CA22" s="40" t="n">
        <f aca="false">CA21*SoftCosts</f>
        <v>0</v>
      </c>
      <c r="CB22" s="40" t="n">
        <f aca="false">CB21*SoftCosts</f>
        <v>0</v>
      </c>
      <c r="CC22" s="40" t="n">
        <f aca="false">CC21*SoftCosts</f>
        <v>0</v>
      </c>
      <c r="CD22" s="40" t="n">
        <f aca="false">CD21*SoftCosts</f>
        <v>0</v>
      </c>
      <c r="CE22" s="40" t="n">
        <f aca="false">CE21*SoftCosts</f>
        <v>0</v>
      </c>
      <c r="CF22" s="40" t="n">
        <f aca="false">CF21*SoftCosts</f>
        <v>0</v>
      </c>
      <c r="CG22" s="40" t="n">
        <f aca="false">CG21*SoftCosts</f>
        <v>0</v>
      </c>
      <c r="CH22" s="40" t="n">
        <f aca="false">CH21*SoftCosts</f>
        <v>0</v>
      </c>
      <c r="CI22" s="40" t="n">
        <f aca="false">CI21*SoftCosts</f>
        <v>0</v>
      </c>
      <c r="CJ22" s="40" t="n">
        <f aca="false">CJ21*SoftCosts</f>
        <v>0</v>
      </c>
      <c r="CK22" s="40" t="n">
        <f aca="false">CK21*SoftCosts</f>
        <v>0</v>
      </c>
      <c r="CL22" s="40" t="n">
        <f aca="false">CL21*SoftCosts</f>
        <v>0</v>
      </c>
      <c r="CM22" s="40" t="n">
        <f aca="false">CM21*SoftCosts</f>
        <v>0</v>
      </c>
      <c r="CN22" s="40" t="n">
        <f aca="false">CN21*SoftCosts</f>
        <v>0</v>
      </c>
      <c r="CO22" s="40" t="n">
        <f aca="false">CO21*SoftCosts</f>
        <v>0</v>
      </c>
      <c r="CP22" s="40" t="n">
        <f aca="false">CP21*SoftCosts</f>
        <v>0</v>
      </c>
      <c r="CQ22" s="40" t="n">
        <f aca="false">CQ21*SoftCosts</f>
        <v>0</v>
      </c>
      <c r="CR22" s="40" t="n">
        <f aca="false">CR21*SoftCosts</f>
        <v>0</v>
      </c>
      <c r="CS22" s="40" t="n">
        <f aca="false">CS21*SoftCosts</f>
        <v>0</v>
      </c>
      <c r="CT22" s="40" t="n">
        <f aca="false">CT21*SoftCosts</f>
        <v>0</v>
      </c>
      <c r="CU22" s="40" t="n">
        <f aca="false">CU21*SoftCosts</f>
        <v>0</v>
      </c>
    </row>
    <row r="23" customFormat="false" ht="15" hidden="false" customHeight="false" outlineLevel="0" collapsed="false">
      <c r="A23" s="35" t="s">
        <v>116</v>
      </c>
      <c r="B23" s="26" t="n">
        <f aca="false">SUM(C23:CU23)</f>
        <v>69192000</v>
      </c>
      <c r="C23" s="40" t="n">
        <f aca="false">C21*Contingency</f>
        <v>0</v>
      </c>
      <c r="D23" s="40" t="n">
        <f aca="false">D21*Contingency</f>
        <v>189520.507839217</v>
      </c>
      <c r="E23" s="40" t="n">
        <f aca="false">E21*Contingency</f>
        <v>566485.097174041</v>
      </c>
      <c r="F23" s="40" t="n">
        <f aca="false">F21*Contingency</f>
        <v>937243.15723961</v>
      </c>
      <c r="G23" s="40" t="n">
        <f aca="false">G21*Contingency</f>
        <v>1297732.58514371</v>
      </c>
      <c r="H23" s="40" t="n">
        <f aca="false">H21*Contingency</f>
        <v>1644003.78327698</v>
      </c>
      <c r="I23" s="40" t="n">
        <f aca="false">I21*Contingency</f>
        <v>1972262.93193076</v>
      </c>
      <c r="J23" s="40" t="n">
        <f aca="false">J21*Contingency</f>
        <v>2278913.55517975</v>
      </c>
      <c r="K23" s="40" t="n">
        <f aca="false">K21*Contingency</f>
        <v>2560595.92462487</v>
      </c>
      <c r="L23" s="40" t="n">
        <f aca="false">L21*Contingency</f>
        <v>2814223.86928066</v>
      </c>
      <c r="M23" s="40" t="n">
        <f aca="false">M21*Contingency</f>
        <v>3037018.5883104</v>
      </c>
      <c r="N23" s="40" t="n">
        <f aca="false">N21*Contingency</f>
        <v>3226539.09614961</v>
      </c>
      <c r="O23" s="40" t="n">
        <f aca="false">O21*Contingency</f>
        <v>3380708.96645471</v>
      </c>
      <c r="P23" s="40" t="n">
        <f aca="false">P21*Contingency</f>
        <v>3497839.08186449</v>
      </c>
      <c r="Q23" s="40" t="n">
        <f aca="false">Q21*Contingency</f>
        <v>3576646.14032346</v>
      </c>
      <c r="R23" s="40" t="n">
        <f aca="false">R21*Contingency</f>
        <v>3616266.71520773</v>
      </c>
      <c r="S23" s="40" t="n">
        <f aca="false">S21*Contingency</f>
        <v>3616266.71520775</v>
      </c>
      <c r="T23" s="40" t="n">
        <f aca="false">T21*Contingency</f>
        <v>3576646.14032347</v>
      </c>
      <c r="U23" s="40" t="n">
        <f aca="false">U21*Contingency</f>
        <v>3497839.08186448</v>
      </c>
      <c r="V23" s="40" t="n">
        <f aca="false">V21*Contingency</f>
        <v>3380708.9664547</v>
      </c>
      <c r="W23" s="40" t="n">
        <f aca="false">W21*Contingency</f>
        <v>3226539.09614961</v>
      </c>
      <c r="X23" s="40" t="n">
        <f aca="false">X21*Contingency</f>
        <v>3037018.5883104</v>
      </c>
      <c r="Y23" s="40" t="n">
        <f aca="false">Y21*Contingency</f>
        <v>2814223.86928065</v>
      </c>
      <c r="Z23" s="40" t="n">
        <f aca="false">Z21*Contingency</f>
        <v>2560595.92462488</v>
      </c>
      <c r="AA23" s="40" t="n">
        <f aca="false">AA21*Contingency</f>
        <v>2278913.55517976</v>
      </c>
      <c r="AB23" s="40" t="n">
        <f aca="false">AB21*Contingency</f>
        <v>1972262.93193076</v>
      </c>
      <c r="AC23" s="40" t="n">
        <f aca="false">AC21*Contingency</f>
        <v>1644003.78327698</v>
      </c>
      <c r="AD23" s="40" t="n">
        <f aca="false">AD21*Contingency</f>
        <v>1297732.58514371</v>
      </c>
      <c r="AE23" s="40" t="n">
        <f aca="false">AE21*Contingency</f>
        <v>937243.157239606</v>
      </c>
      <c r="AF23" s="40" t="n">
        <f aca="false">AF21*Contingency</f>
        <v>566485.097174049</v>
      </c>
      <c r="AG23" s="40" t="n">
        <f aca="false">AG21*Contingency</f>
        <v>189520.50783921</v>
      </c>
      <c r="AH23" s="40" t="n">
        <f aca="false">AH21*Contingency</f>
        <v>0</v>
      </c>
      <c r="AI23" s="40" t="n">
        <f aca="false">AI21*Contingency</f>
        <v>0</v>
      </c>
      <c r="AJ23" s="40" t="n">
        <f aca="false">AJ21*Contingency</f>
        <v>0</v>
      </c>
      <c r="AK23" s="40" t="n">
        <f aca="false">AK21*Contingency</f>
        <v>0</v>
      </c>
      <c r="AL23" s="40" t="n">
        <f aca="false">AL21*Contingency</f>
        <v>0</v>
      </c>
      <c r="AM23" s="40" t="n">
        <f aca="false">AM21*Contingency</f>
        <v>0</v>
      </c>
      <c r="AN23" s="40" t="n">
        <f aca="false">AN21*Contingency</f>
        <v>0</v>
      </c>
      <c r="AO23" s="40" t="n">
        <f aca="false">AO21*Contingency</f>
        <v>0</v>
      </c>
      <c r="AP23" s="40" t="n">
        <f aca="false">AP21*Contingency</f>
        <v>0</v>
      </c>
      <c r="AQ23" s="40" t="n">
        <f aca="false">AQ21*Contingency</f>
        <v>0</v>
      </c>
      <c r="AR23" s="40" t="n">
        <f aca="false">AR21*Contingency</f>
        <v>0</v>
      </c>
      <c r="AS23" s="40" t="n">
        <f aca="false">AS21*Contingency</f>
        <v>0</v>
      </c>
      <c r="AT23" s="40" t="n">
        <f aca="false">AT21*Contingency</f>
        <v>0</v>
      </c>
      <c r="AU23" s="40" t="n">
        <f aca="false">AU21*Contingency</f>
        <v>0</v>
      </c>
      <c r="AV23" s="40" t="n">
        <f aca="false">AV21*Contingency</f>
        <v>0</v>
      </c>
      <c r="AW23" s="40" t="n">
        <f aca="false">AW21*Contingency</f>
        <v>0</v>
      </c>
      <c r="AX23" s="40" t="n">
        <f aca="false">AX21*Contingency</f>
        <v>0</v>
      </c>
      <c r="AY23" s="40" t="n">
        <f aca="false">AY21*Contingency</f>
        <v>0</v>
      </c>
      <c r="AZ23" s="40" t="n">
        <f aca="false">AZ21*Contingency</f>
        <v>0</v>
      </c>
      <c r="BA23" s="40" t="n">
        <f aca="false">BA21*Contingency</f>
        <v>0</v>
      </c>
      <c r="BB23" s="40" t="n">
        <f aca="false">BB21*Contingency</f>
        <v>0</v>
      </c>
      <c r="BC23" s="40" t="n">
        <f aca="false">BC21*Contingency</f>
        <v>0</v>
      </c>
      <c r="BD23" s="40" t="n">
        <f aca="false">BD21*Contingency</f>
        <v>0</v>
      </c>
      <c r="BE23" s="40" t="n">
        <f aca="false">BE21*Contingency</f>
        <v>0</v>
      </c>
      <c r="BF23" s="40" t="n">
        <f aca="false">BF21*Contingency</f>
        <v>0</v>
      </c>
      <c r="BG23" s="40" t="n">
        <f aca="false">BG21*Contingency</f>
        <v>0</v>
      </c>
      <c r="BH23" s="40" t="n">
        <f aca="false">BH21*Contingency</f>
        <v>0</v>
      </c>
      <c r="BI23" s="40" t="n">
        <f aca="false">BI21*Contingency</f>
        <v>0</v>
      </c>
      <c r="BJ23" s="40" t="n">
        <f aca="false">BJ21*Contingency</f>
        <v>0</v>
      </c>
      <c r="BK23" s="40" t="n">
        <f aca="false">BK21*Contingency</f>
        <v>0</v>
      </c>
      <c r="BL23" s="40" t="n">
        <f aca="false">BL21*Contingency</f>
        <v>0</v>
      </c>
      <c r="BM23" s="40" t="n">
        <f aca="false">BM21*Contingency</f>
        <v>0</v>
      </c>
      <c r="BN23" s="40" t="n">
        <f aca="false">BN21*Contingency</f>
        <v>0</v>
      </c>
      <c r="BO23" s="40" t="n">
        <f aca="false">BO21*Contingency</f>
        <v>0</v>
      </c>
      <c r="BP23" s="40" t="n">
        <f aca="false">BP21*Contingency</f>
        <v>0</v>
      </c>
      <c r="BQ23" s="40" t="n">
        <f aca="false">BQ21*Contingency</f>
        <v>0</v>
      </c>
      <c r="BR23" s="40" t="n">
        <f aca="false">BR21*Contingency</f>
        <v>0</v>
      </c>
      <c r="BS23" s="40" t="n">
        <f aca="false">BS21*Contingency</f>
        <v>0</v>
      </c>
      <c r="BT23" s="40" t="n">
        <f aca="false">BT21*Contingency</f>
        <v>0</v>
      </c>
      <c r="BU23" s="40" t="n">
        <f aca="false">BU21*Contingency</f>
        <v>0</v>
      </c>
      <c r="BV23" s="40" t="n">
        <f aca="false">BV21*Contingency</f>
        <v>0</v>
      </c>
      <c r="BW23" s="40" t="n">
        <f aca="false">BW21*Contingency</f>
        <v>0</v>
      </c>
      <c r="BX23" s="40" t="n">
        <f aca="false">BX21*Contingency</f>
        <v>0</v>
      </c>
      <c r="BY23" s="40" t="n">
        <f aca="false">BY21*Contingency</f>
        <v>0</v>
      </c>
      <c r="BZ23" s="40" t="n">
        <f aca="false">BZ21*Contingency</f>
        <v>0</v>
      </c>
      <c r="CA23" s="40" t="n">
        <f aca="false">CA21*Contingency</f>
        <v>0</v>
      </c>
      <c r="CB23" s="40" t="n">
        <f aca="false">CB21*Contingency</f>
        <v>0</v>
      </c>
      <c r="CC23" s="40" t="n">
        <f aca="false">CC21*Contingency</f>
        <v>0</v>
      </c>
      <c r="CD23" s="40" t="n">
        <f aca="false">CD21*Contingency</f>
        <v>0</v>
      </c>
      <c r="CE23" s="40" t="n">
        <f aca="false">CE21*Contingency</f>
        <v>0</v>
      </c>
      <c r="CF23" s="40" t="n">
        <f aca="false">CF21*Contingency</f>
        <v>0</v>
      </c>
      <c r="CG23" s="40" t="n">
        <f aca="false">CG21*Contingency</f>
        <v>0</v>
      </c>
      <c r="CH23" s="40" t="n">
        <f aca="false">CH21*Contingency</f>
        <v>0</v>
      </c>
      <c r="CI23" s="40" t="n">
        <f aca="false">CI21*Contingency</f>
        <v>0</v>
      </c>
      <c r="CJ23" s="40" t="n">
        <f aca="false">CJ21*Contingency</f>
        <v>0</v>
      </c>
      <c r="CK23" s="40" t="n">
        <f aca="false">CK21*Contingency</f>
        <v>0</v>
      </c>
      <c r="CL23" s="40" t="n">
        <f aca="false">CL21*Contingency</f>
        <v>0</v>
      </c>
      <c r="CM23" s="40" t="n">
        <f aca="false">CM21*Contingency</f>
        <v>0</v>
      </c>
      <c r="CN23" s="40" t="n">
        <f aca="false">CN21*Contingency</f>
        <v>0</v>
      </c>
      <c r="CO23" s="40" t="n">
        <f aca="false">CO21*Contingency</f>
        <v>0</v>
      </c>
      <c r="CP23" s="40" t="n">
        <f aca="false">CP21*Contingency</f>
        <v>0</v>
      </c>
      <c r="CQ23" s="40" t="n">
        <f aca="false">CQ21*Contingency</f>
        <v>0</v>
      </c>
      <c r="CR23" s="40" t="n">
        <f aca="false">CR21*Contingency</f>
        <v>0</v>
      </c>
      <c r="CS23" s="40" t="n">
        <f aca="false">CS21*Contingency</f>
        <v>0</v>
      </c>
      <c r="CT23" s="40" t="n">
        <f aca="false">CT21*Contingency</f>
        <v>0</v>
      </c>
      <c r="CU23" s="40" t="n">
        <f aca="false">CU21*Contingency</f>
        <v>0</v>
      </c>
    </row>
    <row r="24" customFormat="false" ht="15" hidden="false" customHeight="false" outlineLevel="0" collapsed="false">
      <c r="A24" s="15" t="s">
        <v>117</v>
      </c>
      <c r="B24" s="26" t="n">
        <f aca="false">SUM(C24:AF24)</f>
        <v>2028048350.09714</v>
      </c>
      <c r="C24" s="26" t="n">
        <f aca="false">SUM(C19:C23)</f>
        <v>682500000</v>
      </c>
      <c r="D24" s="26" t="n">
        <f aca="false">SUM(D19:D23)</f>
        <v>3695649.90286474</v>
      </c>
      <c r="E24" s="26" t="n">
        <f aca="false">SUM(E19:E23)</f>
        <v>11046459.3948938</v>
      </c>
      <c r="F24" s="26" t="n">
        <f aca="false">SUM(F19:F23)</f>
        <v>18276241.5661724</v>
      </c>
      <c r="G24" s="26" t="n">
        <f aca="false">SUM(G19:G23)</f>
        <v>25305785.4103024</v>
      </c>
      <c r="H24" s="26" t="n">
        <f aca="false">SUM(H19:H23)</f>
        <v>32058073.7739011</v>
      </c>
      <c r="I24" s="26" t="n">
        <f aca="false">SUM(I19:I23)</f>
        <v>38459127.1726498</v>
      </c>
      <c r="J24" s="26" t="n">
        <f aca="false">SUM(J19:J23)</f>
        <v>44438814.3260051</v>
      </c>
      <c r="K24" s="26" t="n">
        <f aca="false">SUM(K19:K23)</f>
        <v>49931620.530185</v>
      </c>
      <c r="L24" s="26" t="n">
        <f aca="false">SUM(L19:L23)</f>
        <v>54877365.4509729</v>
      </c>
      <c r="M24" s="26" t="n">
        <f aca="false">SUM(M19:M23)</f>
        <v>59221862.4720527</v>
      </c>
      <c r="N24" s="26" t="n">
        <f aca="false">SUM(N19:N23)</f>
        <v>62917512.3749175</v>
      </c>
      <c r="O24" s="26" t="n">
        <f aca="false">SUM(O19:O23)</f>
        <v>65923824.8458668</v>
      </c>
      <c r="P24" s="26" t="n">
        <f aca="false">SUM(P19:P23)</f>
        <v>68207862.0963575</v>
      </c>
      <c r="Q24" s="26" t="n">
        <f aca="false">SUM(Q19:Q23)</f>
        <v>69744599.7363074</v>
      </c>
      <c r="R24" s="26" t="n">
        <f aca="false">SUM(R19:R23)</f>
        <v>70517200.9465507</v>
      </c>
      <c r="S24" s="26" t="n">
        <f aca="false">SUM(S19:S23)</f>
        <v>70517200.946551</v>
      </c>
      <c r="T24" s="26" t="n">
        <f aca="false">SUM(T19:T23)</f>
        <v>69744599.7363077</v>
      </c>
      <c r="U24" s="26" t="n">
        <f aca="false">SUM(U19:U23)</f>
        <v>68207862.0963573</v>
      </c>
      <c r="V24" s="26" t="n">
        <f aca="false">SUM(V19:V23)</f>
        <v>65923824.8458667</v>
      </c>
      <c r="W24" s="26" t="n">
        <f aca="false">SUM(W19:W23)</f>
        <v>62917512.3749174</v>
      </c>
      <c r="X24" s="26" t="n">
        <f aca="false">SUM(X19:X23)</f>
        <v>59221862.4720528</v>
      </c>
      <c r="Y24" s="26" t="n">
        <f aca="false">SUM(Y19:Y23)</f>
        <v>54877365.4509727</v>
      </c>
      <c r="Z24" s="26" t="n">
        <f aca="false">SUM(Z19:Z23)</f>
        <v>49931620.5301852</v>
      </c>
      <c r="AA24" s="26" t="n">
        <f aca="false">SUM(AA19:AA23)</f>
        <v>44438814.3260053</v>
      </c>
      <c r="AB24" s="26" t="n">
        <f aca="false">SUM(AB19:AB23)</f>
        <v>38459127.1726499</v>
      </c>
      <c r="AC24" s="26" t="n">
        <f aca="false">SUM(AC19:AC23)</f>
        <v>32058073.7739011</v>
      </c>
      <c r="AD24" s="26" t="n">
        <f aca="false">SUM(AD19:AD23)</f>
        <v>25305785.4103024</v>
      </c>
      <c r="AE24" s="26" t="n">
        <f aca="false">SUM(AE19:AE23)</f>
        <v>18276241.5661723</v>
      </c>
      <c r="AF24" s="26" t="n">
        <f aca="false">SUM(AF19:AF23)</f>
        <v>11046459.394894</v>
      </c>
      <c r="AG24" s="26" t="n">
        <f aca="false">SUM(AG19:AG23)</f>
        <v>3695649.90286459</v>
      </c>
      <c r="AH24" s="26" t="n">
        <f aca="false">SUM(AH19:AH23)</f>
        <v>0</v>
      </c>
      <c r="AI24" s="26" t="n">
        <f aca="false">SUM(AI19:AI23)</f>
        <v>0</v>
      </c>
      <c r="AJ24" s="26" t="n">
        <f aca="false">SUM(AJ19:AJ23)</f>
        <v>0</v>
      </c>
      <c r="AK24" s="26" t="n">
        <f aca="false">SUM(AK19:AK23)</f>
        <v>0</v>
      </c>
      <c r="AL24" s="26" t="n">
        <f aca="false">SUM(AL19:AL23)</f>
        <v>0</v>
      </c>
      <c r="AM24" s="26" t="n">
        <f aca="false">SUM(AM19:AM23)</f>
        <v>0</v>
      </c>
      <c r="AN24" s="26" t="n">
        <f aca="false">SUM(AN19:AN23)</f>
        <v>0</v>
      </c>
      <c r="AO24" s="26" t="n">
        <f aca="false">SUM(AO19:AO23)</f>
        <v>0</v>
      </c>
      <c r="AP24" s="26" t="n">
        <f aca="false">SUM(AP19:AP23)</f>
        <v>0</v>
      </c>
      <c r="AQ24" s="26" t="n">
        <f aca="false">SUM(AQ19:AQ23)</f>
        <v>0</v>
      </c>
      <c r="AR24" s="26" t="n">
        <f aca="false">SUM(AR19:AR23)</f>
        <v>0</v>
      </c>
      <c r="AS24" s="26" t="n">
        <f aca="false">SUM(AS19:AS23)</f>
        <v>0</v>
      </c>
      <c r="AT24" s="26" t="n">
        <f aca="false">SUM(AT19:AT23)</f>
        <v>0</v>
      </c>
      <c r="AU24" s="26" t="n">
        <f aca="false">SUM(AU19:AU23)</f>
        <v>0</v>
      </c>
      <c r="AV24" s="26" t="n">
        <f aca="false">SUM(AV19:AV23)</f>
        <v>0</v>
      </c>
      <c r="AW24" s="26" t="n">
        <f aca="false">SUM(AW19:AW23)</f>
        <v>0</v>
      </c>
      <c r="AX24" s="26" t="n">
        <f aca="false">SUM(AX19:AX23)</f>
        <v>0</v>
      </c>
      <c r="AY24" s="26" t="n">
        <f aca="false">SUM(AY19:AY23)</f>
        <v>0</v>
      </c>
      <c r="AZ24" s="26" t="n">
        <f aca="false">SUM(AZ19:AZ23)</f>
        <v>0</v>
      </c>
      <c r="BA24" s="26" t="n">
        <f aca="false">SUM(BA19:BA23)</f>
        <v>0</v>
      </c>
      <c r="BB24" s="26" t="n">
        <f aca="false">SUM(BB19:BB23)</f>
        <v>0</v>
      </c>
      <c r="BC24" s="26" t="n">
        <f aca="false">SUM(BC19:BC23)</f>
        <v>0</v>
      </c>
      <c r="BD24" s="26" t="n">
        <f aca="false">SUM(BD19:BD23)</f>
        <v>0</v>
      </c>
      <c r="BE24" s="26" t="n">
        <f aca="false">SUM(BE19:BE23)</f>
        <v>0</v>
      </c>
      <c r="BF24" s="26" t="n">
        <f aca="false">SUM(BF19:BF23)</f>
        <v>0</v>
      </c>
      <c r="BG24" s="26" t="n">
        <f aca="false">SUM(BG19:BG23)</f>
        <v>0</v>
      </c>
      <c r="BH24" s="26" t="n">
        <f aca="false">SUM(BH19:BH23)</f>
        <v>0</v>
      </c>
      <c r="BI24" s="26" t="n">
        <f aca="false">SUM(BI19:BI23)</f>
        <v>0</v>
      </c>
      <c r="BJ24" s="26" t="n">
        <f aca="false">SUM(BJ19:BJ23)</f>
        <v>0</v>
      </c>
      <c r="BK24" s="26" t="n">
        <f aca="false">SUM(BK19:BK23)</f>
        <v>0</v>
      </c>
      <c r="BL24" s="26" t="n">
        <f aca="false">SUM(BL19:BL23)</f>
        <v>0</v>
      </c>
      <c r="BM24" s="26" t="n">
        <f aca="false">SUM(BM19:BM23)</f>
        <v>0</v>
      </c>
      <c r="BN24" s="26" t="n">
        <f aca="false">SUM(BN19:BN23)</f>
        <v>0</v>
      </c>
      <c r="BO24" s="26" t="n">
        <f aca="false">SUM(BO19:BO23)</f>
        <v>0</v>
      </c>
      <c r="BP24" s="26" t="n">
        <f aca="false">SUM(BP19:BP23)</f>
        <v>0</v>
      </c>
      <c r="BQ24" s="26" t="n">
        <f aca="false">SUM(BQ19:BQ23)</f>
        <v>0</v>
      </c>
      <c r="BR24" s="26" t="n">
        <f aca="false">SUM(BR19:BR23)</f>
        <v>0</v>
      </c>
      <c r="BS24" s="26" t="n">
        <f aca="false">SUM(BS19:BS23)</f>
        <v>0</v>
      </c>
      <c r="BT24" s="26" t="n">
        <f aca="false">SUM(BT19:BT23)</f>
        <v>0</v>
      </c>
      <c r="BU24" s="26" t="n">
        <f aca="false">SUM(BU19:BU23)</f>
        <v>0</v>
      </c>
      <c r="BV24" s="26" t="n">
        <f aca="false">SUM(BV19:BV23)</f>
        <v>0</v>
      </c>
      <c r="BW24" s="26" t="n">
        <f aca="false">SUM(BW19:BW23)</f>
        <v>0</v>
      </c>
      <c r="BX24" s="26" t="n">
        <f aca="false">SUM(BX19:BX23)</f>
        <v>0</v>
      </c>
      <c r="BY24" s="26" t="n">
        <f aca="false">SUM(BY19:BY23)</f>
        <v>0</v>
      </c>
      <c r="BZ24" s="26" t="n">
        <f aca="false">SUM(BZ19:BZ23)</f>
        <v>0</v>
      </c>
      <c r="CA24" s="26" t="n">
        <f aca="false">SUM(CA19:CA23)</f>
        <v>0</v>
      </c>
      <c r="CB24" s="26" t="n">
        <f aca="false">SUM(CB19:CB23)</f>
        <v>0</v>
      </c>
      <c r="CC24" s="26" t="n">
        <f aca="false">SUM(CC19:CC23)</f>
        <v>0</v>
      </c>
      <c r="CD24" s="26" t="n">
        <f aca="false">SUM(CD19:CD23)</f>
        <v>0</v>
      </c>
      <c r="CE24" s="26" t="n">
        <f aca="false">SUM(CE19:CE23)</f>
        <v>0</v>
      </c>
      <c r="CF24" s="26" t="n">
        <f aca="false">SUM(CF19:CF23)</f>
        <v>0</v>
      </c>
      <c r="CG24" s="26" t="n">
        <f aca="false">SUM(CG19:CG23)</f>
        <v>0</v>
      </c>
      <c r="CH24" s="26" t="n">
        <f aca="false">SUM(CH19:CH23)</f>
        <v>0</v>
      </c>
      <c r="CI24" s="26" t="n">
        <f aca="false">SUM(CI19:CI23)</f>
        <v>0</v>
      </c>
      <c r="CJ24" s="26" t="n">
        <f aca="false">SUM(CJ19:CJ23)</f>
        <v>0</v>
      </c>
      <c r="CK24" s="26" t="n">
        <f aca="false">SUM(CK19:CK23)</f>
        <v>0</v>
      </c>
      <c r="CL24" s="26" t="n">
        <f aca="false">SUM(CL19:CL23)</f>
        <v>0</v>
      </c>
      <c r="CM24" s="26" t="n">
        <f aca="false">SUM(CM19:CM23)</f>
        <v>0</v>
      </c>
      <c r="CN24" s="26" t="n">
        <f aca="false">SUM(CN19:CN23)</f>
        <v>0</v>
      </c>
      <c r="CO24" s="26" t="n">
        <f aca="false">SUM(CO19:CO23)</f>
        <v>0</v>
      </c>
      <c r="CP24" s="26" t="n">
        <f aca="false">SUM(CP19:CP23)</f>
        <v>0</v>
      </c>
      <c r="CQ24" s="26" t="n">
        <f aca="false">SUM(CQ19:CQ23)</f>
        <v>0</v>
      </c>
      <c r="CR24" s="26" t="n">
        <f aca="false">SUM(CR19:CR23)</f>
        <v>0</v>
      </c>
      <c r="CS24" s="26" t="n">
        <f aca="false">SUM(CS19:CS23)</f>
        <v>0</v>
      </c>
      <c r="CT24" s="26" t="n">
        <f aca="false">SUM(CT19:CT23)</f>
        <v>0</v>
      </c>
      <c r="CU24" s="26" t="n">
        <f aca="false">SUM(CU19:CU23)</f>
        <v>0</v>
      </c>
    </row>
    <row r="26" customFormat="false" ht="15" hidden="false" customHeight="false" outlineLevel="0" collapsed="false">
      <c r="A26" s="19" t="s">
        <v>118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customFormat="false" ht="15" hidden="false" customHeight="false" outlineLevel="0" collapsed="false">
      <c r="A27" s="35" t="s">
        <v>119</v>
      </c>
      <c r="B27" s="41" t="n">
        <f aca="false">SUM(C27:CU27)</f>
        <v>540</v>
      </c>
      <c r="C27" s="42" t="n">
        <f aca="false">IF(AND(C$5&gt;=ResSalesStart,C$5&lt;ResSalesStart+ResSalesMonths),ResUnits/ResSalesMonths,0)</f>
        <v>0</v>
      </c>
      <c r="D27" s="42" t="n">
        <f aca="false">IF(AND(D$5&gt;=ResSalesStart,D$5&lt;ResSalesStart+ResSalesMonths),ResUnits/ResSalesMonths,0)</f>
        <v>0</v>
      </c>
      <c r="E27" s="42" t="n">
        <f aca="false">IF(AND(E$5&gt;=ResSalesStart,E$5&lt;ResSalesStart+ResSalesMonths),ResUnits/ResSalesMonths,0)</f>
        <v>0</v>
      </c>
      <c r="F27" s="42" t="n">
        <f aca="false">IF(AND(F$5&gt;=ResSalesStart,F$5&lt;ResSalesStart+ResSalesMonths),ResUnits/ResSalesMonths,0)</f>
        <v>18</v>
      </c>
      <c r="G27" s="42" t="n">
        <f aca="false">IF(AND(G$5&gt;=ResSalesStart,G$5&lt;ResSalesStart+ResSalesMonths),ResUnits/ResSalesMonths,0)</f>
        <v>18</v>
      </c>
      <c r="H27" s="42" t="n">
        <f aca="false">IF(AND(H$5&gt;=ResSalesStart,H$5&lt;ResSalesStart+ResSalesMonths),ResUnits/ResSalesMonths,0)</f>
        <v>18</v>
      </c>
      <c r="I27" s="42" t="n">
        <f aca="false">IF(AND(I$5&gt;=ResSalesStart,I$5&lt;ResSalesStart+ResSalesMonths),ResUnits/ResSalesMonths,0)</f>
        <v>18</v>
      </c>
      <c r="J27" s="42" t="n">
        <f aca="false">IF(AND(J$5&gt;=ResSalesStart,J$5&lt;ResSalesStart+ResSalesMonths),ResUnits/ResSalesMonths,0)</f>
        <v>18</v>
      </c>
      <c r="K27" s="42" t="n">
        <f aca="false">IF(AND(K$5&gt;=ResSalesStart,K$5&lt;ResSalesStart+ResSalesMonths),ResUnits/ResSalesMonths,0)</f>
        <v>18</v>
      </c>
      <c r="L27" s="42" t="n">
        <f aca="false">IF(AND(L$5&gt;=ResSalesStart,L$5&lt;ResSalesStart+ResSalesMonths),ResUnits/ResSalesMonths,0)</f>
        <v>18</v>
      </c>
      <c r="M27" s="42" t="n">
        <f aca="false">IF(AND(M$5&gt;=ResSalesStart,M$5&lt;ResSalesStart+ResSalesMonths),ResUnits/ResSalesMonths,0)</f>
        <v>18</v>
      </c>
      <c r="N27" s="42" t="n">
        <f aca="false">IF(AND(N$5&gt;=ResSalesStart,N$5&lt;ResSalesStart+ResSalesMonths),ResUnits/ResSalesMonths,0)</f>
        <v>18</v>
      </c>
      <c r="O27" s="42" t="n">
        <f aca="false">IF(AND(O$5&gt;=ResSalesStart,O$5&lt;ResSalesStart+ResSalesMonths),ResUnits/ResSalesMonths,0)</f>
        <v>18</v>
      </c>
      <c r="P27" s="42" t="n">
        <f aca="false">IF(AND(P$5&gt;=ResSalesStart,P$5&lt;ResSalesStart+ResSalesMonths),ResUnits/ResSalesMonths,0)</f>
        <v>18</v>
      </c>
      <c r="Q27" s="42" t="n">
        <f aca="false">IF(AND(Q$5&gt;=ResSalesStart,Q$5&lt;ResSalesStart+ResSalesMonths),ResUnits/ResSalesMonths,0)</f>
        <v>18</v>
      </c>
      <c r="R27" s="42" t="n">
        <f aca="false">IF(AND(R$5&gt;=ResSalesStart,R$5&lt;ResSalesStart+ResSalesMonths),ResUnits/ResSalesMonths,0)</f>
        <v>18</v>
      </c>
      <c r="S27" s="42" t="n">
        <f aca="false">IF(AND(S$5&gt;=ResSalesStart,S$5&lt;ResSalesStart+ResSalesMonths),ResUnits/ResSalesMonths,0)</f>
        <v>18</v>
      </c>
      <c r="T27" s="42" t="n">
        <f aca="false">IF(AND(T$5&gt;=ResSalesStart,T$5&lt;ResSalesStart+ResSalesMonths),ResUnits/ResSalesMonths,0)</f>
        <v>18</v>
      </c>
      <c r="U27" s="42" t="n">
        <f aca="false">IF(AND(U$5&gt;=ResSalesStart,U$5&lt;ResSalesStart+ResSalesMonths),ResUnits/ResSalesMonths,0)</f>
        <v>18</v>
      </c>
      <c r="V27" s="42" t="n">
        <f aca="false">IF(AND(V$5&gt;=ResSalesStart,V$5&lt;ResSalesStart+ResSalesMonths),ResUnits/ResSalesMonths,0)</f>
        <v>18</v>
      </c>
      <c r="W27" s="42" t="n">
        <f aca="false">IF(AND(W$5&gt;=ResSalesStart,W$5&lt;ResSalesStart+ResSalesMonths),ResUnits/ResSalesMonths,0)</f>
        <v>18</v>
      </c>
      <c r="X27" s="42" t="n">
        <f aca="false">IF(AND(X$5&gt;=ResSalesStart,X$5&lt;ResSalesStart+ResSalesMonths),ResUnits/ResSalesMonths,0)</f>
        <v>18</v>
      </c>
      <c r="Y27" s="42" t="n">
        <f aca="false">IF(AND(Y$5&gt;=ResSalesStart,Y$5&lt;ResSalesStart+ResSalesMonths),ResUnits/ResSalesMonths,0)</f>
        <v>18</v>
      </c>
      <c r="Z27" s="42" t="n">
        <f aca="false">IF(AND(Z$5&gt;=ResSalesStart,Z$5&lt;ResSalesStart+ResSalesMonths),ResUnits/ResSalesMonths,0)</f>
        <v>18</v>
      </c>
      <c r="AA27" s="42" t="n">
        <f aca="false">IF(AND(AA$5&gt;=ResSalesStart,AA$5&lt;ResSalesStart+ResSalesMonths),ResUnits/ResSalesMonths,0)</f>
        <v>18</v>
      </c>
      <c r="AB27" s="42" t="n">
        <f aca="false">IF(AND(AB$5&gt;=ResSalesStart,AB$5&lt;ResSalesStart+ResSalesMonths),ResUnits/ResSalesMonths,0)</f>
        <v>18</v>
      </c>
      <c r="AC27" s="42" t="n">
        <f aca="false">IF(AND(AC$5&gt;=ResSalesStart,AC$5&lt;ResSalesStart+ResSalesMonths),ResUnits/ResSalesMonths,0)</f>
        <v>18</v>
      </c>
      <c r="AD27" s="42" t="n">
        <f aca="false">IF(AND(AD$5&gt;=ResSalesStart,AD$5&lt;ResSalesStart+ResSalesMonths),ResUnits/ResSalesMonths,0)</f>
        <v>18</v>
      </c>
      <c r="AE27" s="42" t="n">
        <f aca="false">IF(AND(AE$5&gt;=ResSalesStart,AE$5&lt;ResSalesStart+ResSalesMonths),ResUnits/ResSalesMonths,0)</f>
        <v>18</v>
      </c>
      <c r="AF27" s="42" t="n">
        <f aca="false">IF(AND(AF$5&gt;=ResSalesStart,AF$5&lt;ResSalesStart+ResSalesMonths),ResUnits/ResSalesMonths,0)</f>
        <v>18</v>
      </c>
      <c r="AG27" s="42" t="n">
        <f aca="false">IF(AND(AG$5&gt;=ResSalesStart,AG$5&lt;ResSalesStart+ResSalesMonths),ResUnits/ResSalesMonths,0)</f>
        <v>18</v>
      </c>
      <c r="AH27" s="42" t="n">
        <f aca="false">IF(AND(AH$5&gt;=ResSalesStart,AH$5&lt;ResSalesStart+ResSalesMonths),ResUnits/ResSalesMonths,0)</f>
        <v>18</v>
      </c>
      <c r="AI27" s="42" t="n">
        <f aca="false">IF(AND(AI$5&gt;=ResSalesStart,AI$5&lt;ResSalesStart+ResSalesMonths),ResUnits/ResSalesMonths,0)</f>
        <v>18</v>
      </c>
      <c r="AJ27" s="42" t="n">
        <f aca="false">IF(AND(AJ$5&gt;=ResSalesStart,AJ$5&lt;ResSalesStart+ResSalesMonths),ResUnits/ResSalesMonths,0)</f>
        <v>0</v>
      </c>
      <c r="AK27" s="42" t="n">
        <f aca="false">IF(AND(AK$5&gt;=ResSalesStart,AK$5&lt;ResSalesStart+ResSalesMonths),ResUnits/ResSalesMonths,0)</f>
        <v>0</v>
      </c>
      <c r="AL27" s="42" t="n">
        <f aca="false">IF(AND(AL$5&gt;=ResSalesStart,AL$5&lt;ResSalesStart+ResSalesMonths),ResUnits/ResSalesMonths,0)</f>
        <v>0</v>
      </c>
      <c r="AM27" s="42" t="n">
        <f aca="false">IF(AND(AM$5&gt;=ResSalesStart,AM$5&lt;ResSalesStart+ResSalesMonths),ResUnits/ResSalesMonths,0)</f>
        <v>0</v>
      </c>
      <c r="AN27" s="42" t="n">
        <f aca="false">IF(AND(AN$5&gt;=ResSalesStart,AN$5&lt;ResSalesStart+ResSalesMonths),ResUnits/ResSalesMonths,0)</f>
        <v>0</v>
      </c>
      <c r="AO27" s="42" t="n">
        <f aca="false">IF(AND(AO$5&gt;=ResSalesStart,AO$5&lt;ResSalesStart+ResSalesMonths),ResUnits/ResSalesMonths,0)</f>
        <v>0</v>
      </c>
      <c r="AP27" s="42" t="n">
        <f aca="false">IF(AND(AP$5&gt;=ResSalesStart,AP$5&lt;ResSalesStart+ResSalesMonths),ResUnits/ResSalesMonths,0)</f>
        <v>0</v>
      </c>
      <c r="AQ27" s="42" t="n">
        <f aca="false">IF(AND(AQ$5&gt;=ResSalesStart,AQ$5&lt;ResSalesStart+ResSalesMonths),ResUnits/ResSalesMonths,0)</f>
        <v>0</v>
      </c>
      <c r="AR27" s="42" t="n">
        <f aca="false">IF(AND(AR$5&gt;=ResSalesStart,AR$5&lt;ResSalesStart+ResSalesMonths),ResUnits/ResSalesMonths,0)</f>
        <v>0</v>
      </c>
      <c r="AS27" s="42" t="n">
        <f aca="false">IF(AND(AS$5&gt;=ResSalesStart,AS$5&lt;ResSalesStart+ResSalesMonths),ResUnits/ResSalesMonths,0)</f>
        <v>0</v>
      </c>
      <c r="AT27" s="42" t="n">
        <f aca="false">IF(AND(AT$5&gt;=ResSalesStart,AT$5&lt;ResSalesStart+ResSalesMonths),ResUnits/ResSalesMonths,0)</f>
        <v>0</v>
      </c>
      <c r="AU27" s="42" t="n">
        <f aca="false">IF(AND(AU$5&gt;=ResSalesStart,AU$5&lt;ResSalesStart+ResSalesMonths),ResUnits/ResSalesMonths,0)</f>
        <v>0</v>
      </c>
      <c r="AV27" s="42" t="n">
        <f aca="false">IF(AND(AV$5&gt;=ResSalesStart,AV$5&lt;ResSalesStart+ResSalesMonths),ResUnits/ResSalesMonths,0)</f>
        <v>0</v>
      </c>
      <c r="AW27" s="42" t="n">
        <f aca="false">IF(AND(AW$5&gt;=ResSalesStart,AW$5&lt;ResSalesStart+ResSalesMonths),ResUnits/ResSalesMonths,0)</f>
        <v>0</v>
      </c>
      <c r="AX27" s="42" t="n">
        <f aca="false">IF(AND(AX$5&gt;=ResSalesStart,AX$5&lt;ResSalesStart+ResSalesMonths),ResUnits/ResSalesMonths,0)</f>
        <v>0</v>
      </c>
      <c r="AY27" s="42" t="n">
        <f aca="false">IF(AND(AY$5&gt;=ResSalesStart,AY$5&lt;ResSalesStart+ResSalesMonths),ResUnits/ResSalesMonths,0)</f>
        <v>0</v>
      </c>
      <c r="AZ27" s="42" t="n">
        <f aca="false">IF(AND(AZ$5&gt;=ResSalesStart,AZ$5&lt;ResSalesStart+ResSalesMonths),ResUnits/ResSalesMonths,0)</f>
        <v>0</v>
      </c>
      <c r="BA27" s="42" t="n">
        <f aca="false">IF(AND(BA$5&gt;=ResSalesStart,BA$5&lt;ResSalesStart+ResSalesMonths),ResUnits/ResSalesMonths,0)</f>
        <v>0</v>
      </c>
      <c r="BB27" s="42" t="n">
        <f aca="false">IF(AND(BB$5&gt;=ResSalesStart,BB$5&lt;ResSalesStart+ResSalesMonths),ResUnits/ResSalesMonths,0)</f>
        <v>0</v>
      </c>
      <c r="BC27" s="42" t="n">
        <f aca="false">IF(AND(BC$5&gt;=ResSalesStart,BC$5&lt;ResSalesStart+ResSalesMonths),ResUnits/ResSalesMonths,0)</f>
        <v>0</v>
      </c>
      <c r="BD27" s="42" t="n">
        <f aca="false">IF(AND(BD$5&gt;=ResSalesStart,BD$5&lt;ResSalesStart+ResSalesMonths),ResUnits/ResSalesMonths,0)</f>
        <v>0</v>
      </c>
      <c r="BE27" s="42" t="n">
        <f aca="false">IF(AND(BE$5&gt;=ResSalesStart,BE$5&lt;ResSalesStart+ResSalesMonths),ResUnits/ResSalesMonths,0)</f>
        <v>0</v>
      </c>
      <c r="BF27" s="42" t="n">
        <f aca="false">IF(AND(BF$5&gt;=ResSalesStart,BF$5&lt;ResSalesStart+ResSalesMonths),ResUnits/ResSalesMonths,0)</f>
        <v>0</v>
      </c>
      <c r="BG27" s="42" t="n">
        <f aca="false">IF(AND(BG$5&gt;=ResSalesStart,BG$5&lt;ResSalesStart+ResSalesMonths),ResUnits/ResSalesMonths,0)</f>
        <v>0</v>
      </c>
      <c r="BH27" s="42" t="n">
        <f aca="false">IF(AND(BH$5&gt;=ResSalesStart,BH$5&lt;ResSalesStart+ResSalesMonths),ResUnits/ResSalesMonths,0)</f>
        <v>0</v>
      </c>
      <c r="BI27" s="42" t="n">
        <f aca="false">IF(AND(BI$5&gt;=ResSalesStart,BI$5&lt;ResSalesStart+ResSalesMonths),ResUnits/ResSalesMonths,0)</f>
        <v>0</v>
      </c>
      <c r="BJ27" s="42" t="n">
        <f aca="false">IF(AND(BJ$5&gt;=ResSalesStart,BJ$5&lt;ResSalesStart+ResSalesMonths),ResUnits/ResSalesMonths,0)</f>
        <v>0</v>
      </c>
      <c r="BK27" s="42" t="n">
        <f aca="false">IF(AND(BK$5&gt;=ResSalesStart,BK$5&lt;ResSalesStart+ResSalesMonths),ResUnits/ResSalesMonths,0)</f>
        <v>0</v>
      </c>
      <c r="BL27" s="42" t="n">
        <f aca="false">IF(AND(BL$5&gt;=ResSalesStart,BL$5&lt;ResSalesStart+ResSalesMonths),ResUnits/ResSalesMonths,0)</f>
        <v>0</v>
      </c>
      <c r="BM27" s="42" t="n">
        <f aca="false">IF(AND(BM$5&gt;=ResSalesStart,BM$5&lt;ResSalesStart+ResSalesMonths),ResUnits/ResSalesMonths,0)</f>
        <v>0</v>
      </c>
      <c r="BN27" s="42" t="n">
        <f aca="false">IF(AND(BN$5&gt;=ResSalesStart,BN$5&lt;ResSalesStart+ResSalesMonths),ResUnits/ResSalesMonths,0)</f>
        <v>0</v>
      </c>
      <c r="BO27" s="42" t="n">
        <f aca="false">IF(AND(BO$5&gt;=ResSalesStart,BO$5&lt;ResSalesStart+ResSalesMonths),ResUnits/ResSalesMonths,0)</f>
        <v>0</v>
      </c>
      <c r="BP27" s="42" t="n">
        <f aca="false">IF(AND(BP$5&gt;=ResSalesStart,BP$5&lt;ResSalesStart+ResSalesMonths),ResUnits/ResSalesMonths,0)</f>
        <v>0</v>
      </c>
      <c r="BQ27" s="42" t="n">
        <f aca="false">IF(AND(BQ$5&gt;=ResSalesStart,BQ$5&lt;ResSalesStart+ResSalesMonths),ResUnits/ResSalesMonths,0)</f>
        <v>0</v>
      </c>
      <c r="BR27" s="42" t="n">
        <f aca="false">IF(AND(BR$5&gt;=ResSalesStart,BR$5&lt;ResSalesStart+ResSalesMonths),ResUnits/ResSalesMonths,0)</f>
        <v>0</v>
      </c>
      <c r="BS27" s="42" t="n">
        <f aca="false">IF(AND(BS$5&gt;=ResSalesStart,BS$5&lt;ResSalesStart+ResSalesMonths),ResUnits/ResSalesMonths,0)</f>
        <v>0</v>
      </c>
      <c r="BT27" s="42" t="n">
        <f aca="false">IF(AND(BT$5&gt;=ResSalesStart,BT$5&lt;ResSalesStart+ResSalesMonths),ResUnits/ResSalesMonths,0)</f>
        <v>0</v>
      </c>
      <c r="BU27" s="42" t="n">
        <f aca="false">IF(AND(BU$5&gt;=ResSalesStart,BU$5&lt;ResSalesStart+ResSalesMonths),ResUnits/ResSalesMonths,0)</f>
        <v>0</v>
      </c>
      <c r="BV27" s="42" t="n">
        <f aca="false">IF(AND(BV$5&gt;=ResSalesStart,BV$5&lt;ResSalesStart+ResSalesMonths),ResUnits/ResSalesMonths,0)</f>
        <v>0</v>
      </c>
      <c r="BW27" s="42" t="n">
        <f aca="false">IF(AND(BW$5&gt;=ResSalesStart,BW$5&lt;ResSalesStart+ResSalesMonths),ResUnits/ResSalesMonths,0)</f>
        <v>0</v>
      </c>
      <c r="BX27" s="42" t="n">
        <f aca="false">IF(AND(BX$5&gt;=ResSalesStart,BX$5&lt;ResSalesStart+ResSalesMonths),ResUnits/ResSalesMonths,0)</f>
        <v>0</v>
      </c>
      <c r="BY27" s="42" t="n">
        <f aca="false">IF(AND(BY$5&gt;=ResSalesStart,BY$5&lt;ResSalesStart+ResSalesMonths),ResUnits/ResSalesMonths,0)</f>
        <v>0</v>
      </c>
      <c r="BZ27" s="42" t="n">
        <f aca="false">IF(AND(BZ$5&gt;=ResSalesStart,BZ$5&lt;ResSalesStart+ResSalesMonths),ResUnits/ResSalesMonths,0)</f>
        <v>0</v>
      </c>
      <c r="CA27" s="42" t="n">
        <f aca="false">IF(AND(CA$5&gt;=ResSalesStart,CA$5&lt;ResSalesStart+ResSalesMonths),ResUnits/ResSalesMonths,0)</f>
        <v>0</v>
      </c>
      <c r="CB27" s="42" t="n">
        <f aca="false">IF(AND(CB$5&gt;=ResSalesStart,CB$5&lt;ResSalesStart+ResSalesMonths),ResUnits/ResSalesMonths,0)</f>
        <v>0</v>
      </c>
      <c r="CC27" s="42" t="n">
        <f aca="false">IF(AND(CC$5&gt;=ResSalesStart,CC$5&lt;ResSalesStart+ResSalesMonths),ResUnits/ResSalesMonths,0)</f>
        <v>0</v>
      </c>
      <c r="CD27" s="42" t="n">
        <f aca="false">IF(AND(CD$5&gt;=ResSalesStart,CD$5&lt;ResSalesStart+ResSalesMonths),ResUnits/ResSalesMonths,0)</f>
        <v>0</v>
      </c>
      <c r="CE27" s="42" t="n">
        <f aca="false">IF(AND(CE$5&gt;=ResSalesStart,CE$5&lt;ResSalesStart+ResSalesMonths),ResUnits/ResSalesMonths,0)</f>
        <v>0</v>
      </c>
      <c r="CF27" s="42" t="n">
        <f aca="false">IF(AND(CF$5&gt;=ResSalesStart,CF$5&lt;ResSalesStart+ResSalesMonths),ResUnits/ResSalesMonths,0)</f>
        <v>0</v>
      </c>
      <c r="CG27" s="42" t="n">
        <f aca="false">IF(AND(CG$5&gt;=ResSalesStart,CG$5&lt;ResSalesStart+ResSalesMonths),ResUnits/ResSalesMonths,0)</f>
        <v>0</v>
      </c>
      <c r="CH27" s="42" t="n">
        <f aca="false">IF(AND(CH$5&gt;=ResSalesStart,CH$5&lt;ResSalesStart+ResSalesMonths),ResUnits/ResSalesMonths,0)</f>
        <v>0</v>
      </c>
      <c r="CI27" s="42" t="n">
        <f aca="false">IF(AND(CI$5&gt;=ResSalesStart,CI$5&lt;ResSalesStart+ResSalesMonths),ResUnits/ResSalesMonths,0)</f>
        <v>0</v>
      </c>
      <c r="CJ27" s="42" t="n">
        <f aca="false">IF(AND(CJ$5&gt;=ResSalesStart,CJ$5&lt;ResSalesStart+ResSalesMonths),ResUnits/ResSalesMonths,0)</f>
        <v>0</v>
      </c>
      <c r="CK27" s="42" t="n">
        <f aca="false">IF(AND(CK$5&gt;=ResSalesStart,CK$5&lt;ResSalesStart+ResSalesMonths),ResUnits/ResSalesMonths,0)</f>
        <v>0</v>
      </c>
      <c r="CL27" s="42" t="n">
        <f aca="false">IF(AND(CL$5&gt;=ResSalesStart,CL$5&lt;ResSalesStart+ResSalesMonths),ResUnits/ResSalesMonths,0)</f>
        <v>0</v>
      </c>
      <c r="CM27" s="42" t="n">
        <f aca="false">IF(AND(CM$5&gt;=ResSalesStart,CM$5&lt;ResSalesStart+ResSalesMonths),ResUnits/ResSalesMonths,0)</f>
        <v>0</v>
      </c>
      <c r="CN27" s="42" t="n">
        <f aca="false">IF(AND(CN$5&gt;=ResSalesStart,CN$5&lt;ResSalesStart+ResSalesMonths),ResUnits/ResSalesMonths,0)</f>
        <v>0</v>
      </c>
      <c r="CO27" s="42" t="n">
        <f aca="false">IF(AND(CO$5&gt;=ResSalesStart,CO$5&lt;ResSalesStart+ResSalesMonths),ResUnits/ResSalesMonths,0)</f>
        <v>0</v>
      </c>
      <c r="CP27" s="42" t="n">
        <f aca="false">IF(AND(CP$5&gt;=ResSalesStart,CP$5&lt;ResSalesStart+ResSalesMonths),ResUnits/ResSalesMonths,0)</f>
        <v>0</v>
      </c>
      <c r="CQ27" s="42" t="n">
        <f aca="false">IF(AND(CQ$5&gt;=ResSalesStart,CQ$5&lt;ResSalesStart+ResSalesMonths),ResUnits/ResSalesMonths,0)</f>
        <v>0</v>
      </c>
      <c r="CR27" s="42" t="n">
        <f aca="false">IF(AND(CR$5&gt;=ResSalesStart,CR$5&lt;ResSalesStart+ResSalesMonths),ResUnits/ResSalesMonths,0)</f>
        <v>0</v>
      </c>
      <c r="CS27" s="42" t="n">
        <f aca="false">IF(AND(CS$5&gt;=ResSalesStart,CS$5&lt;ResSalesStart+ResSalesMonths),ResUnits/ResSalesMonths,0)</f>
        <v>0</v>
      </c>
      <c r="CT27" s="42" t="n">
        <f aca="false">IF(AND(CT$5&gt;=ResSalesStart,CT$5&lt;ResSalesStart+ResSalesMonths),ResUnits/ResSalesMonths,0)</f>
        <v>0</v>
      </c>
      <c r="CU27" s="42" t="n">
        <f aca="false">IF(AND(CU$5&gt;=ResSalesStart,CU$5&lt;ResSalesStart+ResSalesMonths),ResUnits/ResSalesMonths,0)</f>
        <v>0</v>
      </c>
    </row>
    <row r="28" customFormat="false" ht="15" hidden="false" customHeight="false" outlineLevel="0" collapsed="false">
      <c r="A28" s="35" t="s">
        <v>120</v>
      </c>
      <c r="B28" s="26" t="n">
        <f aca="false">SUM(C28:CU28)</f>
        <v>945000000</v>
      </c>
      <c r="C28" s="40" t="n">
        <f aca="false">C27*ResPrice</f>
        <v>0</v>
      </c>
      <c r="D28" s="40" t="n">
        <f aca="false">D27*ResPrice</f>
        <v>0</v>
      </c>
      <c r="E28" s="40" t="n">
        <f aca="false">E27*ResPrice</f>
        <v>0</v>
      </c>
      <c r="F28" s="40" t="n">
        <f aca="false">F27*ResPrice</f>
        <v>31500000</v>
      </c>
      <c r="G28" s="40" t="n">
        <f aca="false">G27*ResPrice</f>
        <v>31500000</v>
      </c>
      <c r="H28" s="40" t="n">
        <f aca="false">H27*ResPrice</f>
        <v>31500000</v>
      </c>
      <c r="I28" s="40" t="n">
        <f aca="false">I27*ResPrice</f>
        <v>31500000</v>
      </c>
      <c r="J28" s="40" t="n">
        <f aca="false">J27*ResPrice</f>
        <v>31500000</v>
      </c>
      <c r="K28" s="40" t="n">
        <f aca="false">K27*ResPrice</f>
        <v>31500000</v>
      </c>
      <c r="L28" s="40" t="n">
        <f aca="false">L27*ResPrice</f>
        <v>31500000</v>
      </c>
      <c r="M28" s="40" t="n">
        <f aca="false">M27*ResPrice</f>
        <v>31500000</v>
      </c>
      <c r="N28" s="40" t="n">
        <f aca="false">N27*ResPrice</f>
        <v>31500000</v>
      </c>
      <c r="O28" s="40" t="n">
        <f aca="false">O27*ResPrice</f>
        <v>31500000</v>
      </c>
      <c r="P28" s="40" t="n">
        <f aca="false">P27*ResPrice</f>
        <v>31500000</v>
      </c>
      <c r="Q28" s="40" t="n">
        <f aca="false">Q27*ResPrice</f>
        <v>31500000</v>
      </c>
      <c r="R28" s="40" t="n">
        <f aca="false">R27*ResPrice</f>
        <v>31500000</v>
      </c>
      <c r="S28" s="40" t="n">
        <f aca="false">S27*ResPrice</f>
        <v>31500000</v>
      </c>
      <c r="T28" s="40" t="n">
        <f aca="false">T27*ResPrice</f>
        <v>31500000</v>
      </c>
      <c r="U28" s="40" t="n">
        <f aca="false">U27*ResPrice</f>
        <v>31500000</v>
      </c>
      <c r="V28" s="40" t="n">
        <f aca="false">V27*ResPrice</f>
        <v>31500000</v>
      </c>
      <c r="W28" s="40" t="n">
        <f aca="false">W27*ResPrice</f>
        <v>31500000</v>
      </c>
      <c r="X28" s="40" t="n">
        <f aca="false">X27*ResPrice</f>
        <v>31500000</v>
      </c>
      <c r="Y28" s="40" t="n">
        <f aca="false">Y27*ResPrice</f>
        <v>31500000</v>
      </c>
      <c r="Z28" s="40" t="n">
        <f aca="false">Z27*ResPrice</f>
        <v>31500000</v>
      </c>
      <c r="AA28" s="40" t="n">
        <f aca="false">AA27*ResPrice</f>
        <v>31500000</v>
      </c>
      <c r="AB28" s="40" t="n">
        <f aca="false">AB27*ResPrice</f>
        <v>31500000</v>
      </c>
      <c r="AC28" s="40" t="n">
        <f aca="false">AC27*ResPrice</f>
        <v>31500000</v>
      </c>
      <c r="AD28" s="40" t="n">
        <f aca="false">AD27*ResPrice</f>
        <v>31500000</v>
      </c>
      <c r="AE28" s="40" t="n">
        <f aca="false">AE27*ResPrice</f>
        <v>31500000</v>
      </c>
      <c r="AF28" s="40" t="n">
        <f aca="false">AF27*ResPrice</f>
        <v>31500000</v>
      </c>
      <c r="AG28" s="40" t="n">
        <f aca="false">AG27*ResPrice</f>
        <v>31500000</v>
      </c>
      <c r="AH28" s="40" t="n">
        <f aca="false">AH27*ResPrice</f>
        <v>31500000</v>
      </c>
      <c r="AI28" s="40" t="n">
        <f aca="false">AI27*ResPrice</f>
        <v>31500000</v>
      </c>
      <c r="AJ28" s="40" t="n">
        <f aca="false">AJ27*ResPrice</f>
        <v>0</v>
      </c>
      <c r="AK28" s="40" t="n">
        <f aca="false">AK27*ResPrice</f>
        <v>0</v>
      </c>
      <c r="AL28" s="40" t="n">
        <f aca="false">AL27*ResPrice</f>
        <v>0</v>
      </c>
      <c r="AM28" s="40" t="n">
        <f aca="false">AM27*ResPrice</f>
        <v>0</v>
      </c>
      <c r="AN28" s="40" t="n">
        <f aca="false">AN27*ResPrice</f>
        <v>0</v>
      </c>
      <c r="AO28" s="40" t="n">
        <f aca="false">AO27*ResPrice</f>
        <v>0</v>
      </c>
      <c r="AP28" s="40" t="n">
        <f aca="false">AP27*ResPrice</f>
        <v>0</v>
      </c>
      <c r="AQ28" s="40" t="n">
        <f aca="false">AQ27*ResPrice</f>
        <v>0</v>
      </c>
      <c r="AR28" s="40" t="n">
        <f aca="false">AR27*ResPrice</f>
        <v>0</v>
      </c>
      <c r="AS28" s="40" t="n">
        <f aca="false">AS27*ResPrice</f>
        <v>0</v>
      </c>
      <c r="AT28" s="40" t="n">
        <f aca="false">AT27*ResPrice</f>
        <v>0</v>
      </c>
      <c r="AU28" s="40" t="n">
        <f aca="false">AU27*ResPrice</f>
        <v>0</v>
      </c>
      <c r="AV28" s="40" t="n">
        <f aca="false">AV27*ResPrice</f>
        <v>0</v>
      </c>
      <c r="AW28" s="40" t="n">
        <f aca="false">AW27*ResPrice</f>
        <v>0</v>
      </c>
      <c r="AX28" s="40" t="n">
        <f aca="false">AX27*ResPrice</f>
        <v>0</v>
      </c>
      <c r="AY28" s="40" t="n">
        <f aca="false">AY27*ResPrice</f>
        <v>0</v>
      </c>
      <c r="AZ28" s="40" t="n">
        <f aca="false">AZ27*ResPrice</f>
        <v>0</v>
      </c>
      <c r="BA28" s="40" t="n">
        <f aca="false">BA27*ResPrice</f>
        <v>0</v>
      </c>
      <c r="BB28" s="40" t="n">
        <f aca="false">BB27*ResPrice</f>
        <v>0</v>
      </c>
      <c r="BC28" s="40" t="n">
        <f aca="false">BC27*ResPrice</f>
        <v>0</v>
      </c>
      <c r="BD28" s="40" t="n">
        <f aca="false">BD27*ResPrice</f>
        <v>0</v>
      </c>
      <c r="BE28" s="40" t="n">
        <f aca="false">BE27*ResPrice</f>
        <v>0</v>
      </c>
      <c r="BF28" s="40" t="n">
        <f aca="false">BF27*ResPrice</f>
        <v>0</v>
      </c>
      <c r="BG28" s="40" t="n">
        <f aca="false">BG27*ResPrice</f>
        <v>0</v>
      </c>
      <c r="BH28" s="40" t="n">
        <f aca="false">BH27*ResPrice</f>
        <v>0</v>
      </c>
      <c r="BI28" s="40" t="n">
        <f aca="false">BI27*ResPrice</f>
        <v>0</v>
      </c>
      <c r="BJ28" s="40" t="n">
        <f aca="false">BJ27*ResPrice</f>
        <v>0</v>
      </c>
      <c r="BK28" s="40" t="n">
        <f aca="false">BK27*ResPrice</f>
        <v>0</v>
      </c>
      <c r="BL28" s="40" t="n">
        <f aca="false">BL27*ResPrice</f>
        <v>0</v>
      </c>
      <c r="BM28" s="40" t="n">
        <f aca="false">BM27*ResPrice</f>
        <v>0</v>
      </c>
      <c r="BN28" s="40" t="n">
        <f aca="false">BN27*ResPrice</f>
        <v>0</v>
      </c>
      <c r="BO28" s="40" t="n">
        <f aca="false">BO27*ResPrice</f>
        <v>0</v>
      </c>
      <c r="BP28" s="40" t="n">
        <f aca="false">BP27*ResPrice</f>
        <v>0</v>
      </c>
      <c r="BQ28" s="40" t="n">
        <f aca="false">BQ27*ResPrice</f>
        <v>0</v>
      </c>
      <c r="BR28" s="40" t="n">
        <f aca="false">BR27*ResPrice</f>
        <v>0</v>
      </c>
      <c r="BS28" s="40" t="n">
        <f aca="false">BS27*ResPrice</f>
        <v>0</v>
      </c>
      <c r="BT28" s="40" t="n">
        <f aca="false">BT27*ResPrice</f>
        <v>0</v>
      </c>
      <c r="BU28" s="40" t="n">
        <f aca="false">BU27*ResPrice</f>
        <v>0</v>
      </c>
      <c r="BV28" s="40" t="n">
        <f aca="false">BV27*ResPrice</f>
        <v>0</v>
      </c>
      <c r="BW28" s="40" t="n">
        <f aca="false">BW27*ResPrice</f>
        <v>0</v>
      </c>
      <c r="BX28" s="40" t="n">
        <f aca="false">BX27*ResPrice</f>
        <v>0</v>
      </c>
      <c r="BY28" s="40" t="n">
        <f aca="false">BY27*ResPrice</f>
        <v>0</v>
      </c>
      <c r="BZ28" s="40" t="n">
        <f aca="false">BZ27*ResPrice</f>
        <v>0</v>
      </c>
      <c r="CA28" s="40" t="n">
        <f aca="false">CA27*ResPrice</f>
        <v>0</v>
      </c>
      <c r="CB28" s="40" t="n">
        <f aca="false">CB27*ResPrice</f>
        <v>0</v>
      </c>
      <c r="CC28" s="40" t="n">
        <f aca="false">CC27*ResPrice</f>
        <v>0</v>
      </c>
      <c r="CD28" s="40" t="n">
        <f aca="false">CD27*ResPrice</f>
        <v>0</v>
      </c>
      <c r="CE28" s="40" t="n">
        <f aca="false">CE27*ResPrice</f>
        <v>0</v>
      </c>
      <c r="CF28" s="40" t="n">
        <f aca="false">CF27*ResPrice</f>
        <v>0</v>
      </c>
      <c r="CG28" s="40" t="n">
        <f aca="false">CG27*ResPrice</f>
        <v>0</v>
      </c>
      <c r="CH28" s="40" t="n">
        <f aca="false">CH27*ResPrice</f>
        <v>0</v>
      </c>
      <c r="CI28" s="40" t="n">
        <f aca="false">CI27*ResPrice</f>
        <v>0</v>
      </c>
      <c r="CJ28" s="40" t="n">
        <f aca="false">CJ27*ResPrice</f>
        <v>0</v>
      </c>
      <c r="CK28" s="40" t="n">
        <f aca="false">CK27*ResPrice</f>
        <v>0</v>
      </c>
      <c r="CL28" s="40" t="n">
        <f aca="false">CL27*ResPrice</f>
        <v>0</v>
      </c>
      <c r="CM28" s="40" t="n">
        <f aca="false">CM27*ResPrice</f>
        <v>0</v>
      </c>
      <c r="CN28" s="40" t="n">
        <f aca="false">CN27*ResPrice</f>
        <v>0</v>
      </c>
      <c r="CO28" s="40" t="n">
        <f aca="false">CO27*ResPrice</f>
        <v>0</v>
      </c>
      <c r="CP28" s="40" t="n">
        <f aca="false">CP27*ResPrice</f>
        <v>0</v>
      </c>
      <c r="CQ28" s="40" t="n">
        <f aca="false">CQ27*ResPrice</f>
        <v>0</v>
      </c>
      <c r="CR28" s="40" t="n">
        <f aca="false">CR27*ResPrice</f>
        <v>0</v>
      </c>
      <c r="CS28" s="40" t="n">
        <f aca="false">CS27*ResPrice</f>
        <v>0</v>
      </c>
      <c r="CT28" s="40" t="n">
        <f aca="false">CT27*ResPrice</f>
        <v>0</v>
      </c>
      <c r="CU28" s="40" t="n">
        <f aca="false">CU27*ResPrice</f>
        <v>0</v>
      </c>
    </row>
    <row r="29" customFormat="false" ht="15" hidden="false" customHeight="false" outlineLevel="0" collapsed="false">
      <c r="A29" s="35" t="s">
        <v>121</v>
      </c>
      <c r="C29" s="40" t="n">
        <f aca="false">C28*(1-ResDeposit)</f>
        <v>0</v>
      </c>
      <c r="D29" s="40" t="n">
        <f aca="false">C31+D28*(1-ResDeposit)</f>
        <v>0</v>
      </c>
      <c r="E29" s="40" t="n">
        <f aca="false">D31+E28*(1-ResDeposit)</f>
        <v>0</v>
      </c>
      <c r="F29" s="40" t="n">
        <f aca="false">E31+F28*(1-ResDeposit)</f>
        <v>28350000</v>
      </c>
      <c r="G29" s="40" t="n">
        <f aca="false">F31+G28*(1-ResDeposit)</f>
        <v>56311741.6902809</v>
      </c>
      <c r="H29" s="40" t="n">
        <f aca="false">G31+H28*(1-ResDeposit)</f>
        <v>83579090.8148554</v>
      </c>
      <c r="I29" s="40" t="n">
        <f aca="false">H31+I28*(1-ResDeposit)</f>
        <v>109853528.47006</v>
      </c>
      <c r="J29" s="40" t="n">
        <f aca="false">I31+J28*(1-ResDeposit)</f>
        <v>134847424.682085</v>
      </c>
      <c r="K29" s="40" t="n">
        <f aca="false">J31+K28*(1-ResDeposit)</f>
        <v>158287193.12446</v>
      </c>
      <c r="L29" s="40" t="n">
        <f aca="false">K31+L28*(1-ResDeposit)</f>
        <v>179916292.586341</v>
      </c>
      <c r="M29" s="40" t="n">
        <f aca="false">L31+M28*(1-ResDeposit)</f>
        <v>199498042.53629</v>
      </c>
      <c r="N29" s="40" t="n">
        <f aca="false">M31+N28*(1-ResDeposit)</f>
        <v>216818222.243768</v>
      </c>
      <c r="O29" s="40" t="n">
        <f aca="false">N31+O28*(1-ResDeposit)</f>
        <v>231687425.411241</v>
      </c>
      <c r="P29" s="40" t="n">
        <f aca="false">O31+P28*(1-ResDeposit)</f>
        <v>243943145.127129</v>
      </c>
      <c r="Q29" s="40" t="n">
        <f aca="false">P31+Q28*(1-ResDeposit)</f>
        <v>253451567.176073</v>
      </c>
      <c r="R29" s="40" t="n">
        <f aca="false">Q31+R28*(1-ResDeposit)</f>
        <v>260109053.359474</v>
      </c>
      <c r="S29" s="40" t="n">
        <f aca="false">R31+S28*(1-ResDeposit)</f>
        <v>263843300.543803</v>
      </c>
      <c r="T29" s="40" t="n">
        <f aca="false">S31+T28*(1-ResDeposit)</f>
        <v>264614165.794494</v>
      </c>
      <c r="U29" s="40" t="n">
        <f aca="false">T31+U28*(1-ResDeposit)</f>
        <v>262414153.434368</v>
      </c>
      <c r="V29" s="40" t="n">
        <f aca="false">U31+V28*(1-ResDeposit)</f>
        <v>257268566.726271</v>
      </c>
      <c r="W29" s="40" t="n">
        <f aca="false">V31+W28*(1-ResDeposit)</f>
        <v>249235336.230577</v>
      </c>
      <c r="X29" s="40" t="n">
        <f aca="false">W31+X28*(1-ResDeposit)</f>
        <v>238404551.087353</v>
      </c>
      <c r="Y29" s="40" t="n">
        <f aca="false">X31+Y28*(1-ResDeposit)</f>
        <v>224897743.757599</v>
      </c>
      <c r="Z29" s="40" t="n">
        <f aca="false">Y31+Z28*(1-ResDeposit)</f>
        <v>208867025.46347</v>
      </c>
      <c r="AA29" s="40" t="n">
        <f aca="false">Z31+AA28*(1-ResDeposit)</f>
        <v>190494269.940011</v>
      </c>
      <c r="AB29" s="40" t="n">
        <f aca="false">AA31+AB28*(1-ResDeposit)</f>
        <v>169990783.741702</v>
      </c>
      <c r="AC29" s="40" t="n">
        <f aca="false">AB31+AC28*(1-ResDeposit)</f>
        <v>147598550.611216</v>
      </c>
      <c r="AD29" s="40" t="n">
        <f aca="false">AC31+AD28*(1-ResDeposit)</f>
        <v>123596154.91415</v>
      </c>
      <c r="AE29" s="40" t="n">
        <f aca="false">AD31+AE28*(1-ResDeposit)</f>
        <v>98320023.8885676</v>
      </c>
      <c r="AF29" s="40" t="n">
        <f aca="false">AE31+AF28*(1-ResDeposit)</f>
        <v>72248150.5859174</v>
      </c>
      <c r="AG29" s="40" t="n">
        <f aca="false">AF31+AG28*(1-ResDeposit)</f>
        <v>46461646.393477</v>
      </c>
      <c r="AH29" s="40" t="n">
        <f aca="false">AG31+AH28*(1-ResDeposit)</f>
        <v>28350000</v>
      </c>
      <c r="AI29" s="40" t="n">
        <f aca="false">AH31+AI28*(1-ResDeposit)</f>
        <v>28350000</v>
      </c>
      <c r="AJ29" s="40" t="n">
        <f aca="false">AI31+AJ28*(1-ResDeposit)</f>
        <v>0</v>
      </c>
      <c r="AK29" s="40" t="n">
        <f aca="false">AJ31+AK28*(1-ResDeposit)</f>
        <v>0</v>
      </c>
      <c r="AL29" s="40" t="n">
        <f aca="false">AK31+AL28*(1-ResDeposit)</f>
        <v>0</v>
      </c>
      <c r="AM29" s="40" t="n">
        <f aca="false">AL31+AM28*(1-ResDeposit)</f>
        <v>0</v>
      </c>
      <c r="AN29" s="40" t="n">
        <f aca="false">AM31+AN28*(1-ResDeposit)</f>
        <v>0</v>
      </c>
      <c r="AO29" s="40" t="n">
        <f aca="false">AN31+AO28*(1-ResDeposit)</f>
        <v>0</v>
      </c>
      <c r="AP29" s="40" t="n">
        <f aca="false">AO31+AP28*(1-ResDeposit)</f>
        <v>0</v>
      </c>
      <c r="AQ29" s="40" t="n">
        <f aca="false">AP31+AQ28*(1-ResDeposit)</f>
        <v>0</v>
      </c>
      <c r="AR29" s="40" t="n">
        <f aca="false">AQ31+AR28*(1-ResDeposit)</f>
        <v>0</v>
      </c>
      <c r="AS29" s="40" t="n">
        <f aca="false">AR31+AS28*(1-ResDeposit)</f>
        <v>0</v>
      </c>
      <c r="AT29" s="40" t="n">
        <f aca="false">AS31+AT28*(1-ResDeposit)</f>
        <v>0</v>
      </c>
      <c r="AU29" s="40" t="n">
        <f aca="false">AT31+AU28*(1-ResDeposit)</f>
        <v>0</v>
      </c>
      <c r="AV29" s="40" t="n">
        <f aca="false">AU31+AV28*(1-ResDeposit)</f>
        <v>0</v>
      </c>
      <c r="AW29" s="40" t="n">
        <f aca="false">AV31+AW28*(1-ResDeposit)</f>
        <v>0</v>
      </c>
      <c r="AX29" s="40" t="n">
        <f aca="false">AW31+AX28*(1-ResDeposit)</f>
        <v>0</v>
      </c>
      <c r="AY29" s="40" t="n">
        <f aca="false">AX31+AY28*(1-ResDeposit)</f>
        <v>0</v>
      </c>
      <c r="AZ29" s="40" t="n">
        <f aca="false">AY31+AZ28*(1-ResDeposit)</f>
        <v>0</v>
      </c>
      <c r="BA29" s="40" t="n">
        <f aca="false">AZ31+BA28*(1-ResDeposit)</f>
        <v>0</v>
      </c>
      <c r="BB29" s="40" t="n">
        <f aca="false">BA31+BB28*(1-ResDeposit)</f>
        <v>0</v>
      </c>
      <c r="BC29" s="40" t="n">
        <f aca="false">BB31+BC28*(1-ResDeposit)</f>
        <v>0</v>
      </c>
      <c r="BD29" s="40" t="n">
        <f aca="false">BC31+BD28*(1-ResDeposit)</f>
        <v>0</v>
      </c>
      <c r="BE29" s="40" t="n">
        <f aca="false">BD31+BE28*(1-ResDeposit)</f>
        <v>0</v>
      </c>
      <c r="BF29" s="40" t="n">
        <f aca="false">BE31+BF28*(1-ResDeposit)</f>
        <v>0</v>
      </c>
      <c r="BG29" s="40" t="n">
        <f aca="false">BF31+BG28*(1-ResDeposit)</f>
        <v>0</v>
      </c>
      <c r="BH29" s="40" t="n">
        <f aca="false">BG31+BH28*(1-ResDeposit)</f>
        <v>0</v>
      </c>
      <c r="BI29" s="40" t="n">
        <f aca="false">BH31+BI28*(1-ResDeposit)</f>
        <v>0</v>
      </c>
      <c r="BJ29" s="40" t="n">
        <f aca="false">BI31+BJ28*(1-ResDeposit)</f>
        <v>0</v>
      </c>
      <c r="BK29" s="40" t="n">
        <f aca="false">BJ31+BK28*(1-ResDeposit)</f>
        <v>0</v>
      </c>
      <c r="BL29" s="40" t="n">
        <f aca="false">BK31+BL28*(1-ResDeposit)</f>
        <v>0</v>
      </c>
      <c r="BM29" s="40" t="n">
        <f aca="false">BL31+BM28*(1-ResDeposit)</f>
        <v>0</v>
      </c>
      <c r="BN29" s="40" t="n">
        <f aca="false">BM31+BN28*(1-ResDeposit)</f>
        <v>0</v>
      </c>
      <c r="BO29" s="40" t="n">
        <f aca="false">BN31+BO28*(1-ResDeposit)</f>
        <v>0</v>
      </c>
      <c r="BP29" s="40" t="n">
        <f aca="false">BO31+BP28*(1-ResDeposit)</f>
        <v>0</v>
      </c>
      <c r="BQ29" s="40" t="n">
        <f aca="false">BP31+BQ28*(1-ResDeposit)</f>
        <v>0</v>
      </c>
      <c r="BR29" s="40" t="n">
        <f aca="false">BQ31+BR28*(1-ResDeposit)</f>
        <v>0</v>
      </c>
      <c r="BS29" s="40" t="n">
        <f aca="false">BR31+BS28*(1-ResDeposit)</f>
        <v>0</v>
      </c>
      <c r="BT29" s="40" t="n">
        <f aca="false">BS31+BT28*(1-ResDeposit)</f>
        <v>0</v>
      </c>
      <c r="BU29" s="40" t="n">
        <f aca="false">BT31+BU28*(1-ResDeposit)</f>
        <v>0</v>
      </c>
      <c r="BV29" s="40" t="n">
        <f aca="false">BU31+BV28*(1-ResDeposit)</f>
        <v>0</v>
      </c>
      <c r="BW29" s="40" t="n">
        <f aca="false">BV31+BW28*(1-ResDeposit)</f>
        <v>0</v>
      </c>
      <c r="BX29" s="40" t="n">
        <f aca="false">BW31+BX28*(1-ResDeposit)</f>
        <v>0</v>
      </c>
      <c r="BY29" s="40" t="n">
        <f aca="false">BX31+BY28*(1-ResDeposit)</f>
        <v>0</v>
      </c>
      <c r="BZ29" s="40" t="n">
        <f aca="false">BY31+BZ28*(1-ResDeposit)</f>
        <v>0</v>
      </c>
      <c r="CA29" s="40" t="n">
        <f aca="false">BZ31+CA28*(1-ResDeposit)</f>
        <v>0</v>
      </c>
      <c r="CB29" s="40" t="n">
        <f aca="false">CA31+CB28*(1-ResDeposit)</f>
        <v>0</v>
      </c>
      <c r="CC29" s="40" t="n">
        <f aca="false">CB31+CC28*(1-ResDeposit)</f>
        <v>0</v>
      </c>
      <c r="CD29" s="40" t="n">
        <f aca="false">CC31+CD28*(1-ResDeposit)</f>
        <v>0</v>
      </c>
      <c r="CE29" s="40" t="n">
        <f aca="false">CD31+CE28*(1-ResDeposit)</f>
        <v>0</v>
      </c>
      <c r="CF29" s="40" t="n">
        <f aca="false">CE31+CF28*(1-ResDeposit)</f>
        <v>0</v>
      </c>
      <c r="CG29" s="40" t="n">
        <f aca="false">CF31+CG28*(1-ResDeposit)</f>
        <v>0</v>
      </c>
      <c r="CH29" s="40" t="n">
        <f aca="false">CG31+CH28*(1-ResDeposit)</f>
        <v>0</v>
      </c>
      <c r="CI29" s="40" t="n">
        <f aca="false">CH31+CI28*(1-ResDeposit)</f>
        <v>0</v>
      </c>
      <c r="CJ29" s="40" t="n">
        <f aca="false">CI31+CJ28*(1-ResDeposit)</f>
        <v>0</v>
      </c>
      <c r="CK29" s="40" t="n">
        <f aca="false">CJ31+CK28*(1-ResDeposit)</f>
        <v>0</v>
      </c>
      <c r="CL29" s="40" t="n">
        <f aca="false">CK31+CL28*(1-ResDeposit)</f>
        <v>0</v>
      </c>
      <c r="CM29" s="40" t="n">
        <f aca="false">CL31+CM28*(1-ResDeposit)</f>
        <v>0</v>
      </c>
      <c r="CN29" s="40" t="n">
        <f aca="false">CM31+CN28*(1-ResDeposit)</f>
        <v>0</v>
      </c>
      <c r="CO29" s="40" t="n">
        <f aca="false">CN31+CO28*(1-ResDeposit)</f>
        <v>0</v>
      </c>
      <c r="CP29" s="40" t="n">
        <f aca="false">CO31+CP28*(1-ResDeposit)</f>
        <v>0</v>
      </c>
      <c r="CQ29" s="40" t="n">
        <f aca="false">CP31+CQ28*(1-ResDeposit)</f>
        <v>0</v>
      </c>
      <c r="CR29" s="40" t="n">
        <f aca="false">CQ31+CR28*(1-ResDeposit)</f>
        <v>0</v>
      </c>
      <c r="CS29" s="40" t="n">
        <f aca="false">CR31+CS28*(1-ResDeposit)</f>
        <v>0</v>
      </c>
      <c r="CT29" s="40" t="n">
        <f aca="false">CS31+CT28*(1-ResDeposit)</f>
        <v>0</v>
      </c>
      <c r="CU29" s="40" t="n">
        <f aca="false">CT31+CU28*(1-ResDeposit)</f>
        <v>0</v>
      </c>
    </row>
    <row r="30" customFormat="false" ht="15" hidden="false" customHeight="false" outlineLevel="0" collapsed="false">
      <c r="A30" s="35" t="s">
        <v>122</v>
      </c>
      <c r="B30" s="26" t="n">
        <f aca="false">SUM(C30:CU30)</f>
        <v>850500000</v>
      </c>
      <c r="C30" s="40" t="n">
        <f aca="false">IF(C$5&lt;=BuildMonths,C29*C15/MAX(0.000001,1-C16+C15),C29)</f>
        <v>0</v>
      </c>
      <c r="D30" s="40" t="n">
        <f aca="false">IF(D$5&lt;=BuildMonths,D29*D15/MAX(0.000001,1-D16+D15),D29)</f>
        <v>0</v>
      </c>
      <c r="E30" s="40" t="n">
        <f aca="false">IF(E$5&lt;=BuildMonths,E29*E15/MAX(0.000001,1-E16+E15),E29)</f>
        <v>0</v>
      </c>
      <c r="F30" s="40" t="n">
        <f aca="false">IF(F$5&lt;=BuildMonths,F29*F15/MAX(0.000001,1-F16+F15),F29)</f>
        <v>388258.309719094</v>
      </c>
      <c r="G30" s="40" t="n">
        <f aca="false">IF(G$5&lt;=BuildMonths,G29*G15/MAX(0.000001,1-G16+G15),G29)</f>
        <v>1082650.87542547</v>
      </c>
      <c r="H30" s="40" t="n">
        <f aca="false">IF(H$5&lt;=BuildMonths,H29*H15/MAX(0.000001,1-H16+H15),H29)</f>
        <v>2075562.34479587</v>
      </c>
      <c r="I30" s="40" t="n">
        <f aca="false">IF(I$5&lt;=BuildMonths,I29*I15/MAX(0.000001,1-I16+I15),I29)</f>
        <v>3356103.78797491</v>
      </c>
      <c r="J30" s="40" t="n">
        <f aca="false">IF(J$5&lt;=BuildMonths,J29*J15/MAX(0.000001,1-J16+J15),J29)</f>
        <v>4910231.55762421</v>
      </c>
      <c r="K30" s="40" t="n">
        <f aca="false">IF(K$5&lt;=BuildMonths,K29*K15/MAX(0.000001,1-K16+K15),K29)</f>
        <v>6720900.53811985</v>
      </c>
      <c r="L30" s="40" t="n">
        <f aca="false">IF(L$5&lt;=BuildMonths,L29*L15/MAX(0.000001,1-L16+L15),L29)</f>
        <v>8768250.0500507</v>
      </c>
      <c r="M30" s="40" t="n">
        <f aca="false">IF(M$5&lt;=BuildMonths,M29*M15/MAX(0.000001,1-M16+M15),M29)</f>
        <v>11029820.292522</v>
      </c>
      <c r="N30" s="40" t="n">
        <f aca="false">IF(N$5&lt;=BuildMonths,N29*N15/MAX(0.000001,1-N16+N15),N29)</f>
        <v>13480796.8325273</v>
      </c>
      <c r="O30" s="40" t="n">
        <f aca="false">IF(O$5&lt;=BuildMonths,O29*O15/MAX(0.000001,1-O16+O15),O29)</f>
        <v>16094280.2841111</v>
      </c>
      <c r="P30" s="40" t="n">
        <f aca="false">IF(P$5&lt;=BuildMonths,P29*P15/MAX(0.000001,1-P16+P15),P29)</f>
        <v>18841577.9510568</v>
      </c>
      <c r="Q30" s="40" t="n">
        <f aca="false">IF(Q$5&lt;=BuildMonths,Q29*Q15/MAX(0.000001,1-Q16+Q15),Q29)</f>
        <v>21692513.8165983</v>
      </c>
      <c r="R30" s="40" t="n">
        <f aca="false">IF(R$5&lt;=BuildMonths,R29*R15/MAX(0.000001,1-R16+R15),R29)</f>
        <v>24615752.8156713</v>
      </c>
      <c r="S30" s="40" t="n">
        <f aca="false">IF(S$5&lt;=BuildMonths,S29*S15/MAX(0.000001,1-S16+S15),S29)</f>
        <v>27579134.7493094</v>
      </c>
      <c r="T30" s="40" t="n">
        <f aca="false">IF(T$5&lt;=BuildMonths,T29*T15/MAX(0.000001,1-T16+T15),T29)</f>
        <v>30550012.3601254</v>
      </c>
      <c r="U30" s="40" t="n">
        <f aca="false">IF(U$5&lt;=BuildMonths,U29*U15/MAX(0.000001,1-U16+U15),U29)</f>
        <v>33495586.7080978</v>
      </c>
      <c r="V30" s="40" t="n">
        <f aca="false">IF(V$5&lt;=BuildMonths,V29*V15/MAX(0.000001,1-V16+V15),V29)</f>
        <v>36383230.495693</v>
      </c>
      <c r="W30" s="40" t="n">
        <f aca="false">IF(W$5&lt;=BuildMonths,W29*W15/MAX(0.000001,1-W16+W15),W29)</f>
        <v>39180785.1432246</v>
      </c>
      <c r="X30" s="40" t="n">
        <f aca="false">IF(X$5&lt;=BuildMonths,X29*X15/MAX(0.000001,1-X16+X15),X29)</f>
        <v>41856807.3297541</v>
      </c>
      <c r="Y30" s="40" t="n">
        <f aca="false">IF(Y$5&lt;=BuildMonths,Y29*Y15/MAX(0.000001,1-Y16+Y15),Y29)</f>
        <v>44380718.2941284</v>
      </c>
      <c r="Z30" s="40" t="n">
        <f aca="false">IF(Z$5&lt;=BuildMonths,Z29*Z15/MAX(0.000001,1-Z16+Z15),Z29)</f>
        <v>46722755.5234589</v>
      </c>
      <c r="AA30" s="40" t="n">
        <f aca="false">IF(AA$5&lt;=BuildMonths,AA29*AA15/MAX(0.000001,1-AA16+AA15),AA29)</f>
        <v>48853486.1983097</v>
      </c>
      <c r="AB30" s="40" t="n">
        <f aca="false">IF(AB$5&lt;=BuildMonths,AB29*AB15/MAX(0.000001,1-AB16+AB15),AB29)</f>
        <v>50742233.1304855</v>
      </c>
      <c r="AC30" s="40" t="n">
        <f aca="false">IF(AC$5&lt;=BuildMonths,AC29*AC15/MAX(0.000001,1-AC16+AC15),AC29)</f>
        <v>52352395.6970658</v>
      </c>
      <c r="AD30" s="40" t="n">
        <f aca="false">IF(AD$5&lt;=BuildMonths,AD29*AD15/MAX(0.000001,1-AD16+AD15),AD29)</f>
        <v>53626131.0255829</v>
      </c>
      <c r="AE30" s="40" t="n">
        <f aca="false">IF(AE$5&lt;=BuildMonths,AE29*AE15/MAX(0.000001,1-AE16+AE15),AE29)</f>
        <v>54421873.3026502</v>
      </c>
      <c r="AF30" s="40" t="n">
        <f aca="false">IF(AF$5&lt;=BuildMonths,AF29*AF15/MAX(0.000001,1-AF16+AF15),AF29)</f>
        <v>54136504.1924405</v>
      </c>
      <c r="AG30" s="40" t="n">
        <f aca="false">IF(AG$5&lt;=BuildMonths,AG29*AG15/MAX(0.000001,1-AG16+AG15),AG29)</f>
        <v>46461646.393477</v>
      </c>
      <c r="AH30" s="40" t="n">
        <f aca="false">IF(AH$5&lt;=BuildMonths,AH29*AH15/MAX(0.000001,1-AH16+AH15),AH29)</f>
        <v>28350000</v>
      </c>
      <c r="AI30" s="40" t="n">
        <f aca="false">IF(AI$5&lt;=BuildMonths,AI29*AI15/MAX(0.000001,1-AI16+AI15),AI29)</f>
        <v>28350000</v>
      </c>
      <c r="AJ30" s="40" t="n">
        <f aca="false">IF(AJ$5&lt;=BuildMonths,AJ29*AJ15/MAX(0.000001,1-AJ16+AJ15),AJ29)</f>
        <v>0</v>
      </c>
      <c r="AK30" s="40" t="n">
        <f aca="false">IF(AK$5&lt;=BuildMonths,AK29*AK15/MAX(0.000001,1-AK16+AK15),AK29)</f>
        <v>0</v>
      </c>
      <c r="AL30" s="40" t="n">
        <f aca="false">IF(AL$5&lt;=BuildMonths,AL29*AL15/MAX(0.000001,1-AL16+AL15),AL29)</f>
        <v>0</v>
      </c>
      <c r="AM30" s="40" t="n">
        <f aca="false">IF(AM$5&lt;=BuildMonths,AM29*AM15/MAX(0.000001,1-AM16+AM15),AM29)</f>
        <v>0</v>
      </c>
      <c r="AN30" s="40" t="n">
        <f aca="false">IF(AN$5&lt;=BuildMonths,AN29*AN15/MAX(0.000001,1-AN16+AN15),AN29)</f>
        <v>0</v>
      </c>
      <c r="AO30" s="40" t="n">
        <f aca="false">IF(AO$5&lt;=BuildMonths,AO29*AO15/MAX(0.000001,1-AO16+AO15),AO29)</f>
        <v>0</v>
      </c>
      <c r="AP30" s="40" t="n">
        <f aca="false">IF(AP$5&lt;=BuildMonths,AP29*AP15/MAX(0.000001,1-AP16+AP15),AP29)</f>
        <v>0</v>
      </c>
      <c r="AQ30" s="40" t="n">
        <f aca="false">IF(AQ$5&lt;=BuildMonths,AQ29*AQ15/MAX(0.000001,1-AQ16+AQ15),AQ29)</f>
        <v>0</v>
      </c>
      <c r="AR30" s="40" t="n">
        <f aca="false">IF(AR$5&lt;=BuildMonths,AR29*AR15/MAX(0.000001,1-AR16+AR15),AR29)</f>
        <v>0</v>
      </c>
      <c r="AS30" s="40" t="n">
        <f aca="false">IF(AS$5&lt;=BuildMonths,AS29*AS15/MAX(0.000001,1-AS16+AS15),AS29)</f>
        <v>0</v>
      </c>
      <c r="AT30" s="40" t="n">
        <f aca="false">IF(AT$5&lt;=BuildMonths,AT29*AT15/MAX(0.000001,1-AT16+AT15),AT29)</f>
        <v>0</v>
      </c>
      <c r="AU30" s="40" t="n">
        <f aca="false">IF(AU$5&lt;=BuildMonths,AU29*AU15/MAX(0.000001,1-AU16+AU15),AU29)</f>
        <v>0</v>
      </c>
      <c r="AV30" s="40" t="n">
        <f aca="false">IF(AV$5&lt;=BuildMonths,AV29*AV15/MAX(0.000001,1-AV16+AV15),AV29)</f>
        <v>0</v>
      </c>
      <c r="AW30" s="40" t="n">
        <f aca="false">IF(AW$5&lt;=BuildMonths,AW29*AW15/MAX(0.000001,1-AW16+AW15),AW29)</f>
        <v>0</v>
      </c>
      <c r="AX30" s="40" t="n">
        <f aca="false">IF(AX$5&lt;=BuildMonths,AX29*AX15/MAX(0.000001,1-AX16+AX15),AX29)</f>
        <v>0</v>
      </c>
      <c r="AY30" s="40" t="n">
        <f aca="false">IF(AY$5&lt;=BuildMonths,AY29*AY15/MAX(0.000001,1-AY16+AY15),AY29)</f>
        <v>0</v>
      </c>
      <c r="AZ30" s="40" t="n">
        <f aca="false">IF(AZ$5&lt;=BuildMonths,AZ29*AZ15/MAX(0.000001,1-AZ16+AZ15),AZ29)</f>
        <v>0</v>
      </c>
      <c r="BA30" s="40" t="n">
        <f aca="false">IF(BA$5&lt;=BuildMonths,BA29*BA15/MAX(0.000001,1-BA16+BA15),BA29)</f>
        <v>0</v>
      </c>
      <c r="BB30" s="40" t="n">
        <f aca="false">IF(BB$5&lt;=BuildMonths,BB29*BB15/MAX(0.000001,1-BB16+BB15),BB29)</f>
        <v>0</v>
      </c>
      <c r="BC30" s="40" t="n">
        <f aca="false">IF(BC$5&lt;=BuildMonths,BC29*BC15/MAX(0.000001,1-BC16+BC15),BC29)</f>
        <v>0</v>
      </c>
      <c r="BD30" s="40" t="n">
        <f aca="false">IF(BD$5&lt;=BuildMonths,BD29*BD15/MAX(0.000001,1-BD16+BD15),BD29)</f>
        <v>0</v>
      </c>
      <c r="BE30" s="40" t="n">
        <f aca="false">IF(BE$5&lt;=BuildMonths,BE29*BE15/MAX(0.000001,1-BE16+BE15),BE29)</f>
        <v>0</v>
      </c>
      <c r="BF30" s="40" t="n">
        <f aca="false">IF(BF$5&lt;=BuildMonths,BF29*BF15/MAX(0.000001,1-BF16+BF15),BF29)</f>
        <v>0</v>
      </c>
      <c r="BG30" s="40" t="n">
        <f aca="false">IF(BG$5&lt;=BuildMonths,BG29*BG15/MAX(0.000001,1-BG16+BG15),BG29)</f>
        <v>0</v>
      </c>
      <c r="BH30" s="40" t="n">
        <f aca="false">IF(BH$5&lt;=BuildMonths,BH29*BH15/MAX(0.000001,1-BH16+BH15),BH29)</f>
        <v>0</v>
      </c>
      <c r="BI30" s="40" t="n">
        <f aca="false">IF(BI$5&lt;=BuildMonths,BI29*BI15/MAX(0.000001,1-BI16+BI15),BI29)</f>
        <v>0</v>
      </c>
      <c r="BJ30" s="40" t="n">
        <f aca="false">IF(BJ$5&lt;=BuildMonths,BJ29*BJ15/MAX(0.000001,1-BJ16+BJ15),BJ29)</f>
        <v>0</v>
      </c>
      <c r="BK30" s="40" t="n">
        <f aca="false">IF(BK$5&lt;=BuildMonths,BK29*BK15/MAX(0.000001,1-BK16+BK15),BK29)</f>
        <v>0</v>
      </c>
      <c r="BL30" s="40" t="n">
        <f aca="false">IF(BL$5&lt;=BuildMonths,BL29*BL15/MAX(0.000001,1-BL16+BL15),BL29)</f>
        <v>0</v>
      </c>
      <c r="BM30" s="40" t="n">
        <f aca="false">IF(BM$5&lt;=BuildMonths,BM29*BM15/MAX(0.000001,1-BM16+BM15),BM29)</f>
        <v>0</v>
      </c>
      <c r="BN30" s="40" t="n">
        <f aca="false">IF(BN$5&lt;=BuildMonths,BN29*BN15/MAX(0.000001,1-BN16+BN15),BN29)</f>
        <v>0</v>
      </c>
      <c r="BO30" s="40" t="n">
        <f aca="false">IF(BO$5&lt;=BuildMonths,BO29*BO15/MAX(0.000001,1-BO16+BO15),BO29)</f>
        <v>0</v>
      </c>
      <c r="BP30" s="40" t="n">
        <f aca="false">IF(BP$5&lt;=BuildMonths,BP29*BP15/MAX(0.000001,1-BP16+BP15),BP29)</f>
        <v>0</v>
      </c>
      <c r="BQ30" s="40" t="n">
        <f aca="false">IF(BQ$5&lt;=BuildMonths,BQ29*BQ15/MAX(0.000001,1-BQ16+BQ15),BQ29)</f>
        <v>0</v>
      </c>
      <c r="BR30" s="40" t="n">
        <f aca="false">IF(BR$5&lt;=BuildMonths,BR29*BR15/MAX(0.000001,1-BR16+BR15),BR29)</f>
        <v>0</v>
      </c>
      <c r="BS30" s="40" t="n">
        <f aca="false">IF(BS$5&lt;=BuildMonths,BS29*BS15/MAX(0.000001,1-BS16+BS15),BS29)</f>
        <v>0</v>
      </c>
      <c r="BT30" s="40" t="n">
        <f aca="false">IF(BT$5&lt;=BuildMonths,BT29*BT15/MAX(0.000001,1-BT16+BT15),BT29)</f>
        <v>0</v>
      </c>
      <c r="BU30" s="40" t="n">
        <f aca="false">IF(BU$5&lt;=BuildMonths,BU29*BU15/MAX(0.000001,1-BU16+BU15),BU29)</f>
        <v>0</v>
      </c>
      <c r="BV30" s="40" t="n">
        <f aca="false">IF(BV$5&lt;=BuildMonths,BV29*BV15/MAX(0.000001,1-BV16+BV15),BV29)</f>
        <v>0</v>
      </c>
      <c r="BW30" s="40" t="n">
        <f aca="false">IF(BW$5&lt;=BuildMonths,BW29*BW15/MAX(0.000001,1-BW16+BW15),BW29)</f>
        <v>0</v>
      </c>
      <c r="BX30" s="40" t="n">
        <f aca="false">IF(BX$5&lt;=BuildMonths,BX29*BX15/MAX(0.000001,1-BX16+BX15),BX29)</f>
        <v>0</v>
      </c>
      <c r="BY30" s="40" t="n">
        <f aca="false">IF(BY$5&lt;=BuildMonths,BY29*BY15/MAX(0.000001,1-BY16+BY15),BY29)</f>
        <v>0</v>
      </c>
      <c r="BZ30" s="40" t="n">
        <f aca="false">IF(BZ$5&lt;=BuildMonths,BZ29*BZ15/MAX(0.000001,1-BZ16+BZ15),BZ29)</f>
        <v>0</v>
      </c>
      <c r="CA30" s="40" t="n">
        <f aca="false">IF(CA$5&lt;=BuildMonths,CA29*CA15/MAX(0.000001,1-CA16+CA15),CA29)</f>
        <v>0</v>
      </c>
      <c r="CB30" s="40" t="n">
        <f aca="false">IF(CB$5&lt;=BuildMonths,CB29*CB15/MAX(0.000001,1-CB16+CB15),CB29)</f>
        <v>0</v>
      </c>
      <c r="CC30" s="40" t="n">
        <f aca="false">IF(CC$5&lt;=BuildMonths,CC29*CC15/MAX(0.000001,1-CC16+CC15),CC29)</f>
        <v>0</v>
      </c>
      <c r="CD30" s="40" t="n">
        <f aca="false">IF(CD$5&lt;=BuildMonths,CD29*CD15/MAX(0.000001,1-CD16+CD15),CD29)</f>
        <v>0</v>
      </c>
      <c r="CE30" s="40" t="n">
        <f aca="false">IF(CE$5&lt;=BuildMonths,CE29*CE15/MAX(0.000001,1-CE16+CE15),CE29)</f>
        <v>0</v>
      </c>
      <c r="CF30" s="40" t="n">
        <f aca="false">IF(CF$5&lt;=BuildMonths,CF29*CF15/MAX(0.000001,1-CF16+CF15),CF29)</f>
        <v>0</v>
      </c>
      <c r="CG30" s="40" t="n">
        <f aca="false">IF(CG$5&lt;=BuildMonths,CG29*CG15/MAX(0.000001,1-CG16+CG15),CG29)</f>
        <v>0</v>
      </c>
      <c r="CH30" s="40" t="n">
        <f aca="false">IF(CH$5&lt;=BuildMonths,CH29*CH15/MAX(0.000001,1-CH16+CH15),CH29)</f>
        <v>0</v>
      </c>
      <c r="CI30" s="40" t="n">
        <f aca="false">IF(CI$5&lt;=BuildMonths,CI29*CI15/MAX(0.000001,1-CI16+CI15),CI29)</f>
        <v>0</v>
      </c>
      <c r="CJ30" s="40" t="n">
        <f aca="false">IF(CJ$5&lt;=BuildMonths,CJ29*CJ15/MAX(0.000001,1-CJ16+CJ15),CJ29)</f>
        <v>0</v>
      </c>
      <c r="CK30" s="40" t="n">
        <f aca="false">IF(CK$5&lt;=BuildMonths,CK29*CK15/MAX(0.000001,1-CK16+CK15),CK29)</f>
        <v>0</v>
      </c>
      <c r="CL30" s="40" t="n">
        <f aca="false">IF(CL$5&lt;=BuildMonths,CL29*CL15/MAX(0.000001,1-CL16+CL15),CL29)</f>
        <v>0</v>
      </c>
      <c r="CM30" s="40" t="n">
        <f aca="false">IF(CM$5&lt;=BuildMonths,CM29*CM15/MAX(0.000001,1-CM16+CM15),CM29)</f>
        <v>0</v>
      </c>
      <c r="CN30" s="40" t="n">
        <f aca="false">IF(CN$5&lt;=BuildMonths,CN29*CN15/MAX(0.000001,1-CN16+CN15),CN29)</f>
        <v>0</v>
      </c>
      <c r="CO30" s="40" t="n">
        <f aca="false">IF(CO$5&lt;=BuildMonths,CO29*CO15/MAX(0.000001,1-CO16+CO15),CO29)</f>
        <v>0</v>
      </c>
      <c r="CP30" s="40" t="n">
        <f aca="false">IF(CP$5&lt;=BuildMonths,CP29*CP15/MAX(0.000001,1-CP16+CP15),CP29)</f>
        <v>0</v>
      </c>
      <c r="CQ30" s="40" t="n">
        <f aca="false">IF(CQ$5&lt;=BuildMonths,CQ29*CQ15/MAX(0.000001,1-CQ16+CQ15),CQ29)</f>
        <v>0</v>
      </c>
      <c r="CR30" s="40" t="n">
        <f aca="false">IF(CR$5&lt;=BuildMonths,CR29*CR15/MAX(0.000001,1-CR16+CR15),CR29)</f>
        <v>0</v>
      </c>
      <c r="CS30" s="40" t="n">
        <f aca="false">IF(CS$5&lt;=BuildMonths,CS29*CS15/MAX(0.000001,1-CS16+CS15),CS29)</f>
        <v>0</v>
      </c>
      <c r="CT30" s="40" t="n">
        <f aca="false">IF(CT$5&lt;=BuildMonths,CT29*CT15/MAX(0.000001,1-CT16+CT15),CT29)</f>
        <v>0</v>
      </c>
      <c r="CU30" s="40" t="n">
        <f aca="false">IF(CU$5&lt;=BuildMonths,CU29*CU15/MAX(0.000001,1-CU16+CU15),CU29)</f>
        <v>0</v>
      </c>
    </row>
    <row r="31" customFormat="false" ht="15" hidden="false" customHeight="false" outlineLevel="0" collapsed="false">
      <c r="A31" s="35" t="s">
        <v>123</v>
      </c>
      <c r="C31" s="40" t="n">
        <f aca="false">C29-C30</f>
        <v>0</v>
      </c>
      <c r="D31" s="40" t="n">
        <f aca="false">D29-D30</f>
        <v>0</v>
      </c>
      <c r="E31" s="40" t="n">
        <f aca="false">E29-E30</f>
        <v>0</v>
      </c>
      <c r="F31" s="40" t="n">
        <f aca="false">F29-F30</f>
        <v>27961741.6902809</v>
      </c>
      <c r="G31" s="40" t="n">
        <f aca="false">G29-G30</f>
        <v>55229090.8148554</v>
      </c>
      <c r="H31" s="40" t="n">
        <f aca="false">H29-H30</f>
        <v>81503528.4700596</v>
      </c>
      <c r="I31" s="40" t="n">
        <f aca="false">I29-I30</f>
        <v>106497424.682085</v>
      </c>
      <c r="J31" s="40" t="n">
        <f aca="false">J29-J30</f>
        <v>129937193.12446</v>
      </c>
      <c r="K31" s="40" t="n">
        <f aca="false">K29-K30</f>
        <v>151566292.586341</v>
      </c>
      <c r="L31" s="40" t="n">
        <f aca="false">L29-L30</f>
        <v>171148042.53629</v>
      </c>
      <c r="M31" s="40" t="n">
        <f aca="false">M29-M30</f>
        <v>188468222.243768</v>
      </c>
      <c r="N31" s="40" t="n">
        <f aca="false">N29-N30</f>
        <v>203337425.411241</v>
      </c>
      <c r="O31" s="40" t="n">
        <f aca="false">O29-O30</f>
        <v>215593145.127129</v>
      </c>
      <c r="P31" s="40" t="n">
        <f aca="false">P29-P30</f>
        <v>225101567.176073</v>
      </c>
      <c r="Q31" s="40" t="n">
        <f aca="false">Q29-Q30</f>
        <v>231759053.359474</v>
      </c>
      <c r="R31" s="40" t="n">
        <f aca="false">R29-R30</f>
        <v>235493300.543803</v>
      </c>
      <c r="S31" s="40" t="n">
        <f aca="false">S29-S30</f>
        <v>236264165.794494</v>
      </c>
      <c r="T31" s="40" t="n">
        <f aca="false">T29-T30</f>
        <v>234064153.434368</v>
      </c>
      <c r="U31" s="40" t="n">
        <f aca="false">U29-U30</f>
        <v>228918566.726271</v>
      </c>
      <c r="V31" s="40" t="n">
        <f aca="false">V29-V30</f>
        <v>220885336.230577</v>
      </c>
      <c r="W31" s="40" t="n">
        <f aca="false">W29-W30</f>
        <v>210054551.087353</v>
      </c>
      <c r="X31" s="40" t="n">
        <f aca="false">X29-X30</f>
        <v>196547743.757599</v>
      </c>
      <c r="Y31" s="40" t="n">
        <f aca="false">Y29-Y30</f>
        <v>180517025.46347</v>
      </c>
      <c r="Z31" s="40" t="n">
        <f aca="false">Z29-Z30</f>
        <v>162144269.940011</v>
      </c>
      <c r="AA31" s="40" t="n">
        <f aca="false">AA29-AA30</f>
        <v>141640783.741702</v>
      </c>
      <c r="AB31" s="40" t="n">
        <f aca="false">AB29-AB30</f>
        <v>119248550.611216</v>
      </c>
      <c r="AC31" s="40" t="n">
        <f aca="false">AC29-AC30</f>
        <v>95246154.9141505</v>
      </c>
      <c r="AD31" s="40" t="n">
        <f aca="false">AD29-AD30</f>
        <v>69970023.8885676</v>
      </c>
      <c r="AE31" s="40" t="n">
        <f aca="false">AE29-AE30</f>
        <v>43898150.5859174</v>
      </c>
      <c r="AF31" s="40" t="n">
        <f aca="false">AF29-AF30</f>
        <v>18111646.393477</v>
      </c>
      <c r="AG31" s="40" t="n">
        <f aca="false">AG29-AG30</f>
        <v>0</v>
      </c>
      <c r="AH31" s="40" t="n">
        <f aca="false">AH29-AH30</f>
        <v>0</v>
      </c>
      <c r="AI31" s="40" t="n">
        <f aca="false">AI29-AI30</f>
        <v>0</v>
      </c>
      <c r="AJ31" s="40" t="n">
        <f aca="false">AJ29-AJ30</f>
        <v>0</v>
      </c>
      <c r="AK31" s="40" t="n">
        <f aca="false">AK29-AK30</f>
        <v>0</v>
      </c>
      <c r="AL31" s="40" t="n">
        <f aca="false">AL29-AL30</f>
        <v>0</v>
      </c>
      <c r="AM31" s="40" t="n">
        <f aca="false">AM29-AM30</f>
        <v>0</v>
      </c>
      <c r="AN31" s="40" t="n">
        <f aca="false">AN29-AN30</f>
        <v>0</v>
      </c>
      <c r="AO31" s="40" t="n">
        <f aca="false">AO29-AO30</f>
        <v>0</v>
      </c>
      <c r="AP31" s="40" t="n">
        <f aca="false">AP29-AP30</f>
        <v>0</v>
      </c>
      <c r="AQ31" s="40" t="n">
        <f aca="false">AQ29-AQ30</f>
        <v>0</v>
      </c>
      <c r="AR31" s="40" t="n">
        <f aca="false">AR29-AR30</f>
        <v>0</v>
      </c>
      <c r="AS31" s="40" t="n">
        <f aca="false">AS29-AS30</f>
        <v>0</v>
      </c>
      <c r="AT31" s="40" t="n">
        <f aca="false">AT29-AT30</f>
        <v>0</v>
      </c>
      <c r="AU31" s="40" t="n">
        <f aca="false">AU29-AU30</f>
        <v>0</v>
      </c>
      <c r="AV31" s="40" t="n">
        <f aca="false">AV29-AV30</f>
        <v>0</v>
      </c>
      <c r="AW31" s="40" t="n">
        <f aca="false">AW29-AW30</f>
        <v>0</v>
      </c>
      <c r="AX31" s="40" t="n">
        <f aca="false">AX29-AX30</f>
        <v>0</v>
      </c>
      <c r="AY31" s="40" t="n">
        <f aca="false">AY29-AY30</f>
        <v>0</v>
      </c>
      <c r="AZ31" s="40" t="n">
        <f aca="false">AZ29-AZ30</f>
        <v>0</v>
      </c>
      <c r="BA31" s="40" t="n">
        <f aca="false">BA29-BA30</f>
        <v>0</v>
      </c>
      <c r="BB31" s="40" t="n">
        <f aca="false">BB29-BB30</f>
        <v>0</v>
      </c>
      <c r="BC31" s="40" t="n">
        <f aca="false">BC29-BC30</f>
        <v>0</v>
      </c>
      <c r="BD31" s="40" t="n">
        <f aca="false">BD29-BD30</f>
        <v>0</v>
      </c>
      <c r="BE31" s="40" t="n">
        <f aca="false">BE29-BE30</f>
        <v>0</v>
      </c>
      <c r="BF31" s="40" t="n">
        <f aca="false">BF29-BF30</f>
        <v>0</v>
      </c>
      <c r="BG31" s="40" t="n">
        <f aca="false">BG29-BG30</f>
        <v>0</v>
      </c>
      <c r="BH31" s="40" t="n">
        <f aca="false">BH29-BH30</f>
        <v>0</v>
      </c>
      <c r="BI31" s="40" t="n">
        <f aca="false">BI29-BI30</f>
        <v>0</v>
      </c>
      <c r="BJ31" s="40" t="n">
        <f aca="false">BJ29-BJ30</f>
        <v>0</v>
      </c>
      <c r="BK31" s="40" t="n">
        <f aca="false">BK29-BK30</f>
        <v>0</v>
      </c>
      <c r="BL31" s="40" t="n">
        <f aca="false">BL29-BL30</f>
        <v>0</v>
      </c>
      <c r="BM31" s="40" t="n">
        <f aca="false">BM29-BM30</f>
        <v>0</v>
      </c>
      <c r="BN31" s="40" t="n">
        <f aca="false">BN29-BN30</f>
        <v>0</v>
      </c>
      <c r="BO31" s="40" t="n">
        <f aca="false">BO29-BO30</f>
        <v>0</v>
      </c>
      <c r="BP31" s="40" t="n">
        <f aca="false">BP29-BP30</f>
        <v>0</v>
      </c>
      <c r="BQ31" s="40" t="n">
        <f aca="false">BQ29-BQ30</f>
        <v>0</v>
      </c>
      <c r="BR31" s="40" t="n">
        <f aca="false">BR29-BR30</f>
        <v>0</v>
      </c>
      <c r="BS31" s="40" t="n">
        <f aca="false">BS29-BS30</f>
        <v>0</v>
      </c>
      <c r="BT31" s="40" t="n">
        <f aca="false">BT29-BT30</f>
        <v>0</v>
      </c>
      <c r="BU31" s="40" t="n">
        <f aca="false">BU29-BU30</f>
        <v>0</v>
      </c>
      <c r="BV31" s="40" t="n">
        <f aca="false">BV29-BV30</f>
        <v>0</v>
      </c>
      <c r="BW31" s="40" t="n">
        <f aca="false">BW29-BW30</f>
        <v>0</v>
      </c>
      <c r="BX31" s="40" t="n">
        <f aca="false">BX29-BX30</f>
        <v>0</v>
      </c>
      <c r="BY31" s="40" t="n">
        <f aca="false">BY29-BY30</f>
        <v>0</v>
      </c>
      <c r="BZ31" s="40" t="n">
        <f aca="false">BZ29-BZ30</f>
        <v>0</v>
      </c>
      <c r="CA31" s="40" t="n">
        <f aca="false">CA29-CA30</f>
        <v>0</v>
      </c>
      <c r="CB31" s="40" t="n">
        <f aca="false">CB29-CB30</f>
        <v>0</v>
      </c>
      <c r="CC31" s="40" t="n">
        <f aca="false">CC29-CC30</f>
        <v>0</v>
      </c>
      <c r="CD31" s="40" t="n">
        <f aca="false">CD29-CD30</f>
        <v>0</v>
      </c>
      <c r="CE31" s="40" t="n">
        <f aca="false">CE29-CE30</f>
        <v>0</v>
      </c>
      <c r="CF31" s="40" t="n">
        <f aca="false">CF29-CF30</f>
        <v>0</v>
      </c>
      <c r="CG31" s="40" t="n">
        <f aca="false">CG29-CG30</f>
        <v>0</v>
      </c>
      <c r="CH31" s="40" t="n">
        <f aca="false">CH29-CH30</f>
        <v>0</v>
      </c>
      <c r="CI31" s="40" t="n">
        <f aca="false">CI29-CI30</f>
        <v>0</v>
      </c>
      <c r="CJ31" s="40" t="n">
        <f aca="false">CJ29-CJ30</f>
        <v>0</v>
      </c>
      <c r="CK31" s="40" t="n">
        <f aca="false">CK29-CK30</f>
        <v>0</v>
      </c>
      <c r="CL31" s="40" t="n">
        <f aca="false">CL29-CL30</f>
        <v>0</v>
      </c>
      <c r="CM31" s="40" t="n">
        <f aca="false">CM29-CM30</f>
        <v>0</v>
      </c>
      <c r="CN31" s="40" t="n">
        <f aca="false">CN29-CN30</f>
        <v>0</v>
      </c>
      <c r="CO31" s="40" t="n">
        <f aca="false">CO29-CO30</f>
        <v>0</v>
      </c>
      <c r="CP31" s="40" t="n">
        <f aca="false">CP29-CP30</f>
        <v>0</v>
      </c>
      <c r="CQ31" s="40" t="n">
        <f aca="false">CQ29-CQ30</f>
        <v>0</v>
      </c>
      <c r="CR31" s="40" t="n">
        <f aca="false">CR29-CR30</f>
        <v>0</v>
      </c>
      <c r="CS31" s="40" t="n">
        <f aca="false">CS29-CS30</f>
        <v>0</v>
      </c>
      <c r="CT31" s="40" t="n">
        <f aca="false">CT29-CT30</f>
        <v>0</v>
      </c>
      <c r="CU31" s="40" t="n">
        <f aca="false">CU29-CU30</f>
        <v>0</v>
      </c>
    </row>
    <row r="32" customFormat="false" ht="15" hidden="false" customHeight="false" outlineLevel="0" collapsed="false">
      <c r="A32" s="35" t="s">
        <v>124</v>
      </c>
      <c r="B32" s="26" t="n">
        <f aca="false">SUM(C32:CU32)</f>
        <v>945000000</v>
      </c>
      <c r="C32" s="40" t="n">
        <f aca="false">C28*ResDeposit+C30</f>
        <v>0</v>
      </c>
      <c r="D32" s="40" t="n">
        <f aca="false">D28*ResDeposit+D30</f>
        <v>0</v>
      </c>
      <c r="E32" s="40" t="n">
        <f aca="false">E28*ResDeposit+E30</f>
        <v>0</v>
      </c>
      <c r="F32" s="40" t="n">
        <f aca="false">F28*ResDeposit+F30</f>
        <v>3538258.30971909</v>
      </c>
      <c r="G32" s="40" t="n">
        <f aca="false">G28*ResDeposit+G30</f>
        <v>4232650.87542547</v>
      </c>
      <c r="H32" s="40" t="n">
        <f aca="false">H28*ResDeposit+H30</f>
        <v>5225562.34479587</v>
      </c>
      <c r="I32" s="40" t="n">
        <f aca="false">I28*ResDeposit+I30</f>
        <v>6506103.78797491</v>
      </c>
      <c r="J32" s="40" t="n">
        <f aca="false">J28*ResDeposit+J30</f>
        <v>8060231.55762421</v>
      </c>
      <c r="K32" s="40" t="n">
        <f aca="false">K28*ResDeposit+K30</f>
        <v>9870900.53811985</v>
      </c>
      <c r="L32" s="40" t="n">
        <f aca="false">L28*ResDeposit+L30</f>
        <v>11918250.0500507</v>
      </c>
      <c r="M32" s="40" t="n">
        <f aca="false">M28*ResDeposit+M30</f>
        <v>14179820.292522</v>
      </c>
      <c r="N32" s="40" t="n">
        <f aca="false">N28*ResDeposit+N30</f>
        <v>16630796.8325273</v>
      </c>
      <c r="O32" s="40" t="n">
        <f aca="false">O28*ResDeposit+O30</f>
        <v>19244280.2841111</v>
      </c>
      <c r="P32" s="40" t="n">
        <f aca="false">P28*ResDeposit+P30</f>
        <v>21991577.9510568</v>
      </c>
      <c r="Q32" s="40" t="n">
        <f aca="false">Q28*ResDeposit+Q30</f>
        <v>24842513.8165983</v>
      </c>
      <c r="R32" s="40" t="n">
        <f aca="false">R28*ResDeposit+R30</f>
        <v>27765752.8156713</v>
      </c>
      <c r="S32" s="40" t="n">
        <f aca="false">S28*ResDeposit+S30</f>
        <v>30729134.7493094</v>
      </c>
      <c r="T32" s="40" t="n">
        <f aca="false">T28*ResDeposit+T30</f>
        <v>33700012.3601254</v>
      </c>
      <c r="U32" s="40" t="n">
        <f aca="false">U28*ResDeposit+U30</f>
        <v>36645586.7080978</v>
      </c>
      <c r="V32" s="40" t="n">
        <f aca="false">V28*ResDeposit+V30</f>
        <v>39533230.495693</v>
      </c>
      <c r="W32" s="40" t="n">
        <f aca="false">W28*ResDeposit+W30</f>
        <v>42330785.1432246</v>
      </c>
      <c r="X32" s="40" t="n">
        <f aca="false">X28*ResDeposit+X30</f>
        <v>45006807.3297541</v>
      </c>
      <c r="Y32" s="40" t="n">
        <f aca="false">Y28*ResDeposit+Y30</f>
        <v>47530718.2941284</v>
      </c>
      <c r="Z32" s="40" t="n">
        <f aca="false">Z28*ResDeposit+Z30</f>
        <v>49872755.5234589</v>
      </c>
      <c r="AA32" s="40" t="n">
        <f aca="false">AA28*ResDeposit+AA30</f>
        <v>52003486.1983097</v>
      </c>
      <c r="AB32" s="40" t="n">
        <f aca="false">AB28*ResDeposit+AB30</f>
        <v>53892233.1304855</v>
      </c>
      <c r="AC32" s="40" t="n">
        <f aca="false">AC28*ResDeposit+AC30</f>
        <v>55502395.6970658</v>
      </c>
      <c r="AD32" s="40" t="n">
        <f aca="false">AD28*ResDeposit+AD30</f>
        <v>56776131.0255829</v>
      </c>
      <c r="AE32" s="40" t="n">
        <f aca="false">AE28*ResDeposit+AE30</f>
        <v>57571873.3026502</v>
      </c>
      <c r="AF32" s="40" t="n">
        <f aca="false">AF28*ResDeposit+AF30</f>
        <v>57286504.1924405</v>
      </c>
      <c r="AG32" s="40" t="n">
        <f aca="false">AG28*ResDeposit+AG30</f>
        <v>49611646.393477</v>
      </c>
      <c r="AH32" s="40" t="n">
        <f aca="false">AH28*ResDeposit+AH30</f>
        <v>31500000</v>
      </c>
      <c r="AI32" s="40" t="n">
        <f aca="false">AI28*ResDeposit+AI30</f>
        <v>31500000</v>
      </c>
      <c r="AJ32" s="40" t="n">
        <f aca="false">AJ28*ResDeposit+AJ30</f>
        <v>0</v>
      </c>
      <c r="AK32" s="40" t="n">
        <f aca="false">AK28*ResDeposit+AK30</f>
        <v>0</v>
      </c>
      <c r="AL32" s="40" t="n">
        <f aca="false">AL28*ResDeposit+AL30</f>
        <v>0</v>
      </c>
      <c r="AM32" s="40" t="n">
        <f aca="false">AM28*ResDeposit+AM30</f>
        <v>0</v>
      </c>
      <c r="AN32" s="40" t="n">
        <f aca="false">AN28*ResDeposit+AN30</f>
        <v>0</v>
      </c>
      <c r="AO32" s="40" t="n">
        <f aca="false">AO28*ResDeposit+AO30</f>
        <v>0</v>
      </c>
      <c r="AP32" s="40" t="n">
        <f aca="false">AP28*ResDeposit+AP30</f>
        <v>0</v>
      </c>
      <c r="AQ32" s="40" t="n">
        <f aca="false">AQ28*ResDeposit+AQ30</f>
        <v>0</v>
      </c>
      <c r="AR32" s="40" t="n">
        <f aca="false">AR28*ResDeposit+AR30</f>
        <v>0</v>
      </c>
      <c r="AS32" s="40" t="n">
        <f aca="false">AS28*ResDeposit+AS30</f>
        <v>0</v>
      </c>
      <c r="AT32" s="40" t="n">
        <f aca="false">AT28*ResDeposit+AT30</f>
        <v>0</v>
      </c>
      <c r="AU32" s="40" t="n">
        <f aca="false">AU28*ResDeposit+AU30</f>
        <v>0</v>
      </c>
      <c r="AV32" s="40" t="n">
        <f aca="false">AV28*ResDeposit+AV30</f>
        <v>0</v>
      </c>
      <c r="AW32" s="40" t="n">
        <f aca="false">AW28*ResDeposit+AW30</f>
        <v>0</v>
      </c>
      <c r="AX32" s="40" t="n">
        <f aca="false">AX28*ResDeposit+AX30</f>
        <v>0</v>
      </c>
      <c r="AY32" s="40" t="n">
        <f aca="false">AY28*ResDeposit+AY30</f>
        <v>0</v>
      </c>
      <c r="AZ32" s="40" t="n">
        <f aca="false">AZ28*ResDeposit+AZ30</f>
        <v>0</v>
      </c>
      <c r="BA32" s="40" t="n">
        <f aca="false">BA28*ResDeposit+BA30</f>
        <v>0</v>
      </c>
      <c r="BB32" s="40" t="n">
        <f aca="false">BB28*ResDeposit+BB30</f>
        <v>0</v>
      </c>
      <c r="BC32" s="40" t="n">
        <f aca="false">BC28*ResDeposit+BC30</f>
        <v>0</v>
      </c>
      <c r="BD32" s="40" t="n">
        <f aca="false">BD28*ResDeposit+BD30</f>
        <v>0</v>
      </c>
      <c r="BE32" s="40" t="n">
        <f aca="false">BE28*ResDeposit+BE30</f>
        <v>0</v>
      </c>
      <c r="BF32" s="40" t="n">
        <f aca="false">BF28*ResDeposit+BF30</f>
        <v>0</v>
      </c>
      <c r="BG32" s="40" t="n">
        <f aca="false">BG28*ResDeposit+BG30</f>
        <v>0</v>
      </c>
      <c r="BH32" s="40" t="n">
        <f aca="false">BH28*ResDeposit+BH30</f>
        <v>0</v>
      </c>
      <c r="BI32" s="40" t="n">
        <f aca="false">BI28*ResDeposit+BI30</f>
        <v>0</v>
      </c>
      <c r="BJ32" s="40" t="n">
        <f aca="false">BJ28*ResDeposit+BJ30</f>
        <v>0</v>
      </c>
      <c r="BK32" s="40" t="n">
        <f aca="false">BK28*ResDeposit+BK30</f>
        <v>0</v>
      </c>
      <c r="BL32" s="40" t="n">
        <f aca="false">BL28*ResDeposit+BL30</f>
        <v>0</v>
      </c>
      <c r="BM32" s="40" t="n">
        <f aca="false">BM28*ResDeposit+BM30</f>
        <v>0</v>
      </c>
      <c r="BN32" s="40" t="n">
        <f aca="false">BN28*ResDeposit+BN30</f>
        <v>0</v>
      </c>
      <c r="BO32" s="40" t="n">
        <f aca="false">BO28*ResDeposit+BO30</f>
        <v>0</v>
      </c>
      <c r="BP32" s="40" t="n">
        <f aca="false">BP28*ResDeposit+BP30</f>
        <v>0</v>
      </c>
      <c r="BQ32" s="40" t="n">
        <f aca="false">BQ28*ResDeposit+BQ30</f>
        <v>0</v>
      </c>
      <c r="BR32" s="40" t="n">
        <f aca="false">BR28*ResDeposit+BR30</f>
        <v>0</v>
      </c>
      <c r="BS32" s="40" t="n">
        <f aca="false">BS28*ResDeposit+BS30</f>
        <v>0</v>
      </c>
      <c r="BT32" s="40" t="n">
        <f aca="false">BT28*ResDeposit+BT30</f>
        <v>0</v>
      </c>
      <c r="BU32" s="40" t="n">
        <f aca="false">BU28*ResDeposit+BU30</f>
        <v>0</v>
      </c>
      <c r="BV32" s="40" t="n">
        <f aca="false">BV28*ResDeposit+BV30</f>
        <v>0</v>
      </c>
      <c r="BW32" s="40" t="n">
        <f aca="false">BW28*ResDeposit+BW30</f>
        <v>0</v>
      </c>
      <c r="BX32" s="40" t="n">
        <f aca="false">BX28*ResDeposit+BX30</f>
        <v>0</v>
      </c>
      <c r="BY32" s="40" t="n">
        <f aca="false">BY28*ResDeposit+BY30</f>
        <v>0</v>
      </c>
      <c r="BZ32" s="40" t="n">
        <f aca="false">BZ28*ResDeposit+BZ30</f>
        <v>0</v>
      </c>
      <c r="CA32" s="40" t="n">
        <f aca="false">CA28*ResDeposit+CA30</f>
        <v>0</v>
      </c>
      <c r="CB32" s="40" t="n">
        <f aca="false">CB28*ResDeposit+CB30</f>
        <v>0</v>
      </c>
      <c r="CC32" s="40" t="n">
        <f aca="false">CC28*ResDeposit+CC30</f>
        <v>0</v>
      </c>
      <c r="CD32" s="40" t="n">
        <f aca="false">CD28*ResDeposit+CD30</f>
        <v>0</v>
      </c>
      <c r="CE32" s="40" t="n">
        <f aca="false">CE28*ResDeposit+CE30</f>
        <v>0</v>
      </c>
      <c r="CF32" s="40" t="n">
        <f aca="false">CF28*ResDeposit+CF30</f>
        <v>0</v>
      </c>
      <c r="CG32" s="40" t="n">
        <f aca="false">CG28*ResDeposit+CG30</f>
        <v>0</v>
      </c>
      <c r="CH32" s="40" t="n">
        <f aca="false">CH28*ResDeposit+CH30</f>
        <v>0</v>
      </c>
      <c r="CI32" s="40" t="n">
        <f aca="false">CI28*ResDeposit+CI30</f>
        <v>0</v>
      </c>
      <c r="CJ32" s="40" t="n">
        <f aca="false">CJ28*ResDeposit+CJ30</f>
        <v>0</v>
      </c>
      <c r="CK32" s="40" t="n">
        <f aca="false">CK28*ResDeposit+CK30</f>
        <v>0</v>
      </c>
      <c r="CL32" s="40" t="n">
        <f aca="false">CL28*ResDeposit+CL30</f>
        <v>0</v>
      </c>
      <c r="CM32" s="40" t="n">
        <f aca="false">CM28*ResDeposit+CM30</f>
        <v>0</v>
      </c>
      <c r="CN32" s="40" t="n">
        <f aca="false">CN28*ResDeposit+CN30</f>
        <v>0</v>
      </c>
      <c r="CO32" s="40" t="n">
        <f aca="false">CO28*ResDeposit+CO30</f>
        <v>0</v>
      </c>
      <c r="CP32" s="40" t="n">
        <f aca="false">CP28*ResDeposit+CP30</f>
        <v>0</v>
      </c>
      <c r="CQ32" s="40" t="n">
        <f aca="false">CQ28*ResDeposit+CQ30</f>
        <v>0</v>
      </c>
      <c r="CR32" s="40" t="n">
        <f aca="false">CR28*ResDeposit+CR30</f>
        <v>0</v>
      </c>
      <c r="CS32" s="40" t="n">
        <f aca="false">CS28*ResDeposit+CS30</f>
        <v>0</v>
      </c>
      <c r="CT32" s="40" t="n">
        <f aca="false">CT28*ResDeposit+CT30</f>
        <v>0</v>
      </c>
      <c r="CU32" s="40" t="n">
        <f aca="false">CU28*ResDeposit+CU30</f>
        <v>0</v>
      </c>
    </row>
    <row r="33" customFormat="false" ht="15" hidden="false" customHeight="false" outlineLevel="0" collapsed="false">
      <c r="A33" s="35" t="s">
        <v>125</v>
      </c>
      <c r="C33" s="40" t="n">
        <f aca="false">IF(C$5&lt;BuildMonths,SUM($C32:C32)*C16*ResEscrowRel,SUM($C32:C32))</f>
        <v>0</v>
      </c>
      <c r="D33" s="40" t="n">
        <f aca="false">IF(D$5&lt;BuildMonths,SUM($C32:D32)*D16*ResEscrowRel,SUM($C32:D32))</f>
        <v>0</v>
      </c>
      <c r="E33" s="40" t="n">
        <f aca="false">IF(E$5&lt;BuildMonths,SUM($C32:E32)*E16*ResEscrowRel,SUM($C32:E32))</f>
        <v>0</v>
      </c>
      <c r="F33" s="40" t="n">
        <f aca="false">IF(F$5&lt;BuildMonths,SUM($C32:F32)*F16*ResEscrowRel,SUM($C32:F32))</f>
        <v>86587.3439626371</v>
      </c>
      <c r="G33" s="40" t="n">
        <f aca="false">IF(G$5&lt;BuildMonths,SUM($C32:G32)*G16*ResEscrowRel,SUM($C32:G32))</f>
        <v>335915.198651292</v>
      </c>
      <c r="H33" s="40" t="n">
        <f aca="false">IF(H$5&lt;BuildMonths,SUM($C32:H32)*H16*ResEscrowRel,SUM($C32:H32))</f>
        <v>870598.512725404</v>
      </c>
      <c r="I33" s="40" t="n">
        <f aca="false">IF(I$5&lt;BuildMonths,SUM($C32:I32)*I16*ResEscrowRel,SUM($C32:I32))</f>
        <v>1862330.22582222</v>
      </c>
      <c r="J33" s="40" t="n">
        <f aca="false">IF(J$5&lt;BuildMonths,SUM($C32:J32)*J16*ResEscrowRel,SUM($C32:J32))</f>
        <v>3539824.78517479</v>
      </c>
      <c r="K33" s="40" t="n">
        <f aca="false">IF(K$5&lt;BuildMonths,SUM($C32:K32)*K16*ResEscrowRel,SUM($C32:K32))</f>
        <v>6192834.0368487</v>
      </c>
      <c r="L33" s="40" t="n">
        <f aca="false">IF(L$5&lt;BuildMonths,SUM($C32:L32)*L16*ResEscrowRel,SUM($C32:L32))</f>
        <v>10171802.3473879</v>
      </c>
      <c r="M33" s="40" t="n">
        <f aca="false">IF(M$5&lt;BuildMonths,SUM($C32:M32)*M16*ResEscrowRel,SUM($C32:M32))</f>
        <v>15882944.439058</v>
      </c>
      <c r="N33" s="40" t="n">
        <f aca="false">IF(N$5&lt;BuildMonths,SUM($C32:N32)*N16*ResEscrowRel,SUM($C32:N32))</f>
        <v>23778759.050107</v>
      </c>
      <c r="O33" s="40" t="n">
        <f aca="false">IF(O$5&lt;BuildMonths,SUM($C32:O32)*O16*ResEscrowRel,SUM($C32:O32))</f>
        <v>34344223.6798948</v>
      </c>
      <c r="P33" s="40" t="n">
        <f aca="false">IF(P$5&lt;BuildMonths,SUM($C32:P32)*P16*ResEscrowRel,SUM($C32:P32))</f>
        <v>48079139.6964392</v>
      </c>
      <c r="Q33" s="40" t="n">
        <f aca="false">IF(Q$5&lt;BuildMonths,SUM($C32:Q32)*Q16*ResEscrowRel,SUM($C32:Q32))</f>
        <v>65477302.6106923</v>
      </c>
      <c r="R33" s="40" t="n">
        <f aca="false">IF(R$5&lt;BuildMonths,SUM($C32:R32)*R16*ResEscrowRel,SUM($C32:R32))</f>
        <v>87003349.7280984</v>
      </c>
      <c r="S33" s="40" t="n">
        <f aca="false">IF(S$5&lt;BuildMonths,SUM($C32:S32)*S16*ResEscrowRel,SUM($C32:S32))</f>
        <v>113068278.165414</v>
      </c>
      <c r="T33" s="40" t="n">
        <f aca="false">IF(T$5&lt;BuildMonths,SUM($C32:T32)*T16*ResEscrowRel,SUM($C32:T32))</f>
        <v>144004723.288328</v>
      </c>
      <c r="U33" s="40" t="n">
        <f aca="false">IF(U$5&lt;BuildMonths,SUM($C32:U32)*U16*ResEscrowRel,SUM($C32:U32))</f>
        <v>180043135.496165</v>
      </c>
      <c r="V33" s="40" t="n">
        <f aca="false">IF(V$5&lt;BuildMonths,SUM($C32:V32)*V16*ResEscrowRel,SUM($C32:V32))</f>
        <v>221289987.98671</v>
      </c>
      <c r="W33" s="40" t="n">
        <f aca="false">IF(W$5&lt;BuildMonths,SUM($C32:W32)*W16*ResEscrowRel,SUM($C32:W32))</f>
        <v>267709086.684485</v>
      </c>
      <c r="X33" s="40" t="n">
        <f aca="false">IF(X$5&lt;BuildMonths,SUM($C32:X32)*X16*ResEscrowRel,SUM($C32:X32))</f>
        <v>319106932.293685</v>
      </c>
      <c r="Y33" s="40" t="n">
        <f aca="false">IF(Y$5&lt;BuildMonths,SUM($C32:Y32)*Y16*ResEscrowRel,SUM($C32:Y32))</f>
        <v>375122894.91807</v>
      </c>
      <c r="Z33" s="40" t="n">
        <f aca="false">IF(Z$5&lt;BuildMonths,SUM($C32:Z32)*Z16*ResEscrowRel,SUM($C32:Z32))</f>
        <v>435224678.463278</v>
      </c>
      <c r="AA33" s="40" t="n">
        <f aca="false">IF(AA$5&lt;BuildMonths,SUM($C32:AA32)*AA16*ResEscrowRel,SUM($C32:AA32))</f>
        <v>498709096.108257</v>
      </c>
      <c r="AB33" s="40" t="n">
        <f aca="false">IF(AB$5&lt;BuildMonths,SUM($C32:AB32)*AB16*ResEscrowRel,SUM($C32:AB32))</f>
        <v>564707290.118411</v>
      </c>
      <c r="AC33" s="40" t="n">
        <f aca="false">IF(AC$5&lt;BuildMonths,SUM($C32:AC32)*AC16*ResEscrowRel,SUM($C32:AC32))</f>
        <v>632191259.441955</v>
      </c>
      <c r="AD33" s="40" t="n">
        <f aca="false">IF(AD$5&lt;BuildMonths,SUM($C32:AD32)*AD16*ResEscrowRel,SUM($C32:AD32))</f>
        <v>699970767.764658</v>
      </c>
      <c r="AE33" s="40" t="n">
        <f aca="false">IF(AE$5&lt;BuildMonths,SUM($C32:AE32)*AE16*ResEscrowRel,SUM($C32:AE32))</f>
        <v>766632931.871402</v>
      </c>
      <c r="AF33" s="40" t="n">
        <f aca="false">IF(AF$5&lt;BuildMonths,SUM($C32:AF32)*AF16*ResEscrowRel,SUM($C32:AF32))</f>
        <v>830108398.358879</v>
      </c>
      <c r="AG33" s="40" t="n">
        <f aca="false">IF(AG$5&lt;BuildMonths,SUM($C32:AG32)*AG16*ResEscrowRel,SUM($C32:AG32))</f>
        <v>882000000</v>
      </c>
      <c r="AH33" s="40" t="n">
        <f aca="false">IF(AH$5&lt;BuildMonths,SUM($C32:AH32)*AH16*ResEscrowRel,SUM($C32:AH32))</f>
        <v>913500000</v>
      </c>
      <c r="AI33" s="40" t="n">
        <f aca="false">IF(AI$5&lt;BuildMonths,SUM($C32:AI32)*AI16*ResEscrowRel,SUM($C32:AI32))</f>
        <v>945000000</v>
      </c>
      <c r="AJ33" s="40" t="n">
        <f aca="false">IF(AJ$5&lt;BuildMonths,SUM($C32:AJ32)*AJ16*ResEscrowRel,SUM($C32:AJ32))</f>
        <v>945000000</v>
      </c>
      <c r="AK33" s="40" t="n">
        <f aca="false">IF(AK$5&lt;BuildMonths,SUM($C32:AK32)*AK16*ResEscrowRel,SUM($C32:AK32))</f>
        <v>945000000</v>
      </c>
      <c r="AL33" s="40" t="n">
        <f aca="false">IF(AL$5&lt;BuildMonths,SUM($C32:AL32)*AL16*ResEscrowRel,SUM($C32:AL32))</f>
        <v>945000000</v>
      </c>
      <c r="AM33" s="40" t="n">
        <f aca="false">IF(AM$5&lt;BuildMonths,SUM($C32:AM32)*AM16*ResEscrowRel,SUM($C32:AM32))</f>
        <v>945000000</v>
      </c>
      <c r="AN33" s="40" t="n">
        <f aca="false">IF(AN$5&lt;BuildMonths,SUM($C32:AN32)*AN16*ResEscrowRel,SUM($C32:AN32))</f>
        <v>945000000</v>
      </c>
      <c r="AO33" s="40" t="n">
        <f aca="false">IF(AO$5&lt;BuildMonths,SUM($C32:AO32)*AO16*ResEscrowRel,SUM($C32:AO32))</f>
        <v>945000000</v>
      </c>
      <c r="AP33" s="40" t="n">
        <f aca="false">IF(AP$5&lt;BuildMonths,SUM($C32:AP32)*AP16*ResEscrowRel,SUM($C32:AP32))</f>
        <v>945000000</v>
      </c>
      <c r="AQ33" s="40" t="n">
        <f aca="false">IF(AQ$5&lt;BuildMonths,SUM($C32:AQ32)*AQ16*ResEscrowRel,SUM($C32:AQ32))</f>
        <v>945000000</v>
      </c>
      <c r="AR33" s="40" t="n">
        <f aca="false">IF(AR$5&lt;BuildMonths,SUM($C32:AR32)*AR16*ResEscrowRel,SUM($C32:AR32))</f>
        <v>945000000</v>
      </c>
      <c r="AS33" s="40" t="n">
        <f aca="false">IF(AS$5&lt;BuildMonths,SUM($C32:AS32)*AS16*ResEscrowRel,SUM($C32:AS32))</f>
        <v>945000000</v>
      </c>
      <c r="AT33" s="40" t="n">
        <f aca="false">IF(AT$5&lt;BuildMonths,SUM($C32:AT32)*AT16*ResEscrowRel,SUM($C32:AT32))</f>
        <v>945000000</v>
      </c>
      <c r="AU33" s="40" t="n">
        <f aca="false">IF(AU$5&lt;BuildMonths,SUM($C32:AU32)*AU16*ResEscrowRel,SUM($C32:AU32))</f>
        <v>945000000</v>
      </c>
      <c r="AV33" s="40" t="n">
        <f aca="false">IF(AV$5&lt;BuildMonths,SUM($C32:AV32)*AV16*ResEscrowRel,SUM($C32:AV32))</f>
        <v>945000000</v>
      </c>
      <c r="AW33" s="40" t="n">
        <f aca="false">IF(AW$5&lt;BuildMonths,SUM($C32:AW32)*AW16*ResEscrowRel,SUM($C32:AW32))</f>
        <v>945000000</v>
      </c>
      <c r="AX33" s="40" t="n">
        <f aca="false">IF(AX$5&lt;BuildMonths,SUM($C32:AX32)*AX16*ResEscrowRel,SUM($C32:AX32))</f>
        <v>945000000</v>
      </c>
      <c r="AY33" s="40" t="n">
        <f aca="false">IF(AY$5&lt;BuildMonths,SUM($C32:AY32)*AY16*ResEscrowRel,SUM($C32:AY32))</f>
        <v>945000000</v>
      </c>
      <c r="AZ33" s="40" t="n">
        <f aca="false">IF(AZ$5&lt;BuildMonths,SUM($C32:AZ32)*AZ16*ResEscrowRel,SUM($C32:AZ32))</f>
        <v>945000000</v>
      </c>
      <c r="BA33" s="40" t="n">
        <f aca="false">IF(BA$5&lt;BuildMonths,SUM($C32:BA32)*BA16*ResEscrowRel,SUM($C32:BA32))</f>
        <v>945000000</v>
      </c>
      <c r="BB33" s="40" t="n">
        <f aca="false">IF(BB$5&lt;BuildMonths,SUM($C32:BB32)*BB16*ResEscrowRel,SUM($C32:BB32))</f>
        <v>945000000</v>
      </c>
      <c r="BC33" s="40" t="n">
        <f aca="false">IF(BC$5&lt;BuildMonths,SUM($C32:BC32)*BC16*ResEscrowRel,SUM($C32:BC32))</f>
        <v>945000000</v>
      </c>
      <c r="BD33" s="40" t="n">
        <f aca="false">IF(BD$5&lt;BuildMonths,SUM($C32:BD32)*BD16*ResEscrowRel,SUM($C32:BD32))</f>
        <v>945000000</v>
      </c>
      <c r="BE33" s="40" t="n">
        <f aca="false">IF(BE$5&lt;BuildMonths,SUM($C32:BE32)*BE16*ResEscrowRel,SUM($C32:BE32))</f>
        <v>945000000</v>
      </c>
      <c r="BF33" s="40" t="n">
        <f aca="false">IF(BF$5&lt;BuildMonths,SUM($C32:BF32)*BF16*ResEscrowRel,SUM($C32:BF32))</f>
        <v>945000000</v>
      </c>
      <c r="BG33" s="40" t="n">
        <f aca="false">IF(BG$5&lt;BuildMonths,SUM($C32:BG32)*BG16*ResEscrowRel,SUM($C32:BG32))</f>
        <v>945000000</v>
      </c>
      <c r="BH33" s="40" t="n">
        <f aca="false">IF(BH$5&lt;BuildMonths,SUM($C32:BH32)*BH16*ResEscrowRel,SUM($C32:BH32))</f>
        <v>945000000</v>
      </c>
      <c r="BI33" s="40" t="n">
        <f aca="false">IF(BI$5&lt;BuildMonths,SUM($C32:BI32)*BI16*ResEscrowRel,SUM($C32:BI32))</f>
        <v>945000000</v>
      </c>
      <c r="BJ33" s="40" t="n">
        <f aca="false">IF(BJ$5&lt;BuildMonths,SUM($C32:BJ32)*BJ16*ResEscrowRel,SUM($C32:BJ32))</f>
        <v>945000000</v>
      </c>
      <c r="BK33" s="40" t="n">
        <f aca="false">IF(BK$5&lt;BuildMonths,SUM($C32:BK32)*BK16*ResEscrowRel,SUM($C32:BK32))</f>
        <v>945000000</v>
      </c>
      <c r="BL33" s="40" t="n">
        <f aca="false">IF(BL$5&lt;BuildMonths,SUM($C32:BL32)*BL16*ResEscrowRel,SUM($C32:BL32))</f>
        <v>945000000</v>
      </c>
      <c r="BM33" s="40" t="n">
        <f aca="false">IF(BM$5&lt;BuildMonths,SUM($C32:BM32)*BM16*ResEscrowRel,SUM($C32:BM32))</f>
        <v>945000000</v>
      </c>
      <c r="BN33" s="40" t="n">
        <f aca="false">IF(BN$5&lt;BuildMonths,SUM($C32:BN32)*BN16*ResEscrowRel,SUM($C32:BN32))</f>
        <v>945000000</v>
      </c>
      <c r="BO33" s="40" t="n">
        <f aca="false">IF(BO$5&lt;BuildMonths,SUM($C32:BO32)*BO16*ResEscrowRel,SUM($C32:BO32))</f>
        <v>945000000</v>
      </c>
      <c r="BP33" s="40" t="n">
        <f aca="false">IF(BP$5&lt;BuildMonths,SUM($C32:BP32)*BP16*ResEscrowRel,SUM($C32:BP32))</f>
        <v>945000000</v>
      </c>
      <c r="BQ33" s="40" t="n">
        <f aca="false">IF(BQ$5&lt;BuildMonths,SUM($C32:BQ32)*BQ16*ResEscrowRel,SUM($C32:BQ32))</f>
        <v>945000000</v>
      </c>
      <c r="BR33" s="40" t="n">
        <f aca="false">IF(BR$5&lt;BuildMonths,SUM($C32:BR32)*BR16*ResEscrowRel,SUM($C32:BR32))</f>
        <v>945000000</v>
      </c>
      <c r="BS33" s="40" t="n">
        <f aca="false">IF(BS$5&lt;BuildMonths,SUM($C32:BS32)*BS16*ResEscrowRel,SUM($C32:BS32))</f>
        <v>945000000</v>
      </c>
      <c r="BT33" s="40" t="n">
        <f aca="false">IF(BT$5&lt;BuildMonths,SUM($C32:BT32)*BT16*ResEscrowRel,SUM($C32:BT32))</f>
        <v>945000000</v>
      </c>
      <c r="BU33" s="40" t="n">
        <f aca="false">IF(BU$5&lt;BuildMonths,SUM($C32:BU32)*BU16*ResEscrowRel,SUM($C32:BU32))</f>
        <v>945000000</v>
      </c>
      <c r="BV33" s="40" t="n">
        <f aca="false">IF(BV$5&lt;BuildMonths,SUM($C32:BV32)*BV16*ResEscrowRel,SUM($C32:BV32))</f>
        <v>945000000</v>
      </c>
      <c r="BW33" s="40" t="n">
        <f aca="false">IF(BW$5&lt;BuildMonths,SUM($C32:BW32)*BW16*ResEscrowRel,SUM($C32:BW32))</f>
        <v>945000000</v>
      </c>
      <c r="BX33" s="40" t="n">
        <f aca="false">IF(BX$5&lt;BuildMonths,SUM($C32:BX32)*BX16*ResEscrowRel,SUM($C32:BX32))</f>
        <v>945000000</v>
      </c>
      <c r="BY33" s="40" t="n">
        <f aca="false">IF(BY$5&lt;BuildMonths,SUM($C32:BY32)*BY16*ResEscrowRel,SUM($C32:BY32))</f>
        <v>945000000</v>
      </c>
      <c r="BZ33" s="40" t="n">
        <f aca="false">IF(BZ$5&lt;BuildMonths,SUM($C32:BZ32)*BZ16*ResEscrowRel,SUM($C32:BZ32))</f>
        <v>945000000</v>
      </c>
      <c r="CA33" s="40" t="n">
        <f aca="false">IF(CA$5&lt;BuildMonths,SUM($C32:CA32)*CA16*ResEscrowRel,SUM($C32:CA32))</f>
        <v>945000000</v>
      </c>
      <c r="CB33" s="40" t="n">
        <f aca="false">IF(CB$5&lt;BuildMonths,SUM($C32:CB32)*CB16*ResEscrowRel,SUM($C32:CB32))</f>
        <v>945000000</v>
      </c>
      <c r="CC33" s="40" t="n">
        <f aca="false">IF(CC$5&lt;BuildMonths,SUM($C32:CC32)*CC16*ResEscrowRel,SUM($C32:CC32))</f>
        <v>945000000</v>
      </c>
      <c r="CD33" s="40" t="n">
        <f aca="false">IF(CD$5&lt;BuildMonths,SUM($C32:CD32)*CD16*ResEscrowRel,SUM($C32:CD32))</f>
        <v>945000000</v>
      </c>
      <c r="CE33" s="40" t="n">
        <f aca="false">IF(CE$5&lt;BuildMonths,SUM($C32:CE32)*CE16*ResEscrowRel,SUM($C32:CE32))</f>
        <v>945000000</v>
      </c>
      <c r="CF33" s="40" t="n">
        <f aca="false">IF(CF$5&lt;BuildMonths,SUM($C32:CF32)*CF16*ResEscrowRel,SUM($C32:CF32))</f>
        <v>945000000</v>
      </c>
      <c r="CG33" s="40" t="n">
        <f aca="false">IF(CG$5&lt;BuildMonths,SUM($C32:CG32)*CG16*ResEscrowRel,SUM($C32:CG32))</f>
        <v>945000000</v>
      </c>
      <c r="CH33" s="40" t="n">
        <f aca="false">IF(CH$5&lt;BuildMonths,SUM($C32:CH32)*CH16*ResEscrowRel,SUM($C32:CH32))</f>
        <v>945000000</v>
      </c>
      <c r="CI33" s="40" t="n">
        <f aca="false">IF(CI$5&lt;BuildMonths,SUM($C32:CI32)*CI16*ResEscrowRel,SUM($C32:CI32))</f>
        <v>945000000</v>
      </c>
      <c r="CJ33" s="40" t="n">
        <f aca="false">IF(CJ$5&lt;BuildMonths,SUM($C32:CJ32)*CJ16*ResEscrowRel,SUM($C32:CJ32))</f>
        <v>945000000</v>
      </c>
      <c r="CK33" s="40" t="n">
        <f aca="false">IF(CK$5&lt;BuildMonths,SUM($C32:CK32)*CK16*ResEscrowRel,SUM($C32:CK32))</f>
        <v>945000000</v>
      </c>
      <c r="CL33" s="40" t="n">
        <f aca="false">IF(CL$5&lt;BuildMonths,SUM($C32:CL32)*CL16*ResEscrowRel,SUM($C32:CL32))</f>
        <v>945000000</v>
      </c>
      <c r="CM33" s="40" t="n">
        <f aca="false">IF(CM$5&lt;BuildMonths,SUM($C32:CM32)*CM16*ResEscrowRel,SUM($C32:CM32))</f>
        <v>945000000</v>
      </c>
      <c r="CN33" s="40" t="n">
        <f aca="false">IF(CN$5&lt;BuildMonths,SUM($C32:CN32)*CN16*ResEscrowRel,SUM($C32:CN32))</f>
        <v>945000000</v>
      </c>
      <c r="CO33" s="40" t="n">
        <f aca="false">IF(CO$5&lt;BuildMonths,SUM($C32:CO32)*CO16*ResEscrowRel,SUM($C32:CO32))</f>
        <v>945000000</v>
      </c>
      <c r="CP33" s="40" t="n">
        <f aca="false">IF(CP$5&lt;BuildMonths,SUM($C32:CP32)*CP16*ResEscrowRel,SUM($C32:CP32))</f>
        <v>945000000</v>
      </c>
      <c r="CQ33" s="40" t="n">
        <f aca="false">IF(CQ$5&lt;BuildMonths,SUM($C32:CQ32)*CQ16*ResEscrowRel,SUM($C32:CQ32))</f>
        <v>945000000</v>
      </c>
      <c r="CR33" s="40" t="n">
        <f aca="false">IF(CR$5&lt;BuildMonths,SUM($C32:CR32)*CR16*ResEscrowRel,SUM($C32:CR32))</f>
        <v>945000000</v>
      </c>
      <c r="CS33" s="40" t="n">
        <f aca="false">IF(CS$5&lt;BuildMonths,SUM($C32:CS32)*CS16*ResEscrowRel,SUM($C32:CS32))</f>
        <v>945000000</v>
      </c>
      <c r="CT33" s="40" t="n">
        <f aca="false">IF(CT$5&lt;BuildMonths,SUM($C32:CT32)*CT16*ResEscrowRel,SUM($C32:CT32))</f>
        <v>945000000</v>
      </c>
      <c r="CU33" s="40" t="n">
        <f aca="false">IF(CU$5&lt;BuildMonths,SUM($C32:CU32)*CU16*ResEscrowRel,SUM($C32:CU32))</f>
        <v>945000000</v>
      </c>
    </row>
    <row r="34" customFormat="false" ht="15" hidden="false" customHeight="false" outlineLevel="0" collapsed="false">
      <c r="A34" s="35" t="s">
        <v>126</v>
      </c>
      <c r="B34" s="26" t="n">
        <f aca="false">SUM(C34:CU34)</f>
        <v>945000000</v>
      </c>
      <c r="C34" s="40" t="n">
        <f aca="false">C33</f>
        <v>0</v>
      </c>
      <c r="D34" s="40" t="n">
        <f aca="false">MAX(0,D33-SUM($C34:C34))</f>
        <v>0</v>
      </c>
      <c r="E34" s="40" t="n">
        <f aca="false">MAX(0,E33-SUM($C34:D34))</f>
        <v>0</v>
      </c>
      <c r="F34" s="40" t="n">
        <f aca="false">MAX(0,F33-SUM($C34:E34))</f>
        <v>86587.3439626371</v>
      </c>
      <c r="G34" s="40" t="n">
        <f aca="false">MAX(0,G33-SUM($C34:F34))</f>
        <v>249327.854688654</v>
      </c>
      <c r="H34" s="40" t="n">
        <f aca="false">MAX(0,H33-SUM($C34:G34))</f>
        <v>534683.314074112</v>
      </c>
      <c r="I34" s="40" t="n">
        <f aca="false">MAX(0,I33-SUM($C34:H34))</f>
        <v>991731.713096814</v>
      </c>
      <c r="J34" s="40" t="n">
        <f aca="false">MAX(0,J33-SUM($C34:I34))</f>
        <v>1677494.55935258</v>
      </c>
      <c r="K34" s="40" t="n">
        <f aca="false">MAX(0,K33-SUM($C34:J34))</f>
        <v>2653009.2516739</v>
      </c>
      <c r="L34" s="40" t="n">
        <f aca="false">MAX(0,L33-SUM($C34:K34))</f>
        <v>3978968.31053923</v>
      </c>
      <c r="M34" s="40" t="n">
        <f aca="false">MAX(0,M33-SUM($C34:L34))</f>
        <v>5711142.0916701</v>
      </c>
      <c r="N34" s="40" t="n">
        <f aca="false">MAX(0,N33-SUM($C34:M34))</f>
        <v>7895814.61104896</v>
      </c>
      <c r="O34" s="40" t="n">
        <f aca="false">MAX(0,O33-SUM($C34:N34))</f>
        <v>10565464.6297878</v>
      </c>
      <c r="P34" s="40" t="n">
        <f aca="false">MAX(0,P33-SUM($C34:O34))</f>
        <v>13734916.0165445</v>
      </c>
      <c r="Q34" s="40" t="n">
        <f aca="false">MAX(0,Q33-SUM($C34:P34))</f>
        <v>17398162.9142531</v>
      </c>
      <c r="R34" s="40" t="n">
        <f aca="false">MAX(0,R33-SUM($C34:Q34))</f>
        <v>21526047.1174061</v>
      </c>
      <c r="S34" s="40" t="n">
        <f aca="false">MAX(0,S33-SUM($C34:R34))</f>
        <v>26064928.437316</v>
      </c>
      <c r="T34" s="40" t="n">
        <f aca="false">MAX(0,T33-SUM($C34:S34))</f>
        <v>30936445.1229136</v>
      </c>
      <c r="U34" s="40" t="n">
        <f aca="false">MAX(0,U33-SUM($C34:T34))</f>
        <v>36038412.207837</v>
      </c>
      <c r="V34" s="40" t="n">
        <f aca="false">MAX(0,V33-SUM($C34:U34))</f>
        <v>41246852.4905445</v>
      </c>
      <c r="W34" s="40" t="n">
        <f aca="false">MAX(0,W33-SUM($C34:V34))</f>
        <v>46419098.6977758</v>
      </c>
      <c r="X34" s="40" t="n">
        <f aca="false">MAX(0,X33-SUM($C34:W34))</f>
        <v>51397845.6091996</v>
      </c>
      <c r="Y34" s="40" t="n">
        <f aca="false">MAX(0,Y33-SUM($C34:X34))</f>
        <v>56015962.6243855</v>
      </c>
      <c r="Z34" s="40" t="n">
        <f aca="false">MAX(0,Z33-SUM($C34:Y34))</f>
        <v>60101783.5452073</v>
      </c>
      <c r="AA34" s="40" t="n">
        <f aca="false">MAX(0,AA33-SUM($C34:Z34))</f>
        <v>63484417.6449791</v>
      </c>
      <c r="AB34" s="40" t="n">
        <f aca="false">MAX(0,AB33-SUM($C34:AA34))</f>
        <v>65998194.0101543</v>
      </c>
      <c r="AC34" s="40" t="n">
        <f aca="false">MAX(0,AC33-SUM($C34:AB34))</f>
        <v>67483969.323544</v>
      </c>
      <c r="AD34" s="40" t="n">
        <f aca="false">MAX(0,AD33-SUM($C34:AC34))</f>
        <v>67779508.3227029</v>
      </c>
      <c r="AE34" s="40" t="n">
        <f aca="false">MAX(0,AE33-SUM($C34:AD34))</f>
        <v>66662164.1067436</v>
      </c>
      <c r="AF34" s="40" t="n">
        <f aca="false">MAX(0,AF33-SUM($C34:AE34))</f>
        <v>63475466.4874779</v>
      </c>
      <c r="AG34" s="40" t="n">
        <f aca="false">MAX(0,AG33-SUM($C34:AF34))</f>
        <v>51891601.6411206</v>
      </c>
      <c r="AH34" s="40" t="n">
        <f aca="false">MAX(0,AH33-SUM($C34:AG34))</f>
        <v>31500000</v>
      </c>
      <c r="AI34" s="40" t="n">
        <f aca="false">MAX(0,AI33-SUM($C34:AH34))</f>
        <v>31500000</v>
      </c>
      <c r="AJ34" s="40" t="n">
        <f aca="false">MAX(0,AJ33-SUM($C34:AI34))</f>
        <v>0</v>
      </c>
      <c r="AK34" s="40" t="n">
        <f aca="false">MAX(0,AK33-SUM($C34:AJ34))</f>
        <v>0</v>
      </c>
      <c r="AL34" s="40" t="n">
        <f aca="false">MAX(0,AL33-SUM($C34:AK34))</f>
        <v>0</v>
      </c>
      <c r="AM34" s="40" t="n">
        <f aca="false">MAX(0,AM33-SUM($C34:AL34))</f>
        <v>0</v>
      </c>
      <c r="AN34" s="40" t="n">
        <f aca="false">MAX(0,AN33-SUM($C34:AM34))</f>
        <v>0</v>
      </c>
      <c r="AO34" s="40" t="n">
        <f aca="false">MAX(0,AO33-SUM($C34:AN34))</f>
        <v>0</v>
      </c>
      <c r="AP34" s="40" t="n">
        <f aca="false">MAX(0,AP33-SUM($C34:AO34))</f>
        <v>0</v>
      </c>
      <c r="AQ34" s="40" t="n">
        <f aca="false">MAX(0,AQ33-SUM($C34:AP34))</f>
        <v>0</v>
      </c>
      <c r="AR34" s="40" t="n">
        <f aca="false">MAX(0,AR33-SUM($C34:AQ34))</f>
        <v>0</v>
      </c>
      <c r="AS34" s="40" t="n">
        <f aca="false">MAX(0,AS33-SUM($C34:AR34))</f>
        <v>0</v>
      </c>
      <c r="AT34" s="40" t="n">
        <f aca="false">MAX(0,AT33-SUM($C34:AS34))</f>
        <v>0</v>
      </c>
      <c r="AU34" s="40" t="n">
        <f aca="false">MAX(0,AU33-SUM($C34:AT34))</f>
        <v>0</v>
      </c>
      <c r="AV34" s="40" t="n">
        <f aca="false">MAX(0,AV33-SUM($C34:AU34))</f>
        <v>0</v>
      </c>
      <c r="AW34" s="40" t="n">
        <f aca="false">MAX(0,AW33-SUM($C34:AV34))</f>
        <v>0</v>
      </c>
      <c r="AX34" s="40" t="n">
        <f aca="false">MAX(0,AX33-SUM($C34:AW34))</f>
        <v>0</v>
      </c>
      <c r="AY34" s="40" t="n">
        <f aca="false">MAX(0,AY33-SUM($C34:AX34))</f>
        <v>0</v>
      </c>
      <c r="AZ34" s="40" t="n">
        <f aca="false">MAX(0,AZ33-SUM($C34:AY34))</f>
        <v>0</v>
      </c>
      <c r="BA34" s="40" t="n">
        <f aca="false">MAX(0,BA33-SUM($C34:AZ34))</f>
        <v>0</v>
      </c>
      <c r="BB34" s="40" t="n">
        <f aca="false">MAX(0,BB33-SUM($C34:BA34))</f>
        <v>0</v>
      </c>
      <c r="BC34" s="40" t="n">
        <f aca="false">MAX(0,BC33-SUM($C34:BB34))</f>
        <v>0</v>
      </c>
      <c r="BD34" s="40" t="n">
        <f aca="false">MAX(0,BD33-SUM($C34:BC34))</f>
        <v>0</v>
      </c>
      <c r="BE34" s="40" t="n">
        <f aca="false">MAX(0,BE33-SUM($C34:BD34))</f>
        <v>0</v>
      </c>
      <c r="BF34" s="40" t="n">
        <f aca="false">MAX(0,BF33-SUM($C34:BE34))</f>
        <v>0</v>
      </c>
      <c r="BG34" s="40" t="n">
        <f aca="false">MAX(0,BG33-SUM($C34:BF34))</f>
        <v>0</v>
      </c>
      <c r="BH34" s="40" t="n">
        <f aca="false">MAX(0,BH33-SUM($C34:BG34))</f>
        <v>0</v>
      </c>
      <c r="BI34" s="40" t="n">
        <f aca="false">MAX(0,BI33-SUM($C34:BH34))</f>
        <v>0</v>
      </c>
      <c r="BJ34" s="40" t="n">
        <f aca="false">MAX(0,BJ33-SUM($C34:BI34))</f>
        <v>0</v>
      </c>
      <c r="BK34" s="40" t="n">
        <f aca="false">MAX(0,BK33-SUM($C34:BJ34))</f>
        <v>0</v>
      </c>
      <c r="BL34" s="40" t="n">
        <f aca="false">MAX(0,BL33-SUM($C34:BK34))</f>
        <v>0</v>
      </c>
      <c r="BM34" s="40" t="n">
        <f aca="false">MAX(0,BM33-SUM($C34:BL34))</f>
        <v>0</v>
      </c>
      <c r="BN34" s="40" t="n">
        <f aca="false">MAX(0,BN33-SUM($C34:BM34))</f>
        <v>0</v>
      </c>
      <c r="BO34" s="40" t="n">
        <f aca="false">MAX(0,BO33-SUM($C34:BN34))</f>
        <v>0</v>
      </c>
      <c r="BP34" s="40" t="n">
        <f aca="false">MAX(0,BP33-SUM($C34:BO34))</f>
        <v>0</v>
      </c>
      <c r="BQ34" s="40" t="n">
        <f aca="false">MAX(0,BQ33-SUM($C34:BP34))</f>
        <v>0</v>
      </c>
      <c r="BR34" s="40" t="n">
        <f aca="false">MAX(0,BR33-SUM($C34:BQ34))</f>
        <v>0</v>
      </c>
      <c r="BS34" s="40" t="n">
        <f aca="false">MAX(0,BS33-SUM($C34:BR34))</f>
        <v>0</v>
      </c>
      <c r="BT34" s="40" t="n">
        <f aca="false">MAX(0,BT33-SUM($C34:BS34))</f>
        <v>0</v>
      </c>
      <c r="BU34" s="40" t="n">
        <f aca="false">MAX(0,BU33-SUM($C34:BT34))</f>
        <v>0</v>
      </c>
      <c r="BV34" s="40" t="n">
        <f aca="false">MAX(0,BV33-SUM($C34:BU34))</f>
        <v>0</v>
      </c>
      <c r="BW34" s="40" t="n">
        <f aca="false">MAX(0,BW33-SUM($C34:BV34))</f>
        <v>0</v>
      </c>
      <c r="BX34" s="40" t="n">
        <f aca="false">MAX(0,BX33-SUM($C34:BW34))</f>
        <v>0</v>
      </c>
      <c r="BY34" s="40" t="n">
        <f aca="false">MAX(0,BY33-SUM($C34:BX34))</f>
        <v>0</v>
      </c>
      <c r="BZ34" s="40" t="n">
        <f aca="false">MAX(0,BZ33-SUM($C34:BY34))</f>
        <v>0</v>
      </c>
      <c r="CA34" s="40" t="n">
        <f aca="false">MAX(0,CA33-SUM($C34:BZ34))</f>
        <v>0</v>
      </c>
      <c r="CB34" s="40" t="n">
        <f aca="false">MAX(0,CB33-SUM($C34:CA34))</f>
        <v>0</v>
      </c>
      <c r="CC34" s="40" t="n">
        <f aca="false">MAX(0,CC33-SUM($C34:CB34))</f>
        <v>0</v>
      </c>
      <c r="CD34" s="40" t="n">
        <f aca="false">MAX(0,CD33-SUM($C34:CC34))</f>
        <v>0</v>
      </c>
      <c r="CE34" s="40" t="n">
        <f aca="false">MAX(0,CE33-SUM($C34:CD34))</f>
        <v>0</v>
      </c>
      <c r="CF34" s="40" t="n">
        <f aca="false">MAX(0,CF33-SUM($C34:CE34))</f>
        <v>0</v>
      </c>
      <c r="CG34" s="40" t="n">
        <f aca="false">MAX(0,CG33-SUM($C34:CF34))</f>
        <v>0</v>
      </c>
      <c r="CH34" s="40" t="n">
        <f aca="false">MAX(0,CH33-SUM($C34:CG34))</f>
        <v>0</v>
      </c>
      <c r="CI34" s="40" t="n">
        <f aca="false">MAX(0,CI33-SUM($C34:CH34))</f>
        <v>0</v>
      </c>
      <c r="CJ34" s="40" t="n">
        <f aca="false">MAX(0,CJ33-SUM($C34:CI34))</f>
        <v>0</v>
      </c>
      <c r="CK34" s="40" t="n">
        <f aca="false">MAX(0,CK33-SUM($C34:CJ34))</f>
        <v>0</v>
      </c>
      <c r="CL34" s="40" t="n">
        <f aca="false">MAX(0,CL33-SUM($C34:CK34))</f>
        <v>0</v>
      </c>
      <c r="CM34" s="40" t="n">
        <f aca="false">MAX(0,CM33-SUM($C34:CL34))</f>
        <v>0</v>
      </c>
      <c r="CN34" s="40" t="n">
        <f aca="false">MAX(0,CN33-SUM($C34:CM34))</f>
        <v>0</v>
      </c>
      <c r="CO34" s="40" t="n">
        <f aca="false">MAX(0,CO33-SUM($C34:CN34))</f>
        <v>0</v>
      </c>
      <c r="CP34" s="40" t="n">
        <f aca="false">MAX(0,CP33-SUM($C34:CO34))</f>
        <v>0</v>
      </c>
      <c r="CQ34" s="40" t="n">
        <f aca="false">MAX(0,CQ33-SUM($C34:CP34))</f>
        <v>0</v>
      </c>
      <c r="CR34" s="40" t="n">
        <f aca="false">MAX(0,CR33-SUM($C34:CQ34))</f>
        <v>0</v>
      </c>
      <c r="CS34" s="40" t="n">
        <f aca="false">MAX(0,CS33-SUM($C34:CR34))</f>
        <v>0</v>
      </c>
      <c r="CT34" s="40" t="n">
        <f aca="false">MAX(0,CT33-SUM($C34:CS34))</f>
        <v>0</v>
      </c>
      <c r="CU34" s="40" t="n">
        <f aca="false">MAX(0,CU33-SUM($C34:CT34))</f>
        <v>0</v>
      </c>
    </row>
    <row r="35" customFormat="false" ht="15" hidden="false" customHeight="false" outlineLevel="0" collapsed="false">
      <c r="A35" s="35" t="s">
        <v>62</v>
      </c>
      <c r="B35" s="26" t="n">
        <f aca="false">SUM(C35:CU35)</f>
        <v>23625000</v>
      </c>
      <c r="C35" s="40" t="n">
        <f aca="false">C28*SalesComm</f>
        <v>0</v>
      </c>
      <c r="D35" s="40" t="n">
        <f aca="false">D28*SalesComm</f>
        <v>0</v>
      </c>
      <c r="E35" s="40" t="n">
        <f aca="false">E28*SalesComm</f>
        <v>0</v>
      </c>
      <c r="F35" s="40" t="n">
        <f aca="false">F28*SalesComm</f>
        <v>787500</v>
      </c>
      <c r="G35" s="40" t="n">
        <f aca="false">G28*SalesComm</f>
        <v>787500</v>
      </c>
      <c r="H35" s="40" t="n">
        <f aca="false">H28*SalesComm</f>
        <v>787500</v>
      </c>
      <c r="I35" s="40" t="n">
        <f aca="false">I28*SalesComm</f>
        <v>787500</v>
      </c>
      <c r="J35" s="40" t="n">
        <f aca="false">J28*SalesComm</f>
        <v>787500</v>
      </c>
      <c r="K35" s="40" t="n">
        <f aca="false">K28*SalesComm</f>
        <v>787500</v>
      </c>
      <c r="L35" s="40" t="n">
        <f aca="false">L28*SalesComm</f>
        <v>787500</v>
      </c>
      <c r="M35" s="40" t="n">
        <f aca="false">M28*SalesComm</f>
        <v>787500</v>
      </c>
      <c r="N35" s="40" t="n">
        <f aca="false">N28*SalesComm</f>
        <v>787500</v>
      </c>
      <c r="O35" s="40" t="n">
        <f aca="false">O28*SalesComm</f>
        <v>787500</v>
      </c>
      <c r="P35" s="40" t="n">
        <f aca="false">P28*SalesComm</f>
        <v>787500</v>
      </c>
      <c r="Q35" s="40" t="n">
        <f aca="false">Q28*SalesComm</f>
        <v>787500</v>
      </c>
      <c r="R35" s="40" t="n">
        <f aca="false">R28*SalesComm</f>
        <v>787500</v>
      </c>
      <c r="S35" s="40" t="n">
        <f aca="false">S28*SalesComm</f>
        <v>787500</v>
      </c>
      <c r="T35" s="40" t="n">
        <f aca="false">T28*SalesComm</f>
        <v>787500</v>
      </c>
      <c r="U35" s="40" t="n">
        <f aca="false">U28*SalesComm</f>
        <v>787500</v>
      </c>
      <c r="V35" s="40" t="n">
        <f aca="false">V28*SalesComm</f>
        <v>787500</v>
      </c>
      <c r="W35" s="40" t="n">
        <f aca="false">W28*SalesComm</f>
        <v>787500</v>
      </c>
      <c r="X35" s="40" t="n">
        <f aca="false">X28*SalesComm</f>
        <v>787500</v>
      </c>
      <c r="Y35" s="40" t="n">
        <f aca="false">Y28*SalesComm</f>
        <v>787500</v>
      </c>
      <c r="Z35" s="40" t="n">
        <f aca="false">Z28*SalesComm</f>
        <v>787500</v>
      </c>
      <c r="AA35" s="40" t="n">
        <f aca="false">AA28*SalesComm</f>
        <v>787500</v>
      </c>
      <c r="AB35" s="40" t="n">
        <f aca="false">AB28*SalesComm</f>
        <v>787500</v>
      </c>
      <c r="AC35" s="40" t="n">
        <f aca="false">AC28*SalesComm</f>
        <v>787500</v>
      </c>
      <c r="AD35" s="40" t="n">
        <f aca="false">AD28*SalesComm</f>
        <v>787500</v>
      </c>
      <c r="AE35" s="40" t="n">
        <f aca="false">AE28*SalesComm</f>
        <v>787500</v>
      </c>
      <c r="AF35" s="40" t="n">
        <f aca="false">AF28*SalesComm</f>
        <v>787500</v>
      </c>
      <c r="AG35" s="40" t="n">
        <f aca="false">AG28*SalesComm</f>
        <v>787500</v>
      </c>
      <c r="AH35" s="40" t="n">
        <f aca="false">AH28*SalesComm</f>
        <v>787500</v>
      </c>
      <c r="AI35" s="40" t="n">
        <f aca="false">AI28*SalesComm</f>
        <v>787500</v>
      </c>
      <c r="AJ35" s="40" t="n">
        <f aca="false">AJ28*SalesComm</f>
        <v>0</v>
      </c>
      <c r="AK35" s="40" t="n">
        <f aca="false">AK28*SalesComm</f>
        <v>0</v>
      </c>
      <c r="AL35" s="40" t="n">
        <f aca="false">AL28*SalesComm</f>
        <v>0</v>
      </c>
      <c r="AM35" s="40" t="n">
        <f aca="false">AM28*SalesComm</f>
        <v>0</v>
      </c>
      <c r="AN35" s="40" t="n">
        <f aca="false">AN28*SalesComm</f>
        <v>0</v>
      </c>
      <c r="AO35" s="40" t="n">
        <f aca="false">AO28*SalesComm</f>
        <v>0</v>
      </c>
      <c r="AP35" s="40" t="n">
        <f aca="false">AP28*SalesComm</f>
        <v>0</v>
      </c>
      <c r="AQ35" s="40" t="n">
        <f aca="false">AQ28*SalesComm</f>
        <v>0</v>
      </c>
      <c r="AR35" s="40" t="n">
        <f aca="false">AR28*SalesComm</f>
        <v>0</v>
      </c>
      <c r="AS35" s="40" t="n">
        <f aca="false">AS28*SalesComm</f>
        <v>0</v>
      </c>
      <c r="AT35" s="40" t="n">
        <f aca="false">AT28*SalesComm</f>
        <v>0</v>
      </c>
      <c r="AU35" s="40" t="n">
        <f aca="false">AU28*SalesComm</f>
        <v>0</v>
      </c>
      <c r="AV35" s="40" t="n">
        <f aca="false">AV28*SalesComm</f>
        <v>0</v>
      </c>
      <c r="AW35" s="40" t="n">
        <f aca="false">AW28*SalesComm</f>
        <v>0</v>
      </c>
      <c r="AX35" s="40" t="n">
        <f aca="false">AX28*SalesComm</f>
        <v>0</v>
      </c>
      <c r="AY35" s="40" t="n">
        <f aca="false">AY28*SalesComm</f>
        <v>0</v>
      </c>
      <c r="AZ35" s="40" t="n">
        <f aca="false">AZ28*SalesComm</f>
        <v>0</v>
      </c>
      <c r="BA35" s="40" t="n">
        <f aca="false">BA28*SalesComm</f>
        <v>0</v>
      </c>
      <c r="BB35" s="40" t="n">
        <f aca="false">BB28*SalesComm</f>
        <v>0</v>
      </c>
      <c r="BC35" s="40" t="n">
        <f aca="false">BC28*SalesComm</f>
        <v>0</v>
      </c>
      <c r="BD35" s="40" t="n">
        <f aca="false">BD28*SalesComm</f>
        <v>0</v>
      </c>
      <c r="BE35" s="40" t="n">
        <f aca="false">BE28*SalesComm</f>
        <v>0</v>
      </c>
      <c r="BF35" s="40" t="n">
        <f aca="false">BF28*SalesComm</f>
        <v>0</v>
      </c>
      <c r="BG35" s="40" t="n">
        <f aca="false">BG28*SalesComm</f>
        <v>0</v>
      </c>
      <c r="BH35" s="40" t="n">
        <f aca="false">BH28*SalesComm</f>
        <v>0</v>
      </c>
      <c r="BI35" s="40" t="n">
        <f aca="false">BI28*SalesComm</f>
        <v>0</v>
      </c>
      <c r="BJ35" s="40" t="n">
        <f aca="false">BJ28*SalesComm</f>
        <v>0</v>
      </c>
      <c r="BK35" s="40" t="n">
        <f aca="false">BK28*SalesComm</f>
        <v>0</v>
      </c>
      <c r="BL35" s="40" t="n">
        <f aca="false">BL28*SalesComm</f>
        <v>0</v>
      </c>
      <c r="BM35" s="40" t="n">
        <f aca="false">BM28*SalesComm</f>
        <v>0</v>
      </c>
      <c r="BN35" s="40" t="n">
        <f aca="false">BN28*SalesComm</f>
        <v>0</v>
      </c>
      <c r="BO35" s="40" t="n">
        <f aca="false">BO28*SalesComm</f>
        <v>0</v>
      </c>
      <c r="BP35" s="40" t="n">
        <f aca="false">BP28*SalesComm</f>
        <v>0</v>
      </c>
      <c r="BQ35" s="40" t="n">
        <f aca="false">BQ28*SalesComm</f>
        <v>0</v>
      </c>
      <c r="BR35" s="40" t="n">
        <f aca="false">BR28*SalesComm</f>
        <v>0</v>
      </c>
      <c r="BS35" s="40" t="n">
        <f aca="false">BS28*SalesComm</f>
        <v>0</v>
      </c>
      <c r="BT35" s="40" t="n">
        <f aca="false">BT28*SalesComm</f>
        <v>0</v>
      </c>
      <c r="BU35" s="40" t="n">
        <f aca="false">BU28*SalesComm</f>
        <v>0</v>
      </c>
      <c r="BV35" s="40" t="n">
        <f aca="false">BV28*SalesComm</f>
        <v>0</v>
      </c>
      <c r="BW35" s="40" t="n">
        <f aca="false">BW28*SalesComm</f>
        <v>0</v>
      </c>
      <c r="BX35" s="40" t="n">
        <f aca="false">BX28*SalesComm</f>
        <v>0</v>
      </c>
      <c r="BY35" s="40" t="n">
        <f aca="false">BY28*SalesComm</f>
        <v>0</v>
      </c>
      <c r="BZ35" s="40" t="n">
        <f aca="false">BZ28*SalesComm</f>
        <v>0</v>
      </c>
      <c r="CA35" s="40" t="n">
        <f aca="false">CA28*SalesComm</f>
        <v>0</v>
      </c>
      <c r="CB35" s="40" t="n">
        <f aca="false">CB28*SalesComm</f>
        <v>0</v>
      </c>
      <c r="CC35" s="40" t="n">
        <f aca="false">CC28*SalesComm</f>
        <v>0</v>
      </c>
      <c r="CD35" s="40" t="n">
        <f aca="false">CD28*SalesComm</f>
        <v>0</v>
      </c>
      <c r="CE35" s="40" t="n">
        <f aca="false">CE28*SalesComm</f>
        <v>0</v>
      </c>
      <c r="CF35" s="40" t="n">
        <f aca="false">CF28*SalesComm</f>
        <v>0</v>
      </c>
      <c r="CG35" s="40" t="n">
        <f aca="false">CG28*SalesComm</f>
        <v>0</v>
      </c>
      <c r="CH35" s="40" t="n">
        <f aca="false">CH28*SalesComm</f>
        <v>0</v>
      </c>
      <c r="CI35" s="40" t="n">
        <f aca="false">CI28*SalesComm</f>
        <v>0</v>
      </c>
      <c r="CJ35" s="40" t="n">
        <f aca="false">CJ28*SalesComm</f>
        <v>0</v>
      </c>
      <c r="CK35" s="40" t="n">
        <f aca="false">CK28*SalesComm</f>
        <v>0</v>
      </c>
      <c r="CL35" s="40" t="n">
        <f aca="false">CL28*SalesComm</f>
        <v>0</v>
      </c>
      <c r="CM35" s="40" t="n">
        <f aca="false">CM28*SalesComm</f>
        <v>0</v>
      </c>
      <c r="CN35" s="40" t="n">
        <f aca="false">CN28*SalesComm</f>
        <v>0</v>
      </c>
      <c r="CO35" s="40" t="n">
        <f aca="false">CO28*SalesComm</f>
        <v>0</v>
      </c>
      <c r="CP35" s="40" t="n">
        <f aca="false">CP28*SalesComm</f>
        <v>0</v>
      </c>
      <c r="CQ35" s="40" t="n">
        <f aca="false">CQ28*SalesComm</f>
        <v>0</v>
      </c>
      <c r="CR35" s="40" t="n">
        <f aca="false">CR28*SalesComm</f>
        <v>0</v>
      </c>
      <c r="CS35" s="40" t="n">
        <f aca="false">CS28*SalesComm</f>
        <v>0</v>
      </c>
      <c r="CT35" s="40" t="n">
        <f aca="false">CT28*SalesComm</f>
        <v>0</v>
      </c>
      <c r="CU35" s="40" t="n">
        <f aca="false">CU28*SalesComm</f>
        <v>0</v>
      </c>
    </row>
    <row r="36" customFormat="false" ht="15" hidden="false" customHeight="false" outlineLevel="0" collapsed="false">
      <c r="A36" s="35" t="s">
        <v>127</v>
      </c>
      <c r="B36" s="26" t="n">
        <f aca="false">SUM(C36:CU36)</f>
        <v>0</v>
      </c>
      <c r="C36" s="40" t="n">
        <f aca="false">C34*VAT</f>
        <v>0</v>
      </c>
      <c r="D36" s="40" t="n">
        <f aca="false">D34*VAT</f>
        <v>0</v>
      </c>
      <c r="E36" s="40" t="n">
        <f aca="false">E34*VAT</f>
        <v>0</v>
      </c>
      <c r="F36" s="40" t="n">
        <f aca="false">F34*VAT</f>
        <v>0</v>
      </c>
      <c r="G36" s="40" t="n">
        <f aca="false">G34*VAT</f>
        <v>0</v>
      </c>
      <c r="H36" s="40" t="n">
        <f aca="false">H34*VAT</f>
        <v>0</v>
      </c>
      <c r="I36" s="40" t="n">
        <f aca="false">I34*VAT</f>
        <v>0</v>
      </c>
      <c r="J36" s="40" t="n">
        <f aca="false">J34*VAT</f>
        <v>0</v>
      </c>
      <c r="K36" s="40" t="n">
        <f aca="false">K34*VAT</f>
        <v>0</v>
      </c>
      <c r="L36" s="40" t="n">
        <f aca="false">L34*VAT</f>
        <v>0</v>
      </c>
      <c r="M36" s="40" t="n">
        <f aca="false">M34*VAT</f>
        <v>0</v>
      </c>
      <c r="N36" s="40" t="n">
        <f aca="false">N34*VAT</f>
        <v>0</v>
      </c>
      <c r="O36" s="40" t="n">
        <f aca="false">O34*VAT</f>
        <v>0</v>
      </c>
      <c r="P36" s="40" t="n">
        <f aca="false">P34*VAT</f>
        <v>0</v>
      </c>
      <c r="Q36" s="40" t="n">
        <f aca="false">Q34*VAT</f>
        <v>0</v>
      </c>
      <c r="R36" s="40" t="n">
        <f aca="false">R34*VAT</f>
        <v>0</v>
      </c>
      <c r="S36" s="40" t="n">
        <f aca="false">S34*VAT</f>
        <v>0</v>
      </c>
      <c r="T36" s="40" t="n">
        <f aca="false">T34*VAT</f>
        <v>0</v>
      </c>
      <c r="U36" s="40" t="n">
        <f aca="false">U34*VAT</f>
        <v>0</v>
      </c>
      <c r="V36" s="40" t="n">
        <f aca="false">V34*VAT</f>
        <v>0</v>
      </c>
      <c r="W36" s="40" t="n">
        <f aca="false">W34*VAT</f>
        <v>0</v>
      </c>
      <c r="X36" s="40" t="n">
        <f aca="false">X34*VAT</f>
        <v>0</v>
      </c>
      <c r="Y36" s="40" t="n">
        <f aca="false">Y34*VAT</f>
        <v>0</v>
      </c>
      <c r="Z36" s="40" t="n">
        <f aca="false">Z34*VAT</f>
        <v>0</v>
      </c>
      <c r="AA36" s="40" t="n">
        <f aca="false">AA34*VAT</f>
        <v>0</v>
      </c>
      <c r="AB36" s="40" t="n">
        <f aca="false">AB34*VAT</f>
        <v>0</v>
      </c>
      <c r="AC36" s="40" t="n">
        <f aca="false">AC34*VAT</f>
        <v>0</v>
      </c>
      <c r="AD36" s="40" t="n">
        <f aca="false">AD34*VAT</f>
        <v>0</v>
      </c>
      <c r="AE36" s="40" t="n">
        <f aca="false">AE34*VAT</f>
        <v>0</v>
      </c>
      <c r="AF36" s="40" t="n">
        <f aca="false">AF34*VAT</f>
        <v>0</v>
      </c>
      <c r="AG36" s="40" t="n">
        <f aca="false">AG34*VAT</f>
        <v>0</v>
      </c>
      <c r="AH36" s="40" t="n">
        <f aca="false">AH34*VAT</f>
        <v>0</v>
      </c>
      <c r="AI36" s="40" t="n">
        <f aca="false">AI34*VAT</f>
        <v>0</v>
      </c>
      <c r="AJ36" s="40" t="n">
        <f aca="false">AJ34*VAT</f>
        <v>0</v>
      </c>
      <c r="AK36" s="40" t="n">
        <f aca="false">AK34*VAT</f>
        <v>0</v>
      </c>
      <c r="AL36" s="40" t="n">
        <f aca="false">AL34*VAT</f>
        <v>0</v>
      </c>
      <c r="AM36" s="40" t="n">
        <f aca="false">AM34*VAT</f>
        <v>0</v>
      </c>
      <c r="AN36" s="40" t="n">
        <f aca="false">AN34*VAT</f>
        <v>0</v>
      </c>
      <c r="AO36" s="40" t="n">
        <f aca="false">AO34*VAT</f>
        <v>0</v>
      </c>
      <c r="AP36" s="40" t="n">
        <f aca="false">AP34*VAT</f>
        <v>0</v>
      </c>
      <c r="AQ36" s="40" t="n">
        <f aca="false">AQ34*VAT</f>
        <v>0</v>
      </c>
      <c r="AR36" s="40" t="n">
        <f aca="false">AR34*VAT</f>
        <v>0</v>
      </c>
      <c r="AS36" s="40" t="n">
        <f aca="false">AS34*VAT</f>
        <v>0</v>
      </c>
      <c r="AT36" s="40" t="n">
        <f aca="false">AT34*VAT</f>
        <v>0</v>
      </c>
      <c r="AU36" s="40" t="n">
        <f aca="false">AU34*VAT</f>
        <v>0</v>
      </c>
      <c r="AV36" s="40" t="n">
        <f aca="false">AV34*VAT</f>
        <v>0</v>
      </c>
      <c r="AW36" s="40" t="n">
        <f aca="false">AW34*VAT</f>
        <v>0</v>
      </c>
      <c r="AX36" s="40" t="n">
        <f aca="false">AX34*VAT</f>
        <v>0</v>
      </c>
      <c r="AY36" s="40" t="n">
        <f aca="false">AY34*VAT</f>
        <v>0</v>
      </c>
      <c r="AZ36" s="40" t="n">
        <f aca="false">AZ34*VAT</f>
        <v>0</v>
      </c>
      <c r="BA36" s="40" t="n">
        <f aca="false">BA34*VAT</f>
        <v>0</v>
      </c>
      <c r="BB36" s="40" t="n">
        <f aca="false">BB34*VAT</f>
        <v>0</v>
      </c>
      <c r="BC36" s="40" t="n">
        <f aca="false">BC34*VAT</f>
        <v>0</v>
      </c>
      <c r="BD36" s="40" t="n">
        <f aca="false">BD34*VAT</f>
        <v>0</v>
      </c>
      <c r="BE36" s="40" t="n">
        <f aca="false">BE34*VAT</f>
        <v>0</v>
      </c>
      <c r="BF36" s="40" t="n">
        <f aca="false">BF34*VAT</f>
        <v>0</v>
      </c>
      <c r="BG36" s="40" t="n">
        <f aca="false">BG34*VAT</f>
        <v>0</v>
      </c>
      <c r="BH36" s="40" t="n">
        <f aca="false">BH34*VAT</f>
        <v>0</v>
      </c>
      <c r="BI36" s="40" t="n">
        <f aca="false">BI34*VAT</f>
        <v>0</v>
      </c>
      <c r="BJ36" s="40" t="n">
        <f aca="false">BJ34*VAT</f>
        <v>0</v>
      </c>
      <c r="BK36" s="40" t="n">
        <f aca="false">BK34*VAT</f>
        <v>0</v>
      </c>
      <c r="BL36" s="40" t="n">
        <f aca="false">BL34*VAT</f>
        <v>0</v>
      </c>
      <c r="BM36" s="40" t="n">
        <f aca="false">BM34*VAT</f>
        <v>0</v>
      </c>
      <c r="BN36" s="40" t="n">
        <f aca="false">BN34*VAT</f>
        <v>0</v>
      </c>
      <c r="BO36" s="40" t="n">
        <f aca="false">BO34*VAT</f>
        <v>0</v>
      </c>
      <c r="BP36" s="40" t="n">
        <f aca="false">BP34*VAT</f>
        <v>0</v>
      </c>
      <c r="BQ36" s="40" t="n">
        <f aca="false">BQ34*VAT</f>
        <v>0</v>
      </c>
      <c r="BR36" s="40" t="n">
        <f aca="false">BR34*VAT</f>
        <v>0</v>
      </c>
      <c r="BS36" s="40" t="n">
        <f aca="false">BS34*VAT</f>
        <v>0</v>
      </c>
      <c r="BT36" s="40" t="n">
        <f aca="false">BT34*VAT</f>
        <v>0</v>
      </c>
      <c r="BU36" s="40" t="n">
        <f aca="false">BU34*VAT</f>
        <v>0</v>
      </c>
      <c r="BV36" s="40" t="n">
        <f aca="false">BV34*VAT</f>
        <v>0</v>
      </c>
      <c r="BW36" s="40" t="n">
        <f aca="false">BW34*VAT</f>
        <v>0</v>
      </c>
      <c r="BX36" s="40" t="n">
        <f aca="false">BX34*VAT</f>
        <v>0</v>
      </c>
      <c r="BY36" s="40" t="n">
        <f aca="false">BY34*VAT</f>
        <v>0</v>
      </c>
      <c r="BZ36" s="40" t="n">
        <f aca="false">BZ34*VAT</f>
        <v>0</v>
      </c>
      <c r="CA36" s="40" t="n">
        <f aca="false">CA34*VAT</f>
        <v>0</v>
      </c>
      <c r="CB36" s="40" t="n">
        <f aca="false">CB34*VAT</f>
        <v>0</v>
      </c>
      <c r="CC36" s="40" t="n">
        <f aca="false">CC34*VAT</f>
        <v>0</v>
      </c>
      <c r="CD36" s="40" t="n">
        <f aca="false">CD34*VAT</f>
        <v>0</v>
      </c>
      <c r="CE36" s="40" t="n">
        <f aca="false">CE34*VAT</f>
        <v>0</v>
      </c>
      <c r="CF36" s="40" t="n">
        <f aca="false">CF34*VAT</f>
        <v>0</v>
      </c>
      <c r="CG36" s="40" t="n">
        <f aca="false">CG34*VAT</f>
        <v>0</v>
      </c>
      <c r="CH36" s="40" t="n">
        <f aca="false">CH34*VAT</f>
        <v>0</v>
      </c>
      <c r="CI36" s="40" t="n">
        <f aca="false">CI34*VAT</f>
        <v>0</v>
      </c>
      <c r="CJ36" s="40" t="n">
        <f aca="false">CJ34*VAT</f>
        <v>0</v>
      </c>
      <c r="CK36" s="40" t="n">
        <f aca="false">CK34*VAT</f>
        <v>0</v>
      </c>
      <c r="CL36" s="40" t="n">
        <f aca="false">CL34*VAT</f>
        <v>0</v>
      </c>
      <c r="CM36" s="40" t="n">
        <f aca="false">CM34*VAT</f>
        <v>0</v>
      </c>
      <c r="CN36" s="40" t="n">
        <f aca="false">CN34*VAT</f>
        <v>0</v>
      </c>
      <c r="CO36" s="40" t="n">
        <f aca="false">CO34*VAT</f>
        <v>0</v>
      </c>
      <c r="CP36" s="40" t="n">
        <f aca="false">CP34*VAT</f>
        <v>0</v>
      </c>
      <c r="CQ36" s="40" t="n">
        <f aca="false">CQ34*VAT</f>
        <v>0</v>
      </c>
      <c r="CR36" s="40" t="n">
        <f aca="false">CR34*VAT</f>
        <v>0</v>
      </c>
      <c r="CS36" s="40" t="n">
        <f aca="false">CS34*VAT</f>
        <v>0</v>
      </c>
      <c r="CT36" s="40" t="n">
        <f aca="false">CT34*VAT</f>
        <v>0</v>
      </c>
      <c r="CU36" s="40" t="n">
        <f aca="false">CU34*VAT</f>
        <v>0</v>
      </c>
    </row>
    <row r="38" customFormat="false" ht="15" hidden="false" customHeight="false" outlineLevel="0" collapsed="false">
      <c r="A38" s="19" t="s">
        <v>128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customFormat="false" ht="15" hidden="false" customHeight="false" outlineLevel="0" collapsed="false">
      <c r="A39" s="35" t="s">
        <v>129</v>
      </c>
      <c r="C39" s="39" t="n">
        <f aca="false">IF(C13=1,StabOcc*MIN(1,(C$5-BuildMonths)/LeaseUp),0)</f>
        <v>0</v>
      </c>
      <c r="D39" s="39" t="n">
        <f aca="false">IF(D13=1,StabOcc*MIN(1,(D$5-BuildMonths)/LeaseUp),0)</f>
        <v>0</v>
      </c>
      <c r="E39" s="39" t="n">
        <f aca="false">IF(E13=1,StabOcc*MIN(1,(E$5-BuildMonths)/LeaseUp),0)</f>
        <v>0</v>
      </c>
      <c r="F39" s="39" t="n">
        <f aca="false">IF(F13=1,StabOcc*MIN(1,(F$5-BuildMonths)/LeaseUp),0)</f>
        <v>0</v>
      </c>
      <c r="G39" s="39" t="n">
        <f aca="false">IF(G13=1,StabOcc*MIN(1,(G$5-BuildMonths)/LeaseUp),0)</f>
        <v>0</v>
      </c>
      <c r="H39" s="39" t="n">
        <f aca="false">IF(H13=1,StabOcc*MIN(1,(H$5-BuildMonths)/LeaseUp),0)</f>
        <v>0</v>
      </c>
      <c r="I39" s="39" t="n">
        <f aca="false">IF(I13=1,StabOcc*MIN(1,(I$5-BuildMonths)/LeaseUp),0)</f>
        <v>0</v>
      </c>
      <c r="J39" s="39" t="n">
        <f aca="false">IF(J13=1,StabOcc*MIN(1,(J$5-BuildMonths)/LeaseUp),0)</f>
        <v>0</v>
      </c>
      <c r="K39" s="39" t="n">
        <f aca="false">IF(K13=1,StabOcc*MIN(1,(K$5-BuildMonths)/LeaseUp),0)</f>
        <v>0</v>
      </c>
      <c r="L39" s="39" t="n">
        <f aca="false">IF(L13=1,StabOcc*MIN(1,(L$5-BuildMonths)/LeaseUp),0)</f>
        <v>0</v>
      </c>
      <c r="M39" s="39" t="n">
        <f aca="false">IF(M13=1,StabOcc*MIN(1,(M$5-BuildMonths)/LeaseUp),0)</f>
        <v>0</v>
      </c>
      <c r="N39" s="39" t="n">
        <f aca="false">IF(N13=1,StabOcc*MIN(1,(N$5-BuildMonths)/LeaseUp),0)</f>
        <v>0</v>
      </c>
      <c r="O39" s="39" t="n">
        <f aca="false">IF(O13=1,StabOcc*MIN(1,(O$5-BuildMonths)/LeaseUp),0)</f>
        <v>0</v>
      </c>
      <c r="P39" s="39" t="n">
        <f aca="false">IF(P13=1,StabOcc*MIN(1,(P$5-BuildMonths)/LeaseUp),0)</f>
        <v>0</v>
      </c>
      <c r="Q39" s="39" t="n">
        <f aca="false">IF(Q13=1,StabOcc*MIN(1,(Q$5-BuildMonths)/LeaseUp),0)</f>
        <v>0</v>
      </c>
      <c r="R39" s="39" t="n">
        <f aca="false">IF(R13=1,StabOcc*MIN(1,(R$5-BuildMonths)/LeaseUp),0)</f>
        <v>0</v>
      </c>
      <c r="S39" s="39" t="n">
        <f aca="false">IF(S13=1,StabOcc*MIN(1,(S$5-BuildMonths)/LeaseUp),0)</f>
        <v>0</v>
      </c>
      <c r="T39" s="39" t="n">
        <f aca="false">IF(T13=1,StabOcc*MIN(1,(T$5-BuildMonths)/LeaseUp),0)</f>
        <v>0</v>
      </c>
      <c r="U39" s="39" t="n">
        <f aca="false">IF(U13=1,StabOcc*MIN(1,(U$5-BuildMonths)/LeaseUp),0)</f>
        <v>0</v>
      </c>
      <c r="V39" s="39" t="n">
        <f aca="false">IF(V13=1,StabOcc*MIN(1,(V$5-BuildMonths)/LeaseUp),0)</f>
        <v>0</v>
      </c>
      <c r="W39" s="39" t="n">
        <f aca="false">IF(W13=1,StabOcc*MIN(1,(W$5-BuildMonths)/LeaseUp),0)</f>
        <v>0</v>
      </c>
      <c r="X39" s="39" t="n">
        <f aca="false">IF(X13=1,StabOcc*MIN(1,(X$5-BuildMonths)/LeaseUp),0)</f>
        <v>0</v>
      </c>
      <c r="Y39" s="39" t="n">
        <f aca="false">IF(Y13=1,StabOcc*MIN(1,(Y$5-BuildMonths)/LeaseUp),0)</f>
        <v>0</v>
      </c>
      <c r="Z39" s="39" t="n">
        <f aca="false">IF(Z13=1,StabOcc*MIN(1,(Z$5-BuildMonths)/LeaseUp),0)</f>
        <v>0</v>
      </c>
      <c r="AA39" s="39" t="n">
        <f aca="false">IF(AA13=1,StabOcc*MIN(1,(AA$5-BuildMonths)/LeaseUp),0)</f>
        <v>0</v>
      </c>
      <c r="AB39" s="39" t="n">
        <f aca="false">IF(AB13=1,StabOcc*MIN(1,(AB$5-BuildMonths)/LeaseUp),0)</f>
        <v>0</v>
      </c>
      <c r="AC39" s="39" t="n">
        <f aca="false">IF(AC13=1,StabOcc*MIN(1,(AC$5-BuildMonths)/LeaseUp),0)</f>
        <v>0</v>
      </c>
      <c r="AD39" s="39" t="n">
        <f aca="false">IF(AD13=1,StabOcc*MIN(1,(AD$5-BuildMonths)/LeaseUp),0)</f>
        <v>0</v>
      </c>
      <c r="AE39" s="39" t="n">
        <f aca="false">IF(AE13=1,StabOcc*MIN(1,(AE$5-BuildMonths)/LeaseUp),0)</f>
        <v>0</v>
      </c>
      <c r="AF39" s="39" t="n">
        <f aca="false">IF(AF13=1,StabOcc*MIN(1,(AF$5-BuildMonths)/LeaseUp),0)</f>
        <v>0</v>
      </c>
      <c r="AG39" s="39" t="n">
        <f aca="false">IF(AG13=1,StabOcc*MIN(1,(AG$5-BuildMonths)/LeaseUp),0)</f>
        <v>0</v>
      </c>
      <c r="AH39" s="39" t="n">
        <f aca="false">IF(AH13=1,StabOcc*MIN(1,(AH$5-BuildMonths)/LeaseUp),0)</f>
        <v>0.0511111111111111</v>
      </c>
      <c r="AI39" s="39" t="n">
        <f aca="false">IF(AI13=1,StabOcc*MIN(1,(AI$5-BuildMonths)/LeaseUp),0)</f>
        <v>0.102222222222222</v>
      </c>
      <c r="AJ39" s="39" t="n">
        <f aca="false">IF(AJ13=1,StabOcc*MIN(1,(AJ$5-BuildMonths)/LeaseUp),0)</f>
        <v>0.153333333333333</v>
      </c>
      <c r="AK39" s="39" t="n">
        <f aca="false">IF(AK13=1,StabOcc*MIN(1,(AK$5-BuildMonths)/LeaseUp),0)</f>
        <v>0.204444444444444</v>
      </c>
      <c r="AL39" s="39" t="n">
        <f aca="false">IF(AL13=1,StabOcc*MIN(1,(AL$5-BuildMonths)/LeaseUp),0)</f>
        <v>0.255555555555556</v>
      </c>
      <c r="AM39" s="39" t="n">
        <f aca="false">IF(AM13=1,StabOcc*MIN(1,(AM$5-BuildMonths)/LeaseUp),0)</f>
        <v>0.306666666666667</v>
      </c>
      <c r="AN39" s="39" t="n">
        <f aca="false">IF(AN13=1,StabOcc*MIN(1,(AN$5-BuildMonths)/LeaseUp),0)</f>
        <v>0.357777777777778</v>
      </c>
      <c r="AO39" s="39" t="n">
        <f aca="false">IF(AO13=1,StabOcc*MIN(1,(AO$5-BuildMonths)/LeaseUp),0)</f>
        <v>0.408888888888889</v>
      </c>
      <c r="AP39" s="39" t="n">
        <f aca="false">IF(AP13=1,StabOcc*MIN(1,(AP$5-BuildMonths)/LeaseUp),0)</f>
        <v>0.46</v>
      </c>
      <c r="AQ39" s="39" t="n">
        <f aca="false">IF(AQ13=1,StabOcc*MIN(1,(AQ$5-BuildMonths)/LeaseUp),0)</f>
        <v>0.511111111111111</v>
      </c>
      <c r="AR39" s="39" t="n">
        <f aca="false">IF(AR13=1,StabOcc*MIN(1,(AR$5-BuildMonths)/LeaseUp),0)</f>
        <v>0.562222222222222</v>
      </c>
      <c r="AS39" s="39" t="n">
        <f aca="false">IF(AS13=1,StabOcc*MIN(1,(AS$5-BuildMonths)/LeaseUp),0)</f>
        <v>0.613333333333333</v>
      </c>
      <c r="AT39" s="39" t="n">
        <f aca="false">IF(AT13=1,StabOcc*MIN(1,(AT$5-BuildMonths)/LeaseUp),0)</f>
        <v>0.664444444444445</v>
      </c>
      <c r="AU39" s="39" t="n">
        <f aca="false">IF(AU13=1,StabOcc*MIN(1,(AU$5-BuildMonths)/LeaseUp),0)</f>
        <v>0.715555555555556</v>
      </c>
      <c r="AV39" s="39" t="n">
        <f aca="false">IF(AV13=1,StabOcc*MIN(1,(AV$5-BuildMonths)/LeaseUp),0)</f>
        <v>0.766666666666667</v>
      </c>
      <c r="AW39" s="39" t="n">
        <f aca="false">IF(AW13=1,StabOcc*MIN(1,(AW$5-BuildMonths)/LeaseUp),0)</f>
        <v>0.817777777777778</v>
      </c>
      <c r="AX39" s="39" t="n">
        <f aca="false">IF(AX13=1,StabOcc*MIN(1,(AX$5-BuildMonths)/LeaseUp),0)</f>
        <v>0.868888888888889</v>
      </c>
      <c r="AY39" s="39" t="n">
        <f aca="false">IF(AY13=1,StabOcc*MIN(1,(AY$5-BuildMonths)/LeaseUp),0)</f>
        <v>0.92</v>
      </c>
      <c r="AZ39" s="39" t="n">
        <f aca="false">IF(AZ13=1,StabOcc*MIN(1,(AZ$5-BuildMonths)/LeaseUp),0)</f>
        <v>0.92</v>
      </c>
      <c r="BA39" s="39" t="n">
        <f aca="false">IF(BA13=1,StabOcc*MIN(1,(BA$5-BuildMonths)/LeaseUp),0)</f>
        <v>0.92</v>
      </c>
      <c r="BB39" s="39" t="n">
        <f aca="false">IF(BB13=1,StabOcc*MIN(1,(BB$5-BuildMonths)/LeaseUp),0)</f>
        <v>0.92</v>
      </c>
      <c r="BC39" s="39" t="n">
        <f aca="false">IF(BC13=1,StabOcc*MIN(1,(BC$5-BuildMonths)/LeaseUp),0)</f>
        <v>0.92</v>
      </c>
      <c r="BD39" s="39" t="n">
        <f aca="false">IF(BD13=1,StabOcc*MIN(1,(BD$5-BuildMonths)/LeaseUp),0)</f>
        <v>0.92</v>
      </c>
      <c r="BE39" s="39" t="n">
        <f aca="false">IF(BE13=1,StabOcc*MIN(1,(BE$5-BuildMonths)/LeaseUp),0)</f>
        <v>0.92</v>
      </c>
      <c r="BF39" s="39" t="n">
        <f aca="false">IF(BF13=1,StabOcc*MIN(1,(BF$5-BuildMonths)/LeaseUp),0)</f>
        <v>0.92</v>
      </c>
      <c r="BG39" s="39" t="n">
        <f aca="false">IF(BG13=1,StabOcc*MIN(1,(BG$5-BuildMonths)/LeaseUp),0)</f>
        <v>0.92</v>
      </c>
      <c r="BH39" s="39" t="n">
        <f aca="false">IF(BH13=1,StabOcc*MIN(1,(BH$5-BuildMonths)/LeaseUp),0)</f>
        <v>0.92</v>
      </c>
      <c r="BI39" s="39" t="n">
        <f aca="false">IF(BI13=1,StabOcc*MIN(1,(BI$5-BuildMonths)/LeaseUp),0)</f>
        <v>0.92</v>
      </c>
      <c r="BJ39" s="39" t="n">
        <f aca="false">IF(BJ13=1,StabOcc*MIN(1,(BJ$5-BuildMonths)/LeaseUp),0)</f>
        <v>0.92</v>
      </c>
      <c r="BK39" s="39" t="n">
        <f aca="false">IF(BK13=1,StabOcc*MIN(1,(BK$5-BuildMonths)/LeaseUp),0)</f>
        <v>0.92</v>
      </c>
      <c r="BL39" s="39" t="n">
        <f aca="false">IF(BL13=1,StabOcc*MIN(1,(BL$5-BuildMonths)/LeaseUp),0)</f>
        <v>0.92</v>
      </c>
      <c r="BM39" s="39" t="n">
        <f aca="false">IF(BM13=1,StabOcc*MIN(1,(BM$5-BuildMonths)/LeaseUp),0)</f>
        <v>0.92</v>
      </c>
      <c r="BN39" s="39" t="n">
        <f aca="false">IF(BN13=1,StabOcc*MIN(1,(BN$5-BuildMonths)/LeaseUp),0)</f>
        <v>0.92</v>
      </c>
      <c r="BO39" s="39" t="n">
        <f aca="false">IF(BO13=1,StabOcc*MIN(1,(BO$5-BuildMonths)/LeaseUp),0)</f>
        <v>0.92</v>
      </c>
      <c r="BP39" s="39" t="n">
        <f aca="false">IF(BP13=1,StabOcc*MIN(1,(BP$5-BuildMonths)/LeaseUp),0)</f>
        <v>0.92</v>
      </c>
      <c r="BQ39" s="39" t="n">
        <f aca="false">IF(BQ13=1,StabOcc*MIN(1,(BQ$5-BuildMonths)/LeaseUp),0)</f>
        <v>0.92</v>
      </c>
      <c r="BR39" s="39" t="n">
        <f aca="false">IF(BR13=1,StabOcc*MIN(1,(BR$5-BuildMonths)/LeaseUp),0)</f>
        <v>0.92</v>
      </c>
      <c r="BS39" s="39" t="n">
        <f aca="false">IF(BS13=1,StabOcc*MIN(1,(BS$5-BuildMonths)/LeaseUp),0)</f>
        <v>0.92</v>
      </c>
      <c r="BT39" s="39" t="n">
        <f aca="false">IF(BT13=1,StabOcc*MIN(1,(BT$5-BuildMonths)/LeaseUp),0)</f>
        <v>0.92</v>
      </c>
      <c r="BU39" s="39" t="n">
        <f aca="false">IF(BU13=1,StabOcc*MIN(1,(BU$5-BuildMonths)/LeaseUp),0)</f>
        <v>0.92</v>
      </c>
      <c r="BV39" s="39" t="n">
        <f aca="false">IF(BV13=1,StabOcc*MIN(1,(BV$5-BuildMonths)/LeaseUp),0)</f>
        <v>0.92</v>
      </c>
      <c r="BW39" s="39" t="n">
        <f aca="false">IF(BW13=1,StabOcc*MIN(1,(BW$5-BuildMonths)/LeaseUp),0)</f>
        <v>0.92</v>
      </c>
      <c r="BX39" s="39" t="n">
        <f aca="false">IF(BX13=1,StabOcc*MIN(1,(BX$5-BuildMonths)/LeaseUp),0)</f>
        <v>0</v>
      </c>
      <c r="BY39" s="39" t="n">
        <f aca="false">IF(BY13=1,StabOcc*MIN(1,(BY$5-BuildMonths)/LeaseUp),0)</f>
        <v>0</v>
      </c>
      <c r="BZ39" s="39" t="n">
        <f aca="false">IF(BZ13=1,StabOcc*MIN(1,(BZ$5-BuildMonths)/LeaseUp),0)</f>
        <v>0</v>
      </c>
      <c r="CA39" s="39" t="n">
        <f aca="false">IF(CA13=1,StabOcc*MIN(1,(CA$5-BuildMonths)/LeaseUp),0)</f>
        <v>0</v>
      </c>
      <c r="CB39" s="39" t="n">
        <f aca="false">IF(CB13=1,StabOcc*MIN(1,(CB$5-BuildMonths)/LeaseUp),0)</f>
        <v>0</v>
      </c>
      <c r="CC39" s="39" t="n">
        <f aca="false">IF(CC13=1,StabOcc*MIN(1,(CC$5-BuildMonths)/LeaseUp),0)</f>
        <v>0</v>
      </c>
      <c r="CD39" s="39" t="n">
        <f aca="false">IF(CD13=1,StabOcc*MIN(1,(CD$5-BuildMonths)/LeaseUp),0)</f>
        <v>0</v>
      </c>
      <c r="CE39" s="39" t="n">
        <f aca="false">IF(CE13=1,StabOcc*MIN(1,(CE$5-BuildMonths)/LeaseUp),0)</f>
        <v>0</v>
      </c>
      <c r="CF39" s="39" t="n">
        <f aca="false">IF(CF13=1,StabOcc*MIN(1,(CF$5-BuildMonths)/LeaseUp),0)</f>
        <v>0</v>
      </c>
      <c r="CG39" s="39" t="n">
        <f aca="false">IF(CG13=1,StabOcc*MIN(1,(CG$5-BuildMonths)/LeaseUp),0)</f>
        <v>0</v>
      </c>
      <c r="CH39" s="39" t="n">
        <f aca="false">IF(CH13=1,StabOcc*MIN(1,(CH$5-BuildMonths)/LeaseUp),0)</f>
        <v>0</v>
      </c>
      <c r="CI39" s="39" t="n">
        <f aca="false">IF(CI13=1,StabOcc*MIN(1,(CI$5-BuildMonths)/LeaseUp),0)</f>
        <v>0</v>
      </c>
      <c r="CJ39" s="39" t="n">
        <f aca="false">IF(CJ13=1,StabOcc*MIN(1,(CJ$5-BuildMonths)/LeaseUp),0)</f>
        <v>0</v>
      </c>
      <c r="CK39" s="39" t="n">
        <f aca="false">IF(CK13=1,StabOcc*MIN(1,(CK$5-BuildMonths)/LeaseUp),0)</f>
        <v>0</v>
      </c>
      <c r="CL39" s="39" t="n">
        <f aca="false">IF(CL13=1,StabOcc*MIN(1,(CL$5-BuildMonths)/LeaseUp),0)</f>
        <v>0</v>
      </c>
      <c r="CM39" s="39" t="n">
        <f aca="false">IF(CM13=1,StabOcc*MIN(1,(CM$5-BuildMonths)/LeaseUp),0)</f>
        <v>0</v>
      </c>
      <c r="CN39" s="39" t="n">
        <f aca="false">IF(CN13=1,StabOcc*MIN(1,(CN$5-BuildMonths)/LeaseUp),0)</f>
        <v>0</v>
      </c>
      <c r="CO39" s="39" t="n">
        <f aca="false">IF(CO13=1,StabOcc*MIN(1,(CO$5-BuildMonths)/LeaseUp),0)</f>
        <v>0</v>
      </c>
      <c r="CP39" s="39" t="n">
        <f aca="false">IF(CP13=1,StabOcc*MIN(1,(CP$5-BuildMonths)/LeaseUp),0)</f>
        <v>0</v>
      </c>
      <c r="CQ39" s="39" t="n">
        <f aca="false">IF(CQ13=1,StabOcc*MIN(1,(CQ$5-BuildMonths)/LeaseUp),0)</f>
        <v>0</v>
      </c>
      <c r="CR39" s="39" t="n">
        <f aca="false">IF(CR13=1,StabOcc*MIN(1,(CR$5-BuildMonths)/LeaseUp),0)</f>
        <v>0</v>
      </c>
      <c r="CS39" s="39" t="n">
        <f aca="false">IF(CS13=1,StabOcc*MIN(1,(CS$5-BuildMonths)/LeaseUp),0)</f>
        <v>0</v>
      </c>
      <c r="CT39" s="39" t="n">
        <f aca="false">IF(CT13=1,StabOcc*MIN(1,(CT$5-BuildMonths)/LeaseUp),0)</f>
        <v>0</v>
      </c>
      <c r="CU39" s="39" t="n">
        <f aca="false">IF(CU13=1,StabOcc*MIN(1,(CU$5-BuildMonths)/LeaseUp),0)</f>
        <v>0</v>
      </c>
    </row>
    <row r="40" customFormat="false" ht="15" hidden="false" customHeight="false" outlineLevel="0" collapsed="false">
      <c r="A40" s="35" t="s">
        <v>130</v>
      </c>
      <c r="C40" s="43" t="n">
        <f aca="false">(1+RentGrowth)^(MAX(0,C$5-1)/12)</f>
        <v>1</v>
      </c>
      <c r="D40" s="43" t="n">
        <f aca="false">(1+RentGrowth)^(MAX(0,D$5-1)/12)</f>
        <v>1</v>
      </c>
      <c r="E40" s="43" t="n">
        <f aca="false">(1+RentGrowth)^(MAX(0,E$5-1)/12)</f>
        <v>1.0024662697723</v>
      </c>
      <c r="F40" s="43" t="n">
        <f aca="false">(1+RentGrowth)^(MAX(0,F$5-1)/12)</f>
        <v>1.0049386220312</v>
      </c>
      <c r="G40" s="43" t="n">
        <f aca="false">(1+RentGrowth)^(MAX(0,G$5-1)/12)</f>
        <v>1.00741707177773</v>
      </c>
      <c r="H40" s="43" t="n">
        <f aca="false">(1+RentGrowth)^(MAX(0,H$5-1)/12)</f>
        <v>1.00990163404996</v>
      </c>
      <c r="I40" s="43" t="n">
        <f aca="false">(1+RentGrowth)^(MAX(0,I$5-1)/12)</f>
        <v>1.01239232392302</v>
      </c>
      <c r="J40" s="43" t="n">
        <f aca="false">(1+RentGrowth)^(MAX(0,J$5-1)/12)</f>
        <v>1.01488915650922</v>
      </c>
      <c r="K40" s="43" t="n">
        <f aca="false">(1+RentGrowth)^(MAX(0,K$5-1)/12)</f>
        <v>1.01739214695816</v>
      </c>
      <c r="L40" s="43" t="n">
        <f aca="false">(1+RentGrowth)^(MAX(0,L$5-1)/12)</f>
        <v>1.01990131045678</v>
      </c>
      <c r="M40" s="43" t="n">
        <f aca="false">(1+RentGrowth)^(MAX(0,M$5-1)/12)</f>
        <v>1.02241666222949</v>
      </c>
      <c r="N40" s="43" t="n">
        <f aca="false">(1+RentGrowth)^(MAX(0,N$5-1)/12)</f>
        <v>1.02493821753825</v>
      </c>
      <c r="O40" s="43" t="n">
        <f aca="false">(1+RentGrowth)^(MAX(0,O$5-1)/12)</f>
        <v>1.02746599168264</v>
      </c>
      <c r="P40" s="43" t="n">
        <f aca="false">(1+RentGrowth)^(MAX(0,P$5-1)/12)</f>
        <v>1.03</v>
      </c>
      <c r="Q40" s="43" t="n">
        <f aca="false">(1+RentGrowth)^(MAX(0,Q$5-1)/12)</f>
        <v>1.03254025786547</v>
      </c>
      <c r="R40" s="43" t="n">
        <f aca="false">(1+RentGrowth)^(MAX(0,R$5-1)/12)</f>
        <v>1.03508678069213</v>
      </c>
      <c r="S40" s="43" t="n">
        <f aca="false">(1+RentGrowth)^(MAX(0,S$5-1)/12)</f>
        <v>1.03763958393107</v>
      </c>
      <c r="T40" s="43" t="n">
        <f aca="false">(1+RentGrowth)^(MAX(0,T$5-1)/12)</f>
        <v>1.04019868307146</v>
      </c>
      <c r="U40" s="43" t="n">
        <f aca="false">(1+RentGrowth)^(MAX(0,U$5-1)/12)</f>
        <v>1.04276409364071</v>
      </c>
      <c r="V40" s="43" t="n">
        <f aca="false">(1+RentGrowth)^(MAX(0,V$5-1)/12)</f>
        <v>1.0453358312045</v>
      </c>
      <c r="W40" s="43" t="n">
        <f aca="false">(1+RentGrowth)^(MAX(0,W$5-1)/12)</f>
        <v>1.0479139113669</v>
      </c>
      <c r="X40" s="43" t="n">
        <f aca="false">(1+RentGrowth)^(MAX(0,X$5-1)/12)</f>
        <v>1.05049834977048</v>
      </c>
      <c r="Y40" s="43" t="n">
        <f aca="false">(1+RentGrowth)^(MAX(0,Y$5-1)/12)</f>
        <v>1.05308916209638</v>
      </c>
      <c r="Z40" s="43" t="n">
        <f aca="false">(1+RentGrowth)^(MAX(0,Z$5-1)/12)</f>
        <v>1.0556863640644</v>
      </c>
      <c r="AA40" s="43" t="n">
        <f aca="false">(1+RentGrowth)^(MAX(0,AA$5-1)/12)</f>
        <v>1.05828997143312</v>
      </c>
      <c r="AB40" s="43" t="n">
        <f aca="false">(1+RentGrowth)^(MAX(0,AB$5-1)/12)</f>
        <v>1.0609</v>
      </c>
      <c r="AC40" s="43" t="n">
        <f aca="false">(1+RentGrowth)^(MAX(0,AC$5-1)/12)</f>
        <v>1.06351646560144</v>
      </c>
      <c r="AD40" s="43" t="n">
        <f aca="false">(1+RentGrowth)^(MAX(0,AD$5-1)/12)</f>
        <v>1.0661393841129</v>
      </c>
      <c r="AE40" s="43" t="n">
        <f aca="false">(1+RentGrowth)^(MAX(0,AE$5-1)/12)</f>
        <v>1.068768771449</v>
      </c>
      <c r="AF40" s="43" t="n">
        <f aca="false">(1+RentGrowth)^(MAX(0,AF$5-1)/12)</f>
        <v>1.0714046435636</v>
      </c>
      <c r="AG40" s="43" t="n">
        <f aca="false">(1+RentGrowth)^(MAX(0,AG$5-1)/12)</f>
        <v>1.07404701644993</v>
      </c>
      <c r="AH40" s="43" t="n">
        <f aca="false">(1+RentGrowth)^(MAX(0,AH$5-1)/12)</f>
        <v>1.07669590614063</v>
      </c>
      <c r="AI40" s="43" t="n">
        <f aca="false">(1+RentGrowth)^(MAX(0,AI$5-1)/12)</f>
        <v>1.07935132870791</v>
      </c>
      <c r="AJ40" s="43" t="n">
        <f aca="false">(1+RentGrowth)^(MAX(0,AJ$5-1)/12)</f>
        <v>1.0820133002636</v>
      </c>
      <c r="AK40" s="43" t="n">
        <f aca="false">(1+RentGrowth)^(MAX(0,AK$5-1)/12)</f>
        <v>1.08468183695927</v>
      </c>
      <c r="AL40" s="43" t="n">
        <f aca="false">(1+RentGrowth)^(MAX(0,AL$5-1)/12)</f>
        <v>1.08735695498633</v>
      </c>
      <c r="AM40" s="43" t="n">
        <f aca="false">(1+RentGrowth)^(MAX(0,AM$5-1)/12)</f>
        <v>1.09003867057612</v>
      </c>
      <c r="AN40" s="43" t="n">
        <f aca="false">(1+RentGrowth)^(MAX(0,AN$5-1)/12)</f>
        <v>1.092727</v>
      </c>
      <c r="AO40" s="43" t="n">
        <f aca="false">(1+RentGrowth)^(MAX(0,AO$5-1)/12)</f>
        <v>1.09542195956948</v>
      </c>
      <c r="AP40" s="43" t="n">
        <f aca="false">(1+RentGrowth)^(MAX(0,AP$5-1)/12)</f>
        <v>1.09812356563628</v>
      </c>
      <c r="AQ40" s="43" t="n">
        <f aca="false">(1+RentGrowth)^(MAX(0,AQ$5-1)/12)</f>
        <v>1.10083183459247</v>
      </c>
      <c r="AR40" s="43" t="n">
        <f aca="false">(1+RentGrowth)^(MAX(0,AR$5-1)/12)</f>
        <v>1.10354678287051</v>
      </c>
      <c r="AS40" s="43" t="n">
        <f aca="false">(1+RentGrowth)^(MAX(0,AS$5-1)/12)</f>
        <v>1.10626842694343</v>
      </c>
      <c r="AT40" s="43" t="n">
        <f aca="false">(1+RentGrowth)^(MAX(0,AT$5-1)/12)</f>
        <v>1.10899678332485</v>
      </c>
      <c r="AU40" s="43" t="n">
        <f aca="false">(1+RentGrowth)^(MAX(0,AU$5-1)/12)</f>
        <v>1.11173186856915</v>
      </c>
      <c r="AV40" s="43" t="n">
        <f aca="false">(1+RentGrowth)^(MAX(0,AV$5-1)/12)</f>
        <v>1.11447369927151</v>
      </c>
      <c r="AW40" s="43" t="n">
        <f aca="false">(1+RentGrowth)^(MAX(0,AW$5-1)/12)</f>
        <v>1.11722229206805</v>
      </c>
      <c r="AX40" s="43" t="n">
        <f aca="false">(1+RentGrowth)^(MAX(0,AX$5-1)/12)</f>
        <v>1.11997766363592</v>
      </c>
      <c r="AY40" s="43" t="n">
        <f aca="false">(1+RentGrowth)^(MAX(0,AY$5-1)/12)</f>
        <v>1.1227398306934</v>
      </c>
      <c r="AZ40" s="43" t="n">
        <f aca="false">(1+RentGrowth)^(MAX(0,AZ$5-1)/12)</f>
        <v>1.12550881</v>
      </c>
      <c r="BA40" s="43" t="n">
        <f aca="false">(1+RentGrowth)^(MAX(0,BA$5-1)/12)</f>
        <v>1.12828461835656</v>
      </c>
      <c r="BB40" s="43" t="n">
        <f aca="false">(1+RentGrowth)^(MAX(0,BB$5-1)/12)</f>
        <v>1.13106727260537</v>
      </c>
      <c r="BC40" s="43" t="n">
        <f aca="false">(1+RentGrowth)^(MAX(0,BC$5-1)/12)</f>
        <v>1.13385678963024</v>
      </c>
      <c r="BD40" s="43" t="n">
        <f aca="false">(1+RentGrowth)^(MAX(0,BD$5-1)/12)</f>
        <v>1.13665318635663</v>
      </c>
      <c r="BE40" s="43" t="n">
        <f aca="false">(1+RentGrowth)^(MAX(0,BE$5-1)/12)</f>
        <v>1.13945647975173</v>
      </c>
      <c r="BF40" s="43" t="n">
        <f aca="false">(1+RentGrowth)^(MAX(0,BF$5-1)/12)</f>
        <v>1.1422666868246</v>
      </c>
      <c r="BG40" s="43" t="n">
        <f aca="false">(1+RentGrowth)^(MAX(0,BG$5-1)/12)</f>
        <v>1.14508382462622</v>
      </c>
      <c r="BH40" s="43" t="n">
        <f aca="false">(1+RentGrowth)^(MAX(0,BH$5-1)/12)</f>
        <v>1.14790791024965</v>
      </c>
      <c r="BI40" s="43" t="n">
        <f aca="false">(1+RentGrowth)^(MAX(0,BI$5-1)/12)</f>
        <v>1.15073896083009</v>
      </c>
      <c r="BJ40" s="43" t="n">
        <f aca="false">(1+RentGrowth)^(MAX(0,BJ$5-1)/12)</f>
        <v>1.153576993545</v>
      </c>
      <c r="BK40" s="43" t="n">
        <f aca="false">(1+RentGrowth)^(MAX(0,BK$5-1)/12)</f>
        <v>1.1564220256142</v>
      </c>
      <c r="BL40" s="43" t="n">
        <f aca="false">(1+RentGrowth)^(MAX(0,BL$5-1)/12)</f>
        <v>1.1592740743</v>
      </c>
      <c r="BM40" s="43" t="n">
        <f aca="false">(1+RentGrowth)^(MAX(0,BM$5-1)/12)</f>
        <v>1.16213315690726</v>
      </c>
      <c r="BN40" s="43" t="n">
        <f aca="false">(1+RentGrowth)^(MAX(0,BN$5-1)/12)</f>
        <v>1.16499929078353</v>
      </c>
      <c r="BO40" s="43" t="n">
        <f aca="false">(1+RentGrowth)^(MAX(0,BO$5-1)/12)</f>
        <v>1.16787249331915</v>
      </c>
      <c r="BP40" s="43" t="n">
        <f aca="false">(1+RentGrowth)^(MAX(0,BP$5-1)/12)</f>
        <v>1.17075278194733</v>
      </c>
      <c r="BQ40" s="43" t="n">
        <f aca="false">(1+RentGrowth)^(MAX(0,BQ$5-1)/12)</f>
        <v>1.17364017414428</v>
      </c>
      <c r="BR40" s="43" t="n">
        <f aca="false">(1+RentGrowth)^(MAX(0,BR$5-1)/12)</f>
        <v>1.17653468742934</v>
      </c>
      <c r="BS40" s="43" t="n">
        <f aca="false">(1+RentGrowth)^(MAX(0,BS$5-1)/12)</f>
        <v>1.17943633936501</v>
      </c>
      <c r="BT40" s="43" t="n">
        <f aca="false">(1+RentGrowth)^(MAX(0,BT$5-1)/12)</f>
        <v>1.18234514755714</v>
      </c>
      <c r="BU40" s="43" t="n">
        <f aca="false">(1+RentGrowth)^(MAX(0,BU$5-1)/12)</f>
        <v>1.18526112965499</v>
      </c>
      <c r="BV40" s="43" t="n">
        <f aca="false">(1+RentGrowth)^(MAX(0,BV$5-1)/12)</f>
        <v>1.18818430335135</v>
      </c>
      <c r="BW40" s="43" t="n">
        <f aca="false">(1+RentGrowth)^(MAX(0,BW$5-1)/12)</f>
        <v>1.19111468638263</v>
      </c>
      <c r="BX40" s="43" t="n">
        <f aca="false">(1+RentGrowth)^(MAX(0,BX$5-1)/12)</f>
        <v>1.194052296529</v>
      </c>
      <c r="BY40" s="43" t="n">
        <f aca="false">(1+RentGrowth)^(MAX(0,BY$5-1)/12)</f>
        <v>1.19699715161448</v>
      </c>
      <c r="BZ40" s="43" t="n">
        <f aca="false">(1+RentGrowth)^(MAX(0,BZ$5-1)/12)</f>
        <v>1.19994926950704</v>
      </c>
      <c r="CA40" s="43" t="n">
        <f aca="false">(1+RentGrowth)^(MAX(0,CA$5-1)/12)</f>
        <v>1.20290866811872</v>
      </c>
      <c r="CB40" s="43" t="n">
        <f aca="false">(1+RentGrowth)^(MAX(0,CB$5-1)/12)</f>
        <v>1.20587536540575</v>
      </c>
      <c r="CC40" s="43" t="n">
        <f aca="false">(1+RentGrowth)^(MAX(0,CC$5-1)/12)</f>
        <v>1.20884937936861</v>
      </c>
      <c r="CD40" s="43" t="n">
        <f aca="false">(1+RentGrowth)^(MAX(0,CD$5-1)/12)</f>
        <v>1.21183072805222</v>
      </c>
      <c r="CE40" s="43" t="n">
        <f aca="false">(1+RentGrowth)^(MAX(0,CE$5-1)/12)</f>
        <v>1.21481942954596</v>
      </c>
      <c r="CF40" s="43" t="n">
        <f aca="false">(1+RentGrowth)^(MAX(0,CF$5-1)/12)</f>
        <v>1.21781550198386</v>
      </c>
      <c r="CG40" s="43" t="n">
        <f aca="false">(1+RentGrowth)^(MAX(0,CG$5-1)/12)</f>
        <v>1.22081896354464</v>
      </c>
      <c r="CH40" s="43" t="n">
        <f aca="false">(1+RentGrowth)^(MAX(0,CH$5-1)/12)</f>
        <v>1.22382983245189</v>
      </c>
      <c r="CI40" s="43" t="n">
        <f aca="false">(1+RentGrowth)^(MAX(0,CI$5-1)/12)</f>
        <v>1.22684812697411</v>
      </c>
      <c r="CJ40" s="43" t="n">
        <f aca="false">(1+RentGrowth)^(MAX(0,CJ$5-1)/12)</f>
        <v>1.22987386542487</v>
      </c>
      <c r="CK40" s="43" t="n">
        <f aca="false">(1+RentGrowth)^(MAX(0,CK$5-1)/12)</f>
        <v>1.23290706616291</v>
      </c>
      <c r="CL40" s="43" t="n">
        <f aca="false">(1+RentGrowth)^(MAX(0,CL$5-1)/12)</f>
        <v>1.23594774759225</v>
      </c>
      <c r="CM40" s="43" t="n">
        <f aca="false">(1+RentGrowth)^(MAX(0,CM$5-1)/12)</f>
        <v>1.23899592816228</v>
      </c>
      <c r="CN40" s="43" t="n">
        <f aca="false">(1+RentGrowth)^(MAX(0,CN$5-1)/12)</f>
        <v>1.24205162636792</v>
      </c>
      <c r="CO40" s="43" t="n">
        <f aca="false">(1+RentGrowth)^(MAX(0,CO$5-1)/12)</f>
        <v>1.24511486074967</v>
      </c>
      <c r="CP40" s="43" t="n">
        <f aca="false">(1+RentGrowth)^(MAX(0,CP$5-1)/12)</f>
        <v>1.24818564989378</v>
      </c>
      <c r="CQ40" s="43" t="n">
        <f aca="false">(1+RentGrowth)^(MAX(0,CQ$5-1)/12)</f>
        <v>1.25126401243234</v>
      </c>
      <c r="CR40" s="43" t="n">
        <f aca="false">(1+RentGrowth)^(MAX(0,CR$5-1)/12)</f>
        <v>1.25434996704337</v>
      </c>
      <c r="CS40" s="43" t="n">
        <f aca="false">(1+RentGrowth)^(MAX(0,CS$5-1)/12)</f>
        <v>1.25744353245098</v>
      </c>
      <c r="CT40" s="43" t="n">
        <f aca="false">(1+RentGrowth)^(MAX(0,CT$5-1)/12)</f>
        <v>1.26054472742544</v>
      </c>
      <c r="CU40" s="43" t="n">
        <f aca="false">(1+RentGrowth)^(MAX(0,CU$5-1)/12)</f>
        <v>1.26365357078333</v>
      </c>
    </row>
    <row r="41" customFormat="false" ht="15" hidden="false" customHeight="false" outlineLevel="0" collapsed="false">
      <c r="A41" s="35" t="s">
        <v>131</v>
      </c>
      <c r="C41" s="36" t="n">
        <f aca="false">IF(AND(C13=1,C$5&lt;=BuildMonths+RentFree),0,1)</f>
        <v>1</v>
      </c>
      <c r="D41" s="36" t="n">
        <f aca="false">IF(AND(D13=1,D$5&lt;=BuildMonths+RentFree),0,1)</f>
        <v>1</v>
      </c>
      <c r="E41" s="36" t="n">
        <f aca="false">IF(AND(E13=1,E$5&lt;=BuildMonths+RentFree),0,1)</f>
        <v>1</v>
      </c>
      <c r="F41" s="36" t="n">
        <f aca="false">IF(AND(F13=1,F$5&lt;=BuildMonths+RentFree),0,1)</f>
        <v>1</v>
      </c>
      <c r="G41" s="36" t="n">
        <f aca="false">IF(AND(G13=1,G$5&lt;=BuildMonths+RentFree),0,1)</f>
        <v>1</v>
      </c>
      <c r="H41" s="36" t="n">
        <f aca="false">IF(AND(H13=1,H$5&lt;=BuildMonths+RentFree),0,1)</f>
        <v>1</v>
      </c>
      <c r="I41" s="36" t="n">
        <f aca="false">IF(AND(I13=1,I$5&lt;=BuildMonths+RentFree),0,1)</f>
        <v>1</v>
      </c>
      <c r="J41" s="36" t="n">
        <f aca="false">IF(AND(J13=1,J$5&lt;=BuildMonths+RentFree),0,1)</f>
        <v>1</v>
      </c>
      <c r="K41" s="36" t="n">
        <f aca="false">IF(AND(K13=1,K$5&lt;=BuildMonths+RentFree),0,1)</f>
        <v>1</v>
      </c>
      <c r="L41" s="36" t="n">
        <f aca="false">IF(AND(L13=1,L$5&lt;=BuildMonths+RentFree),0,1)</f>
        <v>1</v>
      </c>
      <c r="M41" s="36" t="n">
        <f aca="false">IF(AND(M13=1,M$5&lt;=BuildMonths+RentFree),0,1)</f>
        <v>1</v>
      </c>
      <c r="N41" s="36" t="n">
        <f aca="false">IF(AND(N13=1,N$5&lt;=BuildMonths+RentFree),0,1)</f>
        <v>1</v>
      </c>
      <c r="O41" s="36" t="n">
        <f aca="false">IF(AND(O13=1,O$5&lt;=BuildMonths+RentFree),0,1)</f>
        <v>1</v>
      </c>
      <c r="P41" s="36" t="n">
        <f aca="false">IF(AND(P13=1,P$5&lt;=BuildMonths+RentFree),0,1)</f>
        <v>1</v>
      </c>
      <c r="Q41" s="36" t="n">
        <f aca="false">IF(AND(Q13=1,Q$5&lt;=BuildMonths+RentFree),0,1)</f>
        <v>1</v>
      </c>
      <c r="R41" s="36" t="n">
        <f aca="false">IF(AND(R13=1,R$5&lt;=BuildMonths+RentFree),0,1)</f>
        <v>1</v>
      </c>
      <c r="S41" s="36" t="n">
        <f aca="false">IF(AND(S13=1,S$5&lt;=BuildMonths+RentFree),0,1)</f>
        <v>1</v>
      </c>
      <c r="T41" s="36" t="n">
        <f aca="false">IF(AND(T13=1,T$5&lt;=BuildMonths+RentFree),0,1)</f>
        <v>1</v>
      </c>
      <c r="U41" s="36" t="n">
        <f aca="false">IF(AND(U13=1,U$5&lt;=BuildMonths+RentFree),0,1)</f>
        <v>1</v>
      </c>
      <c r="V41" s="36" t="n">
        <f aca="false">IF(AND(V13=1,V$5&lt;=BuildMonths+RentFree),0,1)</f>
        <v>1</v>
      </c>
      <c r="W41" s="36" t="n">
        <f aca="false">IF(AND(W13=1,W$5&lt;=BuildMonths+RentFree),0,1)</f>
        <v>1</v>
      </c>
      <c r="X41" s="36" t="n">
        <f aca="false">IF(AND(X13=1,X$5&lt;=BuildMonths+RentFree),0,1)</f>
        <v>1</v>
      </c>
      <c r="Y41" s="36" t="n">
        <f aca="false">IF(AND(Y13=1,Y$5&lt;=BuildMonths+RentFree),0,1)</f>
        <v>1</v>
      </c>
      <c r="Z41" s="36" t="n">
        <f aca="false">IF(AND(Z13=1,Z$5&lt;=BuildMonths+RentFree),0,1)</f>
        <v>1</v>
      </c>
      <c r="AA41" s="36" t="n">
        <f aca="false">IF(AND(AA13=1,AA$5&lt;=BuildMonths+RentFree),0,1)</f>
        <v>1</v>
      </c>
      <c r="AB41" s="36" t="n">
        <f aca="false">IF(AND(AB13=1,AB$5&lt;=BuildMonths+RentFree),0,1)</f>
        <v>1</v>
      </c>
      <c r="AC41" s="36" t="n">
        <f aca="false">IF(AND(AC13=1,AC$5&lt;=BuildMonths+RentFree),0,1)</f>
        <v>1</v>
      </c>
      <c r="AD41" s="36" t="n">
        <f aca="false">IF(AND(AD13=1,AD$5&lt;=BuildMonths+RentFree),0,1)</f>
        <v>1</v>
      </c>
      <c r="AE41" s="36" t="n">
        <f aca="false">IF(AND(AE13=1,AE$5&lt;=BuildMonths+RentFree),0,1)</f>
        <v>1</v>
      </c>
      <c r="AF41" s="36" t="n">
        <f aca="false">IF(AND(AF13=1,AF$5&lt;=BuildMonths+RentFree),0,1)</f>
        <v>1</v>
      </c>
      <c r="AG41" s="36" t="n">
        <f aca="false">IF(AND(AG13=1,AG$5&lt;=BuildMonths+RentFree),0,1)</f>
        <v>1</v>
      </c>
      <c r="AH41" s="36" t="n">
        <f aca="false">IF(AND(AH13=1,AH$5&lt;=BuildMonths+RentFree),0,1)</f>
        <v>0</v>
      </c>
      <c r="AI41" s="36" t="n">
        <f aca="false">IF(AND(AI13=1,AI$5&lt;=BuildMonths+RentFree),0,1)</f>
        <v>0</v>
      </c>
      <c r="AJ41" s="36" t="n">
        <f aca="false">IF(AND(AJ13=1,AJ$5&lt;=BuildMonths+RentFree),0,1)</f>
        <v>0</v>
      </c>
      <c r="AK41" s="36" t="n">
        <f aca="false">IF(AND(AK13=1,AK$5&lt;=BuildMonths+RentFree),0,1)</f>
        <v>0</v>
      </c>
      <c r="AL41" s="36" t="n">
        <f aca="false">IF(AND(AL13=1,AL$5&lt;=BuildMonths+RentFree),0,1)</f>
        <v>1</v>
      </c>
      <c r="AM41" s="36" t="n">
        <f aca="false">IF(AND(AM13=1,AM$5&lt;=BuildMonths+RentFree),0,1)</f>
        <v>1</v>
      </c>
      <c r="AN41" s="36" t="n">
        <f aca="false">IF(AND(AN13=1,AN$5&lt;=BuildMonths+RentFree),0,1)</f>
        <v>1</v>
      </c>
      <c r="AO41" s="36" t="n">
        <f aca="false">IF(AND(AO13=1,AO$5&lt;=BuildMonths+RentFree),0,1)</f>
        <v>1</v>
      </c>
      <c r="AP41" s="36" t="n">
        <f aca="false">IF(AND(AP13=1,AP$5&lt;=BuildMonths+RentFree),0,1)</f>
        <v>1</v>
      </c>
      <c r="AQ41" s="36" t="n">
        <f aca="false">IF(AND(AQ13=1,AQ$5&lt;=BuildMonths+RentFree),0,1)</f>
        <v>1</v>
      </c>
      <c r="AR41" s="36" t="n">
        <f aca="false">IF(AND(AR13=1,AR$5&lt;=BuildMonths+RentFree),0,1)</f>
        <v>1</v>
      </c>
      <c r="AS41" s="36" t="n">
        <f aca="false">IF(AND(AS13=1,AS$5&lt;=BuildMonths+RentFree),0,1)</f>
        <v>1</v>
      </c>
      <c r="AT41" s="36" t="n">
        <f aca="false">IF(AND(AT13=1,AT$5&lt;=BuildMonths+RentFree),0,1)</f>
        <v>1</v>
      </c>
      <c r="AU41" s="36" t="n">
        <f aca="false">IF(AND(AU13=1,AU$5&lt;=BuildMonths+RentFree),0,1)</f>
        <v>1</v>
      </c>
      <c r="AV41" s="36" t="n">
        <f aca="false">IF(AND(AV13=1,AV$5&lt;=BuildMonths+RentFree),0,1)</f>
        <v>1</v>
      </c>
      <c r="AW41" s="36" t="n">
        <f aca="false">IF(AND(AW13=1,AW$5&lt;=BuildMonths+RentFree),0,1)</f>
        <v>1</v>
      </c>
      <c r="AX41" s="36" t="n">
        <f aca="false">IF(AND(AX13=1,AX$5&lt;=BuildMonths+RentFree),0,1)</f>
        <v>1</v>
      </c>
      <c r="AY41" s="36" t="n">
        <f aca="false">IF(AND(AY13=1,AY$5&lt;=BuildMonths+RentFree),0,1)</f>
        <v>1</v>
      </c>
      <c r="AZ41" s="36" t="n">
        <f aca="false">IF(AND(AZ13=1,AZ$5&lt;=BuildMonths+RentFree),0,1)</f>
        <v>1</v>
      </c>
      <c r="BA41" s="36" t="n">
        <f aca="false">IF(AND(BA13=1,BA$5&lt;=BuildMonths+RentFree),0,1)</f>
        <v>1</v>
      </c>
      <c r="BB41" s="36" t="n">
        <f aca="false">IF(AND(BB13=1,BB$5&lt;=BuildMonths+RentFree),0,1)</f>
        <v>1</v>
      </c>
      <c r="BC41" s="36" t="n">
        <f aca="false">IF(AND(BC13=1,BC$5&lt;=BuildMonths+RentFree),0,1)</f>
        <v>1</v>
      </c>
      <c r="BD41" s="36" t="n">
        <f aca="false">IF(AND(BD13=1,BD$5&lt;=BuildMonths+RentFree),0,1)</f>
        <v>1</v>
      </c>
      <c r="BE41" s="36" t="n">
        <f aca="false">IF(AND(BE13=1,BE$5&lt;=BuildMonths+RentFree),0,1)</f>
        <v>1</v>
      </c>
      <c r="BF41" s="36" t="n">
        <f aca="false">IF(AND(BF13=1,BF$5&lt;=BuildMonths+RentFree),0,1)</f>
        <v>1</v>
      </c>
      <c r="BG41" s="36" t="n">
        <f aca="false">IF(AND(BG13=1,BG$5&lt;=BuildMonths+RentFree),0,1)</f>
        <v>1</v>
      </c>
      <c r="BH41" s="36" t="n">
        <f aca="false">IF(AND(BH13=1,BH$5&lt;=BuildMonths+RentFree),0,1)</f>
        <v>1</v>
      </c>
      <c r="BI41" s="36" t="n">
        <f aca="false">IF(AND(BI13=1,BI$5&lt;=BuildMonths+RentFree),0,1)</f>
        <v>1</v>
      </c>
      <c r="BJ41" s="36" t="n">
        <f aca="false">IF(AND(BJ13=1,BJ$5&lt;=BuildMonths+RentFree),0,1)</f>
        <v>1</v>
      </c>
      <c r="BK41" s="36" t="n">
        <f aca="false">IF(AND(BK13=1,BK$5&lt;=BuildMonths+RentFree),0,1)</f>
        <v>1</v>
      </c>
      <c r="BL41" s="36" t="n">
        <f aca="false">IF(AND(BL13=1,BL$5&lt;=BuildMonths+RentFree),0,1)</f>
        <v>1</v>
      </c>
      <c r="BM41" s="36" t="n">
        <f aca="false">IF(AND(BM13=1,BM$5&lt;=BuildMonths+RentFree),0,1)</f>
        <v>1</v>
      </c>
      <c r="BN41" s="36" t="n">
        <f aca="false">IF(AND(BN13=1,BN$5&lt;=BuildMonths+RentFree),0,1)</f>
        <v>1</v>
      </c>
      <c r="BO41" s="36" t="n">
        <f aca="false">IF(AND(BO13=1,BO$5&lt;=BuildMonths+RentFree),0,1)</f>
        <v>1</v>
      </c>
      <c r="BP41" s="36" t="n">
        <f aca="false">IF(AND(BP13=1,BP$5&lt;=BuildMonths+RentFree),0,1)</f>
        <v>1</v>
      </c>
      <c r="BQ41" s="36" t="n">
        <f aca="false">IF(AND(BQ13=1,BQ$5&lt;=BuildMonths+RentFree),0,1)</f>
        <v>1</v>
      </c>
      <c r="BR41" s="36" t="n">
        <f aca="false">IF(AND(BR13=1,BR$5&lt;=BuildMonths+RentFree),0,1)</f>
        <v>1</v>
      </c>
      <c r="BS41" s="36" t="n">
        <f aca="false">IF(AND(BS13=1,BS$5&lt;=BuildMonths+RentFree),0,1)</f>
        <v>1</v>
      </c>
      <c r="BT41" s="36" t="n">
        <f aca="false">IF(AND(BT13=1,BT$5&lt;=BuildMonths+RentFree),0,1)</f>
        <v>1</v>
      </c>
      <c r="BU41" s="36" t="n">
        <f aca="false">IF(AND(BU13=1,BU$5&lt;=BuildMonths+RentFree),0,1)</f>
        <v>1</v>
      </c>
      <c r="BV41" s="36" t="n">
        <f aca="false">IF(AND(BV13=1,BV$5&lt;=BuildMonths+RentFree),0,1)</f>
        <v>1</v>
      </c>
      <c r="BW41" s="36" t="n">
        <f aca="false">IF(AND(BW13=1,BW$5&lt;=BuildMonths+RentFree),0,1)</f>
        <v>1</v>
      </c>
      <c r="BX41" s="36" t="n">
        <f aca="false">IF(AND(BX13=1,BX$5&lt;=BuildMonths+RentFree),0,1)</f>
        <v>1</v>
      </c>
      <c r="BY41" s="36" t="n">
        <f aca="false">IF(AND(BY13=1,BY$5&lt;=BuildMonths+RentFree),0,1)</f>
        <v>1</v>
      </c>
      <c r="BZ41" s="36" t="n">
        <f aca="false">IF(AND(BZ13=1,BZ$5&lt;=BuildMonths+RentFree),0,1)</f>
        <v>1</v>
      </c>
      <c r="CA41" s="36" t="n">
        <f aca="false">IF(AND(CA13=1,CA$5&lt;=BuildMonths+RentFree),0,1)</f>
        <v>1</v>
      </c>
      <c r="CB41" s="36" t="n">
        <f aca="false">IF(AND(CB13=1,CB$5&lt;=BuildMonths+RentFree),0,1)</f>
        <v>1</v>
      </c>
      <c r="CC41" s="36" t="n">
        <f aca="false">IF(AND(CC13=1,CC$5&lt;=BuildMonths+RentFree),0,1)</f>
        <v>1</v>
      </c>
      <c r="CD41" s="36" t="n">
        <f aca="false">IF(AND(CD13=1,CD$5&lt;=BuildMonths+RentFree),0,1)</f>
        <v>1</v>
      </c>
      <c r="CE41" s="36" t="n">
        <f aca="false">IF(AND(CE13=1,CE$5&lt;=BuildMonths+RentFree),0,1)</f>
        <v>1</v>
      </c>
      <c r="CF41" s="36" t="n">
        <f aca="false">IF(AND(CF13=1,CF$5&lt;=BuildMonths+RentFree),0,1)</f>
        <v>1</v>
      </c>
      <c r="CG41" s="36" t="n">
        <f aca="false">IF(AND(CG13=1,CG$5&lt;=BuildMonths+RentFree),0,1)</f>
        <v>1</v>
      </c>
      <c r="CH41" s="36" t="n">
        <f aca="false">IF(AND(CH13=1,CH$5&lt;=BuildMonths+RentFree),0,1)</f>
        <v>1</v>
      </c>
      <c r="CI41" s="36" t="n">
        <f aca="false">IF(AND(CI13=1,CI$5&lt;=BuildMonths+RentFree),0,1)</f>
        <v>1</v>
      </c>
      <c r="CJ41" s="36" t="n">
        <f aca="false">IF(AND(CJ13=1,CJ$5&lt;=BuildMonths+RentFree),0,1)</f>
        <v>1</v>
      </c>
      <c r="CK41" s="36" t="n">
        <f aca="false">IF(AND(CK13=1,CK$5&lt;=BuildMonths+RentFree),0,1)</f>
        <v>1</v>
      </c>
      <c r="CL41" s="36" t="n">
        <f aca="false">IF(AND(CL13=1,CL$5&lt;=BuildMonths+RentFree),0,1)</f>
        <v>1</v>
      </c>
      <c r="CM41" s="36" t="n">
        <f aca="false">IF(AND(CM13=1,CM$5&lt;=BuildMonths+RentFree),0,1)</f>
        <v>1</v>
      </c>
      <c r="CN41" s="36" t="n">
        <f aca="false">IF(AND(CN13=1,CN$5&lt;=BuildMonths+RentFree),0,1)</f>
        <v>1</v>
      </c>
      <c r="CO41" s="36" t="n">
        <f aca="false">IF(AND(CO13=1,CO$5&lt;=BuildMonths+RentFree),0,1)</f>
        <v>1</v>
      </c>
      <c r="CP41" s="36" t="n">
        <f aca="false">IF(AND(CP13=1,CP$5&lt;=BuildMonths+RentFree),0,1)</f>
        <v>1</v>
      </c>
      <c r="CQ41" s="36" t="n">
        <f aca="false">IF(AND(CQ13=1,CQ$5&lt;=BuildMonths+RentFree),0,1)</f>
        <v>1</v>
      </c>
      <c r="CR41" s="36" t="n">
        <f aca="false">IF(AND(CR13=1,CR$5&lt;=BuildMonths+RentFree),0,1)</f>
        <v>1</v>
      </c>
      <c r="CS41" s="36" t="n">
        <f aca="false">IF(AND(CS13=1,CS$5&lt;=BuildMonths+RentFree),0,1)</f>
        <v>1</v>
      </c>
      <c r="CT41" s="36" t="n">
        <f aca="false">IF(AND(CT13=1,CT$5&lt;=BuildMonths+RentFree),0,1)</f>
        <v>1</v>
      </c>
      <c r="CU41" s="36" t="n">
        <f aca="false">IF(AND(CU13=1,CU$5&lt;=BuildMonths+RentFree),0,1)</f>
        <v>1</v>
      </c>
    </row>
    <row r="42" customFormat="false" ht="15" hidden="false" customHeight="false" outlineLevel="0" collapsed="false">
      <c r="A42" s="35" t="s">
        <v>132</v>
      </c>
      <c r="B42" s="26" t="n">
        <f aca="false">SUM(C42:CU42)</f>
        <v>171153282.436287</v>
      </c>
      <c r="C42" s="40" t="n">
        <f aca="false">RetailGLA*RetailRent/12*C39*C40*C41</f>
        <v>0</v>
      </c>
      <c r="D42" s="40" t="n">
        <f aca="false">RetailGLA*RetailRent/12*D39*D40*D41</f>
        <v>0</v>
      </c>
      <c r="E42" s="40" t="n">
        <f aca="false">RetailGLA*RetailRent/12*E39*E40*E41</f>
        <v>0</v>
      </c>
      <c r="F42" s="40" t="n">
        <f aca="false">RetailGLA*RetailRent/12*F39*F40*F41</f>
        <v>0</v>
      </c>
      <c r="G42" s="40" t="n">
        <f aca="false">RetailGLA*RetailRent/12*G39*G40*G41</f>
        <v>0</v>
      </c>
      <c r="H42" s="40" t="n">
        <f aca="false">RetailGLA*RetailRent/12*H39*H40*H41</f>
        <v>0</v>
      </c>
      <c r="I42" s="40" t="n">
        <f aca="false">RetailGLA*RetailRent/12*I39*I40*I41</f>
        <v>0</v>
      </c>
      <c r="J42" s="40" t="n">
        <f aca="false">RetailGLA*RetailRent/12*J39*J40*J41</f>
        <v>0</v>
      </c>
      <c r="K42" s="40" t="n">
        <f aca="false">RetailGLA*RetailRent/12*K39*K40*K41</f>
        <v>0</v>
      </c>
      <c r="L42" s="40" t="n">
        <f aca="false">RetailGLA*RetailRent/12*L39*L40*L41</f>
        <v>0</v>
      </c>
      <c r="M42" s="40" t="n">
        <f aca="false">RetailGLA*RetailRent/12*M39*M40*M41</f>
        <v>0</v>
      </c>
      <c r="N42" s="40" t="n">
        <f aca="false">RetailGLA*RetailRent/12*N39*N40*N41</f>
        <v>0</v>
      </c>
      <c r="O42" s="40" t="n">
        <f aca="false">RetailGLA*RetailRent/12*O39*O40*O41</f>
        <v>0</v>
      </c>
      <c r="P42" s="40" t="n">
        <f aca="false">RetailGLA*RetailRent/12*P39*P40*P41</f>
        <v>0</v>
      </c>
      <c r="Q42" s="40" t="n">
        <f aca="false">RetailGLA*RetailRent/12*Q39*Q40*Q41</f>
        <v>0</v>
      </c>
      <c r="R42" s="40" t="n">
        <f aca="false">RetailGLA*RetailRent/12*R39*R40*R41</f>
        <v>0</v>
      </c>
      <c r="S42" s="40" t="n">
        <f aca="false">RetailGLA*RetailRent/12*S39*S40*S41</f>
        <v>0</v>
      </c>
      <c r="T42" s="40" t="n">
        <f aca="false">RetailGLA*RetailRent/12*T39*T40*T41</f>
        <v>0</v>
      </c>
      <c r="U42" s="40" t="n">
        <f aca="false">RetailGLA*RetailRent/12*U39*U40*U41</f>
        <v>0</v>
      </c>
      <c r="V42" s="40" t="n">
        <f aca="false">RetailGLA*RetailRent/12*V39*V40*V41</f>
        <v>0</v>
      </c>
      <c r="W42" s="40" t="n">
        <f aca="false">RetailGLA*RetailRent/12*W39*W40*W41</f>
        <v>0</v>
      </c>
      <c r="X42" s="40" t="n">
        <f aca="false">RetailGLA*RetailRent/12*X39*X40*X41</f>
        <v>0</v>
      </c>
      <c r="Y42" s="40" t="n">
        <f aca="false">RetailGLA*RetailRent/12*Y39*Y40*Y41</f>
        <v>0</v>
      </c>
      <c r="Z42" s="40" t="n">
        <f aca="false">RetailGLA*RetailRent/12*Z39*Z40*Z41</f>
        <v>0</v>
      </c>
      <c r="AA42" s="40" t="n">
        <f aca="false">RetailGLA*RetailRent/12*AA39*AA40*AA41</f>
        <v>0</v>
      </c>
      <c r="AB42" s="40" t="n">
        <f aca="false">RetailGLA*RetailRent/12*AB39*AB40*AB41</f>
        <v>0</v>
      </c>
      <c r="AC42" s="40" t="n">
        <f aca="false">RetailGLA*RetailRent/12*AC39*AC40*AC41</f>
        <v>0</v>
      </c>
      <c r="AD42" s="40" t="n">
        <f aca="false">RetailGLA*RetailRent/12*AD39*AD40*AD41</f>
        <v>0</v>
      </c>
      <c r="AE42" s="40" t="n">
        <f aca="false">RetailGLA*RetailRent/12*AE39*AE40*AE41</f>
        <v>0</v>
      </c>
      <c r="AF42" s="40" t="n">
        <f aca="false">RetailGLA*RetailRent/12*AF39*AF40*AF41</f>
        <v>0</v>
      </c>
      <c r="AG42" s="40" t="n">
        <f aca="false">RetailGLA*RetailRent/12*AG39*AG40*AG41</f>
        <v>0</v>
      </c>
      <c r="AH42" s="40" t="n">
        <f aca="false">RetailGLA*RetailRent/12*AH39*AH40*AH41</f>
        <v>0</v>
      </c>
      <c r="AI42" s="40" t="n">
        <f aca="false">RetailGLA*RetailRent/12*AI39*AI40*AI41</f>
        <v>0</v>
      </c>
      <c r="AJ42" s="40" t="n">
        <f aca="false">RetailGLA*RetailRent/12*AJ39*AJ40*AJ41</f>
        <v>0</v>
      </c>
      <c r="AK42" s="40" t="n">
        <f aca="false">RetailGLA*RetailRent/12*AK39*AK40*AK41</f>
        <v>0</v>
      </c>
      <c r="AL42" s="40" t="n">
        <f aca="false">RetailGLA*RetailRent/12*AL39*AL40*AL41</f>
        <v>1370875.21287906</v>
      </c>
      <c r="AM42" s="40" t="n">
        <f aca="false">RetailGLA*RetailRent/12*AM39*AM40*AM41</f>
        <v>1649107.39317382</v>
      </c>
      <c r="AN42" s="40" t="n">
        <f aca="false">RetailGLA*RetailRent/12*AN39*AN40*AN41</f>
        <v>1928703.62637037</v>
      </c>
      <c r="AO42" s="40" t="n">
        <f aca="false">RetailGLA*RetailRent/12*AO39*AO40*AO41</f>
        <v>2209668.94837008</v>
      </c>
      <c r="AP42" s="40" t="n">
        <f aca="false">RetailGLA*RetailRent/12*AP39*AP40*AP41</f>
        <v>2492008.41161727</v>
      </c>
      <c r="AQ42" s="40" t="n">
        <f aca="false">RetailGLA*RetailRent/12*AQ39*AQ40*AQ41</f>
        <v>2775727.08515019</v>
      </c>
      <c r="AR42" s="40" t="n">
        <f aca="false">RetailGLA*RetailRent/12*AR39*AR40*AR41</f>
        <v>3060830.05465211</v>
      </c>
      <c r="AS42" s="40" t="n">
        <f aca="false">RetailGLA*RetailRent/12*AS39*AS40*AS41</f>
        <v>3347322.4225026</v>
      </c>
      <c r="AT42" s="40" t="n">
        <f aca="false">RetailGLA*RetailRent/12*AT39*AT40*AT41</f>
        <v>3635209.30782899</v>
      </c>
      <c r="AU42" s="40" t="n">
        <f aca="false">RetailGLA*RetailRent/12*AU39*AU40*AU41</f>
        <v>3924495.84655788</v>
      </c>
      <c r="AV42" s="40" t="n">
        <f aca="false">RetailGLA*RetailRent/12*AV39*AV40*AV41</f>
        <v>4215187.1914669</v>
      </c>
      <c r="AW42" s="40" t="n">
        <f aca="false">RetailGLA*RetailRent/12*AW39*AW40*AW41</f>
        <v>4507288.5122366</v>
      </c>
      <c r="AX42" s="40" t="n">
        <f aca="false">RetailGLA*RetailRent/12*AX39*AX40*AX41</f>
        <v>4800804.99550247</v>
      </c>
      <c r="AY42" s="40" t="n">
        <f aca="false">RetailGLA*RetailRent/12*AY39*AY40*AY41</f>
        <v>5095741.84490711</v>
      </c>
      <c r="AZ42" s="40" t="n">
        <f aca="false">RetailGLA*RetailRent/12*AZ39*AZ40*AZ41</f>
        <v>5108309.31898667</v>
      </c>
      <c r="BA42" s="40" t="n">
        <f aca="false">RetailGLA*RetailRent/12*BA39*BA40*BA41</f>
        <v>5120907.78784766</v>
      </c>
      <c r="BB42" s="40" t="n">
        <f aca="false">RetailGLA*RetailRent/12*BB39*BB40*BB41</f>
        <v>5133537.32793158</v>
      </c>
      <c r="BC42" s="40" t="n">
        <f aca="false">RetailGLA*RetailRent/12*BC39*BC40*BC41</f>
        <v>5146198.01586845</v>
      </c>
      <c r="BD42" s="40" t="n">
        <f aca="false">RetailGLA*RetailRent/12*BD39*BD40*BD41</f>
        <v>5158889.92847728</v>
      </c>
      <c r="BE42" s="40" t="n">
        <f aca="false">RetailGLA*RetailRent/12*BE39*BE40*BE41</f>
        <v>5171613.14276652</v>
      </c>
      <c r="BF42" s="40" t="n">
        <f aca="false">RetailGLA*RetailRent/12*BF39*BF40*BF41</f>
        <v>5184367.73593458</v>
      </c>
      <c r="BG42" s="40" t="n">
        <f aca="false">RetailGLA*RetailRent/12*BG39*BG40*BG41</f>
        <v>5197153.78537022</v>
      </c>
      <c r="BH42" s="40" t="n">
        <f aca="false">RetailGLA*RetailRent/12*BH39*BH40*BH41</f>
        <v>5209971.36865309</v>
      </c>
      <c r="BI42" s="40" t="n">
        <f aca="false">RetailGLA*RetailRent/12*BI39*BI40*BI41</f>
        <v>5222820.56355417</v>
      </c>
      <c r="BJ42" s="40" t="n">
        <f aca="false">RetailGLA*RetailRent/12*BJ39*BJ40*BJ41</f>
        <v>5235701.44803623</v>
      </c>
      <c r="BK42" s="40" t="n">
        <f aca="false">RetailGLA*RetailRent/12*BK39*BK40*BK41</f>
        <v>5248614.10025432</v>
      </c>
      <c r="BL42" s="40" t="n">
        <f aca="false">RetailGLA*RetailRent/12*BL39*BL40*BL41</f>
        <v>5261558.59855627</v>
      </c>
      <c r="BM42" s="40" t="n">
        <f aca="false">RetailGLA*RetailRent/12*BM39*BM40*BM41</f>
        <v>5274535.02148309</v>
      </c>
      <c r="BN42" s="40" t="n">
        <f aca="false">RetailGLA*RetailRent/12*BN39*BN40*BN41</f>
        <v>5287543.44776953</v>
      </c>
      <c r="BO42" s="40" t="n">
        <f aca="false">RetailGLA*RetailRent/12*BO39*BO40*BO41</f>
        <v>5300583.95634451</v>
      </c>
      <c r="BP42" s="40" t="n">
        <f aca="false">RetailGLA*RetailRent/12*BP39*BP40*BP41</f>
        <v>5313656.6263316</v>
      </c>
      <c r="BQ42" s="40" t="n">
        <f aca="false">RetailGLA*RetailRent/12*BQ39*BQ40*BQ41</f>
        <v>5326761.53704952</v>
      </c>
      <c r="BR42" s="40" t="n">
        <f aca="false">RetailGLA*RetailRent/12*BR39*BR40*BR41</f>
        <v>5339898.76801262</v>
      </c>
      <c r="BS42" s="40" t="n">
        <f aca="false">RetailGLA*RetailRent/12*BS39*BS40*BS41</f>
        <v>5353068.39893132</v>
      </c>
      <c r="BT42" s="40" t="n">
        <f aca="false">RetailGLA*RetailRent/12*BT39*BT40*BT41</f>
        <v>5366270.50971268</v>
      </c>
      <c r="BU42" s="40" t="n">
        <f aca="false">RetailGLA*RetailRent/12*BU39*BU40*BU41</f>
        <v>5379505.18046079</v>
      </c>
      <c r="BV42" s="40" t="n">
        <f aca="false">RetailGLA*RetailRent/12*BV39*BV40*BV41</f>
        <v>5392772.49147731</v>
      </c>
      <c r="BW42" s="40" t="n">
        <f aca="false">RetailGLA*RetailRent/12*BW39*BW40*BW41</f>
        <v>5406072.52326195</v>
      </c>
      <c r="BX42" s="40" t="n">
        <f aca="false">RetailGLA*RetailRent/12*BX39*BX40*BX41</f>
        <v>0</v>
      </c>
      <c r="BY42" s="40" t="n">
        <f aca="false">RetailGLA*RetailRent/12*BY39*BY40*BY41</f>
        <v>0</v>
      </c>
      <c r="BZ42" s="40" t="n">
        <f aca="false">RetailGLA*RetailRent/12*BZ39*BZ40*BZ41</f>
        <v>0</v>
      </c>
      <c r="CA42" s="40" t="n">
        <f aca="false">RetailGLA*RetailRent/12*CA39*CA40*CA41</f>
        <v>0</v>
      </c>
      <c r="CB42" s="40" t="n">
        <f aca="false">RetailGLA*RetailRent/12*CB39*CB40*CB41</f>
        <v>0</v>
      </c>
      <c r="CC42" s="40" t="n">
        <f aca="false">RetailGLA*RetailRent/12*CC39*CC40*CC41</f>
        <v>0</v>
      </c>
      <c r="CD42" s="40" t="n">
        <f aca="false">RetailGLA*RetailRent/12*CD39*CD40*CD41</f>
        <v>0</v>
      </c>
      <c r="CE42" s="40" t="n">
        <f aca="false">RetailGLA*RetailRent/12*CE39*CE40*CE41</f>
        <v>0</v>
      </c>
      <c r="CF42" s="40" t="n">
        <f aca="false">RetailGLA*RetailRent/12*CF39*CF40*CF41</f>
        <v>0</v>
      </c>
      <c r="CG42" s="40" t="n">
        <f aca="false">RetailGLA*RetailRent/12*CG39*CG40*CG41</f>
        <v>0</v>
      </c>
      <c r="CH42" s="40" t="n">
        <f aca="false">RetailGLA*RetailRent/12*CH39*CH40*CH41</f>
        <v>0</v>
      </c>
      <c r="CI42" s="40" t="n">
        <f aca="false">RetailGLA*RetailRent/12*CI39*CI40*CI41</f>
        <v>0</v>
      </c>
      <c r="CJ42" s="40" t="n">
        <f aca="false">RetailGLA*RetailRent/12*CJ39*CJ40*CJ41</f>
        <v>0</v>
      </c>
      <c r="CK42" s="40" t="n">
        <f aca="false">RetailGLA*RetailRent/12*CK39*CK40*CK41</f>
        <v>0</v>
      </c>
      <c r="CL42" s="40" t="n">
        <f aca="false">RetailGLA*RetailRent/12*CL39*CL40*CL41</f>
        <v>0</v>
      </c>
      <c r="CM42" s="40" t="n">
        <f aca="false">RetailGLA*RetailRent/12*CM39*CM40*CM41</f>
        <v>0</v>
      </c>
      <c r="CN42" s="40" t="n">
        <f aca="false">RetailGLA*RetailRent/12*CN39*CN40*CN41</f>
        <v>0</v>
      </c>
      <c r="CO42" s="40" t="n">
        <f aca="false">RetailGLA*RetailRent/12*CO39*CO40*CO41</f>
        <v>0</v>
      </c>
      <c r="CP42" s="40" t="n">
        <f aca="false">RetailGLA*RetailRent/12*CP39*CP40*CP41</f>
        <v>0</v>
      </c>
      <c r="CQ42" s="40" t="n">
        <f aca="false">RetailGLA*RetailRent/12*CQ39*CQ40*CQ41</f>
        <v>0</v>
      </c>
      <c r="CR42" s="40" t="n">
        <f aca="false">RetailGLA*RetailRent/12*CR39*CR40*CR41</f>
        <v>0</v>
      </c>
      <c r="CS42" s="40" t="n">
        <f aca="false">RetailGLA*RetailRent/12*CS39*CS40*CS41</f>
        <v>0</v>
      </c>
      <c r="CT42" s="40" t="n">
        <f aca="false">RetailGLA*RetailRent/12*CT39*CT40*CT41</f>
        <v>0</v>
      </c>
      <c r="CU42" s="40" t="n">
        <f aca="false">RetailGLA*RetailRent/12*CU39*CU40*CU41</f>
        <v>0</v>
      </c>
    </row>
    <row r="43" customFormat="false" ht="15" hidden="false" customHeight="false" outlineLevel="0" collapsed="false">
      <c r="A43" s="35" t="s">
        <v>133</v>
      </c>
      <c r="B43" s="26" t="n">
        <f aca="false">SUM(C43:CU43)</f>
        <v>1574685758.22389</v>
      </c>
      <c r="C43" s="40" t="n">
        <f aca="false">OfficeGLA*OfficeRent/12*C39*C40*C41</f>
        <v>0</v>
      </c>
      <c r="D43" s="40" t="n">
        <f aca="false">OfficeGLA*OfficeRent/12*D39*D40*D41</f>
        <v>0</v>
      </c>
      <c r="E43" s="40" t="n">
        <f aca="false">OfficeGLA*OfficeRent/12*E39*E40*E41</f>
        <v>0</v>
      </c>
      <c r="F43" s="40" t="n">
        <f aca="false">OfficeGLA*OfficeRent/12*F39*F40*F41</f>
        <v>0</v>
      </c>
      <c r="G43" s="40" t="n">
        <f aca="false">OfficeGLA*OfficeRent/12*G39*G40*G41</f>
        <v>0</v>
      </c>
      <c r="H43" s="40" t="n">
        <f aca="false">OfficeGLA*OfficeRent/12*H39*H40*H41</f>
        <v>0</v>
      </c>
      <c r="I43" s="40" t="n">
        <f aca="false">OfficeGLA*OfficeRent/12*I39*I40*I41</f>
        <v>0</v>
      </c>
      <c r="J43" s="40" t="n">
        <f aca="false">OfficeGLA*OfficeRent/12*J39*J40*J41</f>
        <v>0</v>
      </c>
      <c r="K43" s="40" t="n">
        <f aca="false">OfficeGLA*OfficeRent/12*K39*K40*K41</f>
        <v>0</v>
      </c>
      <c r="L43" s="40" t="n">
        <f aca="false">OfficeGLA*OfficeRent/12*L39*L40*L41</f>
        <v>0</v>
      </c>
      <c r="M43" s="40" t="n">
        <f aca="false">OfficeGLA*OfficeRent/12*M39*M40*M41</f>
        <v>0</v>
      </c>
      <c r="N43" s="40" t="n">
        <f aca="false">OfficeGLA*OfficeRent/12*N39*N40*N41</f>
        <v>0</v>
      </c>
      <c r="O43" s="40" t="n">
        <f aca="false">OfficeGLA*OfficeRent/12*O39*O40*O41</f>
        <v>0</v>
      </c>
      <c r="P43" s="40" t="n">
        <f aca="false">OfficeGLA*OfficeRent/12*P39*P40*P41</f>
        <v>0</v>
      </c>
      <c r="Q43" s="40" t="n">
        <f aca="false">OfficeGLA*OfficeRent/12*Q39*Q40*Q41</f>
        <v>0</v>
      </c>
      <c r="R43" s="40" t="n">
        <f aca="false">OfficeGLA*OfficeRent/12*R39*R40*R41</f>
        <v>0</v>
      </c>
      <c r="S43" s="40" t="n">
        <f aca="false">OfficeGLA*OfficeRent/12*S39*S40*S41</f>
        <v>0</v>
      </c>
      <c r="T43" s="40" t="n">
        <f aca="false">OfficeGLA*OfficeRent/12*T39*T40*T41</f>
        <v>0</v>
      </c>
      <c r="U43" s="40" t="n">
        <f aca="false">OfficeGLA*OfficeRent/12*U39*U40*U41</f>
        <v>0</v>
      </c>
      <c r="V43" s="40" t="n">
        <f aca="false">OfficeGLA*OfficeRent/12*V39*V40*V41</f>
        <v>0</v>
      </c>
      <c r="W43" s="40" t="n">
        <f aca="false">OfficeGLA*OfficeRent/12*W39*W40*W41</f>
        <v>0</v>
      </c>
      <c r="X43" s="40" t="n">
        <f aca="false">OfficeGLA*OfficeRent/12*X39*X40*X41</f>
        <v>0</v>
      </c>
      <c r="Y43" s="40" t="n">
        <f aca="false">OfficeGLA*OfficeRent/12*Y39*Y40*Y41</f>
        <v>0</v>
      </c>
      <c r="Z43" s="40" t="n">
        <f aca="false">OfficeGLA*OfficeRent/12*Z39*Z40*Z41</f>
        <v>0</v>
      </c>
      <c r="AA43" s="40" t="n">
        <f aca="false">OfficeGLA*OfficeRent/12*AA39*AA40*AA41</f>
        <v>0</v>
      </c>
      <c r="AB43" s="40" t="n">
        <f aca="false">OfficeGLA*OfficeRent/12*AB39*AB40*AB41</f>
        <v>0</v>
      </c>
      <c r="AC43" s="40" t="n">
        <f aca="false">OfficeGLA*OfficeRent/12*AC39*AC40*AC41</f>
        <v>0</v>
      </c>
      <c r="AD43" s="40" t="n">
        <f aca="false">OfficeGLA*OfficeRent/12*AD39*AD40*AD41</f>
        <v>0</v>
      </c>
      <c r="AE43" s="40" t="n">
        <f aca="false">OfficeGLA*OfficeRent/12*AE39*AE40*AE41</f>
        <v>0</v>
      </c>
      <c r="AF43" s="40" t="n">
        <f aca="false">OfficeGLA*OfficeRent/12*AF39*AF40*AF41</f>
        <v>0</v>
      </c>
      <c r="AG43" s="40" t="n">
        <f aca="false">OfficeGLA*OfficeRent/12*AG39*AG40*AG41</f>
        <v>0</v>
      </c>
      <c r="AH43" s="40" t="n">
        <f aca="false">OfficeGLA*OfficeRent/12*AH39*AH40*AH41</f>
        <v>0</v>
      </c>
      <c r="AI43" s="40" t="n">
        <f aca="false">OfficeGLA*OfficeRent/12*AI39*AI40*AI41</f>
        <v>0</v>
      </c>
      <c r="AJ43" s="40" t="n">
        <f aca="false">OfficeGLA*OfficeRent/12*AJ39*AJ40*AJ41</f>
        <v>0</v>
      </c>
      <c r="AK43" s="40" t="n">
        <f aca="false">OfficeGLA*OfficeRent/12*AK39*AK40*AK41</f>
        <v>0</v>
      </c>
      <c r="AL43" s="40" t="n">
        <f aca="false">OfficeGLA*OfficeRent/12*AL39*AL40*AL41</f>
        <v>12817220.1069014</v>
      </c>
      <c r="AM43" s="40" t="n">
        <f aca="false">OfficeGLA*OfficeRent/12*AM39*AM40*AM41</f>
        <v>15418596.9952992</v>
      </c>
      <c r="AN43" s="40" t="n">
        <f aca="false">OfficeGLA*OfficeRent/12*AN39*AN40*AN41</f>
        <v>18032727.3175</v>
      </c>
      <c r="AO43" s="40" t="n">
        <f aca="false">OfficeGLA*OfficeRent/12*AO39*AO40*AO41</f>
        <v>20659658.1574804</v>
      </c>
      <c r="AP43" s="40" t="n">
        <f aca="false">OfficeGLA*OfficeRent/12*AP39*AP40*AP41</f>
        <v>23299436.7538879</v>
      </c>
      <c r="AQ43" s="40" t="n">
        <v>412500</v>
      </c>
      <c r="AR43" s="40" t="n">
        <f aca="false">OfficeGLA*OfficeRent/12*AR39*AR40*AR41</f>
        <v>28617726.9467896</v>
      </c>
      <c r="AS43" s="40" t="n">
        <f aca="false">OfficeGLA*OfficeRent/12*AS39*AS40*AS41</f>
        <v>31296333.7982296</v>
      </c>
      <c r="AT43" s="40" t="n">
        <f aca="false">OfficeGLA*OfficeRent/12*AT39*AT40*AT41</f>
        <v>33987978.9169484</v>
      </c>
      <c r="AU43" s="40" t="n">
        <f aca="false">OfficeGLA*OfficeRent/12*AU39*AU40*AU41</f>
        <v>36692710.3221248</v>
      </c>
      <c r="AV43" s="40" t="n">
        <f aca="false">OfficeGLA*OfficeRent/12*AV39*AV40*AV41</f>
        <v>39410576.1904887</v>
      </c>
      <c r="AW43" s="40" t="n">
        <f aca="false">OfficeGLA*OfficeRent/12*AW39*AW40*AW41</f>
        <v>42141624.8568068</v>
      </c>
      <c r="AX43" s="40" t="n">
        <f aca="false">OfficeGLA*OfficeRent/12*AX39*AX40*AX41</f>
        <v>44885904.8143686</v>
      </c>
      <c r="AY43" s="40" t="n">
        <f aca="false">OfficeGLA*OfficeRent/12*AY39*AY40*AY41</f>
        <v>47643464.7154744</v>
      </c>
      <c r="AZ43" s="40" t="n">
        <f aca="false">OfficeGLA*OfficeRent/12*AZ39*AZ40*AZ41</f>
        <v>47760966.35235</v>
      </c>
      <c r="BA43" s="40" t="n">
        <f aca="false">OfficeGLA*OfficeRent/12*BA39*BA40*BA41</f>
        <v>47878757.7799608</v>
      </c>
      <c r="BB43" s="40" t="n">
        <f aca="false">OfficeGLA*OfficeRent/12*BB39*BB40*BB41</f>
        <v>47996839.713009</v>
      </c>
      <c r="BC43" s="40" t="n">
        <f aca="false">OfficeGLA*OfficeRent/12*BC39*BC40*BC41</f>
        <v>48115212.8679593</v>
      </c>
      <c r="BD43" s="40" t="n">
        <f aca="false">OfficeGLA*OfficeRent/12*BD39*BD40*BD41</f>
        <v>48233877.9630435</v>
      </c>
      <c r="BE43" s="40" t="n">
        <f aca="false">OfficeGLA*OfficeRent/12*BE39*BE40*BE41</f>
        <v>48352835.7182647</v>
      </c>
      <c r="BF43" s="40" t="n">
        <f aca="false">OfficeGLA*OfficeRent/12*BF39*BF40*BF41</f>
        <v>48472086.8554018</v>
      </c>
      <c r="BG43" s="40" t="n">
        <f aca="false">OfficeGLA*OfficeRent/12*BG39*BG40*BG41</f>
        <v>48591632.0980138</v>
      </c>
      <c r="BH43" s="40" t="n">
        <f aca="false">OfficeGLA*OfficeRent/12*BH39*BH40*BH41</f>
        <v>48711472.171444</v>
      </c>
      <c r="BI43" s="40" t="n">
        <f aca="false">OfficeGLA*OfficeRent/12*BI39*BI40*BI41</f>
        <v>48831607.8028249</v>
      </c>
      <c r="BJ43" s="40" t="n">
        <f aca="false">OfficeGLA*OfficeRent/12*BJ39*BJ40*BJ41</f>
        <v>48952039.7210819</v>
      </c>
      <c r="BK43" s="40" t="n">
        <f aca="false">OfficeGLA*OfficeRent/12*BK39*BK40*BK41</f>
        <v>49072768.6569387</v>
      </c>
      <c r="BL43" s="40" t="n">
        <f aca="false">OfficeGLA*OfficeRent/12*BL39*BL40*BL41</f>
        <v>49193795.3429205</v>
      </c>
      <c r="BM43" s="40" t="n">
        <f aca="false">OfficeGLA*OfficeRent/12*BM39*BM40*BM41</f>
        <v>49315120.5133596</v>
      </c>
      <c r="BN43" s="40" t="n">
        <f aca="false">OfficeGLA*OfficeRent/12*BN39*BN40*BN41</f>
        <v>49436744.9043992</v>
      </c>
      <c r="BO43" s="40" t="n">
        <f aca="false">OfficeGLA*OfficeRent/12*BO39*BO40*BO41</f>
        <v>49558669.2539981</v>
      </c>
      <c r="BP43" s="40" t="n">
        <f aca="false">OfficeGLA*OfficeRent/12*BP39*BP40*BP41</f>
        <v>49680894.3019348</v>
      </c>
      <c r="BQ43" s="40" t="n">
        <f aca="false">OfficeGLA*OfficeRent/12*BQ39*BQ40*BQ41</f>
        <v>49803420.7898127</v>
      </c>
      <c r="BR43" s="40" t="n">
        <f aca="false">OfficeGLA*OfficeRent/12*BR39*BR40*BR41</f>
        <v>49926249.4610639</v>
      </c>
      <c r="BS43" s="40" t="n">
        <f aca="false">OfficeGLA*OfficeRent/12*BS39*BS40*BS41</f>
        <v>50049381.0609542</v>
      </c>
      <c r="BT43" s="40" t="n">
        <f aca="false">OfficeGLA*OfficeRent/12*BT39*BT40*BT41</f>
        <v>50172816.3365873</v>
      </c>
      <c r="BU43" s="40" t="n">
        <f aca="false">OfficeGLA*OfficeRent/12*BU39*BU40*BU41</f>
        <v>50296556.0369096</v>
      </c>
      <c r="BV43" s="40" t="n">
        <f aca="false">OfficeGLA*OfficeRent/12*BV39*BV40*BV41</f>
        <v>50420600.9127144</v>
      </c>
      <c r="BW43" s="40" t="n">
        <f aca="false">OfficeGLA*OfficeRent/12*BW39*BW40*BW41</f>
        <v>50544951.7166468</v>
      </c>
      <c r="BX43" s="40" t="n">
        <f aca="false">OfficeGLA*OfficeRent/12*BX39*BX40*BX41</f>
        <v>0</v>
      </c>
      <c r="BY43" s="40" t="n">
        <f aca="false">OfficeGLA*OfficeRent/12*BY39*BY40*BY41</f>
        <v>0</v>
      </c>
      <c r="BZ43" s="40" t="n">
        <f aca="false">OfficeGLA*OfficeRent/12*BZ39*BZ40*BZ41</f>
        <v>0</v>
      </c>
      <c r="CA43" s="40" t="n">
        <f aca="false">OfficeGLA*OfficeRent/12*CA39*CA40*CA41</f>
        <v>0</v>
      </c>
      <c r="CB43" s="40" t="n">
        <f aca="false">OfficeGLA*OfficeRent/12*CB39*CB40*CB41</f>
        <v>0</v>
      </c>
      <c r="CC43" s="40" t="n">
        <f aca="false">OfficeGLA*OfficeRent/12*CC39*CC40*CC41</f>
        <v>0</v>
      </c>
      <c r="CD43" s="40" t="n">
        <f aca="false">OfficeGLA*OfficeRent/12*CD39*CD40*CD41</f>
        <v>0</v>
      </c>
      <c r="CE43" s="40" t="n">
        <f aca="false">OfficeGLA*OfficeRent/12*CE39*CE40*CE41</f>
        <v>0</v>
      </c>
      <c r="CF43" s="40" t="n">
        <f aca="false">OfficeGLA*OfficeRent/12*CF39*CF40*CF41</f>
        <v>0</v>
      </c>
      <c r="CG43" s="40" t="n">
        <f aca="false">OfficeGLA*OfficeRent/12*CG39*CG40*CG41</f>
        <v>0</v>
      </c>
      <c r="CH43" s="40" t="n">
        <f aca="false">OfficeGLA*OfficeRent/12*CH39*CH40*CH41</f>
        <v>0</v>
      </c>
      <c r="CI43" s="40" t="n">
        <f aca="false">OfficeGLA*OfficeRent/12*CI39*CI40*CI41</f>
        <v>0</v>
      </c>
      <c r="CJ43" s="40" t="n">
        <f aca="false">OfficeGLA*OfficeRent/12*CJ39*CJ40*CJ41</f>
        <v>0</v>
      </c>
      <c r="CK43" s="40" t="n">
        <f aca="false">OfficeGLA*OfficeRent/12*CK39*CK40*CK41</f>
        <v>0</v>
      </c>
      <c r="CL43" s="40" t="n">
        <f aca="false">OfficeGLA*OfficeRent/12*CL39*CL40*CL41</f>
        <v>0</v>
      </c>
      <c r="CM43" s="40" t="n">
        <f aca="false">OfficeGLA*OfficeRent/12*CM39*CM40*CM41</f>
        <v>0</v>
      </c>
      <c r="CN43" s="40" t="n">
        <f aca="false">OfficeGLA*OfficeRent/12*CN39*CN40*CN41</f>
        <v>0</v>
      </c>
      <c r="CO43" s="40" t="n">
        <f aca="false">OfficeGLA*OfficeRent/12*CO39*CO40*CO41</f>
        <v>0</v>
      </c>
      <c r="CP43" s="40" t="n">
        <f aca="false">OfficeGLA*OfficeRent/12*CP39*CP40*CP41</f>
        <v>0</v>
      </c>
      <c r="CQ43" s="40" t="n">
        <f aca="false">OfficeGLA*OfficeRent/12*CQ39*CQ40*CQ41</f>
        <v>0</v>
      </c>
      <c r="CR43" s="40" t="n">
        <f aca="false">OfficeGLA*OfficeRent/12*CR39*CR40*CR41</f>
        <v>0</v>
      </c>
      <c r="CS43" s="40" t="n">
        <f aca="false">OfficeGLA*OfficeRent/12*CS39*CS40*CS41</f>
        <v>0</v>
      </c>
      <c r="CT43" s="40" t="n">
        <f aca="false">OfficeGLA*OfficeRent/12*CT39*CT40*CT41</f>
        <v>0</v>
      </c>
      <c r="CU43" s="40" t="n">
        <f aca="false">OfficeGLA*OfficeRent/12*CU39*CU40*CU41</f>
        <v>0</v>
      </c>
    </row>
    <row r="44" customFormat="false" ht="15" hidden="false" customHeight="false" outlineLevel="0" collapsed="false">
      <c r="A44" s="35" t="s">
        <v>134</v>
      </c>
      <c r="B44" s="26" t="n">
        <f aca="false">SUM(C44:CU44)</f>
        <v>209500684.879222</v>
      </c>
      <c r="C44" s="40" t="n">
        <f aca="false">(C42+C43)*Opex</f>
        <v>0</v>
      </c>
      <c r="D44" s="40" t="n">
        <f aca="false">(D42+D43)*Opex</f>
        <v>0</v>
      </c>
      <c r="E44" s="40" t="n">
        <f aca="false">(E42+E43)*Opex</f>
        <v>0</v>
      </c>
      <c r="F44" s="40" t="n">
        <f aca="false">(F42+F43)*Opex</f>
        <v>0</v>
      </c>
      <c r="G44" s="40" t="n">
        <f aca="false">(G42+G43)*Opex</f>
        <v>0</v>
      </c>
      <c r="H44" s="40" t="n">
        <f aca="false">(H42+H43)*Opex</f>
        <v>0</v>
      </c>
      <c r="I44" s="40" t="n">
        <f aca="false">(I42+I43)*Opex</f>
        <v>0</v>
      </c>
      <c r="J44" s="40" t="n">
        <f aca="false">(J42+J43)*Opex</f>
        <v>0</v>
      </c>
      <c r="K44" s="40" t="n">
        <f aca="false">(K42+K43)*Opex</f>
        <v>0</v>
      </c>
      <c r="L44" s="40" t="n">
        <f aca="false">(L42+L43)*Opex</f>
        <v>0</v>
      </c>
      <c r="M44" s="40" t="n">
        <f aca="false">(M42+M43)*Opex</f>
        <v>0</v>
      </c>
      <c r="N44" s="40" t="n">
        <f aca="false">(N42+N43)*Opex</f>
        <v>0</v>
      </c>
      <c r="O44" s="40" t="n">
        <f aca="false">(O42+O43)*Opex</f>
        <v>0</v>
      </c>
      <c r="P44" s="40" t="n">
        <f aca="false">(P42+P43)*Opex</f>
        <v>0</v>
      </c>
      <c r="Q44" s="40" t="n">
        <f aca="false">(Q42+Q43)*Opex</f>
        <v>0</v>
      </c>
      <c r="R44" s="40" t="n">
        <f aca="false">(R42+R43)*Opex</f>
        <v>0</v>
      </c>
      <c r="S44" s="40" t="n">
        <f aca="false">(S42+S43)*Opex</f>
        <v>0</v>
      </c>
      <c r="T44" s="40" t="n">
        <f aca="false">(T42+T43)*Opex</f>
        <v>0</v>
      </c>
      <c r="U44" s="40" t="n">
        <f aca="false">(U42+U43)*Opex</f>
        <v>0</v>
      </c>
      <c r="V44" s="40" t="n">
        <f aca="false">(V42+V43)*Opex</f>
        <v>0</v>
      </c>
      <c r="W44" s="40" t="n">
        <f aca="false">(W42+W43)*Opex</f>
        <v>0</v>
      </c>
      <c r="X44" s="40" t="n">
        <f aca="false">(X42+X43)*Opex</f>
        <v>0</v>
      </c>
      <c r="Y44" s="40" t="n">
        <f aca="false">(Y42+Y43)*Opex</f>
        <v>0</v>
      </c>
      <c r="Z44" s="40" t="n">
        <f aca="false">(Z42+Z43)*Opex</f>
        <v>0</v>
      </c>
      <c r="AA44" s="40" t="n">
        <f aca="false">(AA42+AA43)*Opex</f>
        <v>0</v>
      </c>
      <c r="AB44" s="40" t="n">
        <f aca="false">(AB42+AB43)*Opex</f>
        <v>0</v>
      </c>
      <c r="AC44" s="40" t="n">
        <f aca="false">(AC42+AC43)*Opex</f>
        <v>0</v>
      </c>
      <c r="AD44" s="40" t="n">
        <f aca="false">(AD42+AD43)*Opex</f>
        <v>0</v>
      </c>
      <c r="AE44" s="40" t="n">
        <f aca="false">(AE42+AE43)*Opex</f>
        <v>0</v>
      </c>
      <c r="AF44" s="40" t="n">
        <f aca="false">(AF42+AF43)*Opex</f>
        <v>0</v>
      </c>
      <c r="AG44" s="40" t="n">
        <f aca="false">(AG42+AG43)*Opex</f>
        <v>0</v>
      </c>
      <c r="AH44" s="40" t="n">
        <f aca="false">(AH42+AH43)*Opex</f>
        <v>0</v>
      </c>
      <c r="AI44" s="40" t="n">
        <f aca="false">(AI42+AI43)*Opex</f>
        <v>0</v>
      </c>
      <c r="AJ44" s="40" t="n">
        <f aca="false">(AJ42+AJ43)*Opex</f>
        <v>0</v>
      </c>
      <c r="AK44" s="40" t="n">
        <f aca="false">(AK42+AK43)*Opex</f>
        <v>0</v>
      </c>
      <c r="AL44" s="40" t="n">
        <f aca="false">(AL42+AL43)*Opex</f>
        <v>1702571.43837365</v>
      </c>
      <c r="AM44" s="40" t="n">
        <f aca="false">(AM42+AM43)*Opex</f>
        <v>2048124.52661676</v>
      </c>
      <c r="AN44" s="40" t="n">
        <f aca="false">(AN42+AN43)*Opex</f>
        <v>2395371.71326445</v>
      </c>
      <c r="AO44" s="40" t="n">
        <f aca="false">(AO42+AO43)*Opex</f>
        <v>2744319.25270206</v>
      </c>
      <c r="AP44" s="40" t="n">
        <f aca="false">(AP42+AP43)*Opex</f>
        <v>3094973.41986062</v>
      </c>
      <c r="AQ44" s="40" t="n">
        <f aca="false">(AQ42+AQ43)*Opex</f>
        <v>382587.250218023</v>
      </c>
      <c r="AR44" s="40" t="n">
        <f aca="false">(AR42+AR43)*Opex</f>
        <v>3801426.840173</v>
      </c>
      <c r="AS44" s="40" t="n">
        <f aca="false">(AS42+AS43)*Opex</f>
        <v>4157238.74648786</v>
      </c>
      <c r="AT44" s="40" t="n">
        <f aca="false">(AT42+AT43)*Opex</f>
        <v>4514782.58697329</v>
      </c>
      <c r="AU44" s="40" t="n">
        <f aca="false">(AU42+AU43)*Opex</f>
        <v>4874064.74024192</v>
      </c>
      <c r="AV44" s="40" t="n">
        <f aca="false">(AV42+AV43)*Opex</f>
        <v>5235091.60583467</v>
      </c>
      <c r="AW44" s="40" t="n">
        <f aca="false">(AW42+AW43)*Opex</f>
        <v>5597869.60428521</v>
      </c>
      <c r="AX44" s="40" t="n">
        <f aca="false">(AX42+AX43)*Opex</f>
        <v>5962405.17718452</v>
      </c>
      <c r="AY44" s="40" t="n">
        <f aca="false">(AY42+AY43)*Opex</f>
        <v>6328704.78724578</v>
      </c>
      <c r="AZ44" s="40" t="n">
        <f aca="false">(AZ42+AZ43)*Opex</f>
        <v>6344313.0805604</v>
      </c>
      <c r="BA44" s="40" t="n">
        <f aca="false">(BA42+BA43)*Opex</f>
        <v>6359959.86813702</v>
      </c>
      <c r="BB44" s="40" t="n">
        <f aca="false">(BB42+BB43)*Opex</f>
        <v>6375645.24491287</v>
      </c>
      <c r="BC44" s="40" t="n">
        <f aca="false">(BC42+BC43)*Opex</f>
        <v>6391369.30605933</v>
      </c>
      <c r="BD44" s="40" t="n">
        <f aca="false">(BD42+BD43)*Opex</f>
        <v>6407132.14698249</v>
      </c>
      <c r="BE44" s="40" t="n">
        <f aca="false">(BE42+BE43)*Opex</f>
        <v>6422933.86332375</v>
      </c>
      <c r="BF44" s="40" t="n">
        <f aca="false">(BF42+BF43)*Opex</f>
        <v>6438774.55096037</v>
      </c>
      <c r="BG44" s="40" t="n">
        <f aca="false">(BG42+BG43)*Opex</f>
        <v>6454654.30600608</v>
      </c>
      <c r="BH44" s="40" t="n">
        <f aca="false">(BH42+BH43)*Opex</f>
        <v>6470573.22481165</v>
      </c>
      <c r="BI44" s="40" t="n">
        <f aca="false">(BI42+BI43)*Opex</f>
        <v>6486531.40396548</v>
      </c>
      <c r="BJ44" s="40" t="n">
        <f aca="false">(BJ42+BJ43)*Opex</f>
        <v>6502528.94029418</v>
      </c>
      <c r="BK44" s="40" t="n">
        <f aca="false">(BK42+BK43)*Opex</f>
        <v>6518565.93086316</v>
      </c>
      <c r="BL44" s="40" t="n">
        <f aca="false">(BL42+BL43)*Opex</f>
        <v>6534642.47297721</v>
      </c>
      <c r="BM44" s="40" t="n">
        <f aca="false">(BM42+BM43)*Opex</f>
        <v>6550758.66418113</v>
      </c>
      <c r="BN44" s="40" t="n">
        <f aca="false">(BN42+BN43)*Opex</f>
        <v>6566914.60226025</v>
      </c>
      <c r="BO44" s="40" t="n">
        <f aca="false">(BO42+BO43)*Opex</f>
        <v>6583110.38524111</v>
      </c>
      <c r="BP44" s="40" t="n">
        <f aca="false">(BP42+BP43)*Opex</f>
        <v>6599346.11139197</v>
      </c>
      <c r="BQ44" s="40" t="n">
        <f aca="false">(BQ42+BQ43)*Opex</f>
        <v>6615621.87922346</v>
      </c>
      <c r="BR44" s="40" t="n">
        <f aca="false">(BR42+BR43)*Opex</f>
        <v>6631937.78748918</v>
      </c>
      <c r="BS44" s="40" t="n">
        <f aca="false">(BS42+BS43)*Opex</f>
        <v>6648293.93518626</v>
      </c>
      <c r="BT44" s="40" t="n">
        <f aca="false">(BT42+BT43)*Opex</f>
        <v>6664690.421556</v>
      </c>
      <c r="BU44" s="40" t="n">
        <f aca="false">(BU42+BU43)*Opex</f>
        <v>6681127.34608445</v>
      </c>
      <c r="BV44" s="40" t="n">
        <f aca="false">(BV42+BV43)*Opex</f>
        <v>6697604.80850301</v>
      </c>
      <c r="BW44" s="40" t="n">
        <f aca="false">(BW42+BW43)*Opex</f>
        <v>6714122.90878905</v>
      </c>
      <c r="BX44" s="40" t="n">
        <f aca="false">(BX42+BX43)*Opex</f>
        <v>0</v>
      </c>
      <c r="BY44" s="40" t="n">
        <f aca="false">(BY42+BY43)*Opex</f>
        <v>0</v>
      </c>
      <c r="BZ44" s="40" t="n">
        <f aca="false">(BZ42+BZ43)*Opex</f>
        <v>0</v>
      </c>
      <c r="CA44" s="40" t="n">
        <f aca="false">(CA42+CA43)*Opex</f>
        <v>0</v>
      </c>
      <c r="CB44" s="40" t="n">
        <f aca="false">(CB42+CB43)*Opex</f>
        <v>0</v>
      </c>
      <c r="CC44" s="40" t="n">
        <f aca="false">(CC42+CC43)*Opex</f>
        <v>0</v>
      </c>
      <c r="CD44" s="40" t="n">
        <f aca="false">(CD42+CD43)*Opex</f>
        <v>0</v>
      </c>
      <c r="CE44" s="40" t="n">
        <f aca="false">(CE42+CE43)*Opex</f>
        <v>0</v>
      </c>
      <c r="CF44" s="40" t="n">
        <f aca="false">(CF42+CF43)*Opex</f>
        <v>0</v>
      </c>
      <c r="CG44" s="40" t="n">
        <f aca="false">(CG42+CG43)*Opex</f>
        <v>0</v>
      </c>
      <c r="CH44" s="40" t="n">
        <f aca="false">(CH42+CH43)*Opex</f>
        <v>0</v>
      </c>
      <c r="CI44" s="40" t="n">
        <f aca="false">(CI42+CI43)*Opex</f>
        <v>0</v>
      </c>
      <c r="CJ44" s="40" t="n">
        <f aca="false">(CJ42+CJ43)*Opex</f>
        <v>0</v>
      </c>
      <c r="CK44" s="40" t="n">
        <f aca="false">(CK42+CK43)*Opex</f>
        <v>0</v>
      </c>
      <c r="CL44" s="40" t="n">
        <f aca="false">(CL42+CL43)*Opex</f>
        <v>0</v>
      </c>
      <c r="CM44" s="40" t="n">
        <f aca="false">(CM42+CM43)*Opex</f>
        <v>0</v>
      </c>
      <c r="CN44" s="40" t="n">
        <f aca="false">(CN42+CN43)*Opex</f>
        <v>0</v>
      </c>
      <c r="CO44" s="40" t="n">
        <f aca="false">(CO42+CO43)*Opex</f>
        <v>0</v>
      </c>
      <c r="CP44" s="40" t="n">
        <f aca="false">(CP42+CP43)*Opex</f>
        <v>0</v>
      </c>
      <c r="CQ44" s="40" t="n">
        <f aca="false">(CQ42+CQ43)*Opex</f>
        <v>0</v>
      </c>
      <c r="CR44" s="40" t="n">
        <f aca="false">(CR42+CR43)*Opex</f>
        <v>0</v>
      </c>
      <c r="CS44" s="40" t="n">
        <f aca="false">(CS42+CS43)*Opex</f>
        <v>0</v>
      </c>
      <c r="CT44" s="40" t="n">
        <f aca="false">(CT42+CT43)*Opex</f>
        <v>0</v>
      </c>
      <c r="CU44" s="40" t="n">
        <f aca="false">(CU42+CU43)*Opex</f>
        <v>0</v>
      </c>
    </row>
    <row r="45" customFormat="false" ht="15" hidden="false" customHeight="false" outlineLevel="0" collapsed="false">
      <c r="A45" s="15" t="s">
        <v>135</v>
      </c>
      <c r="B45" s="26" t="n">
        <f aca="false">SUM(C45:CU45)</f>
        <v>1542698315.6491</v>
      </c>
      <c r="C45" s="26" t="n">
        <f aca="false">C42+C43-C44</f>
        <v>0</v>
      </c>
      <c r="D45" s="26" t="n">
        <f aca="false">D42+D43-D44</f>
        <v>0</v>
      </c>
      <c r="E45" s="26" t="n">
        <f aca="false">E42+E43-E44</f>
        <v>0</v>
      </c>
      <c r="F45" s="26" t="n">
        <f aca="false">F42+F43-F44</f>
        <v>0</v>
      </c>
      <c r="G45" s="26" t="n">
        <f aca="false">G42+G43-G44</f>
        <v>0</v>
      </c>
      <c r="H45" s="26" t="n">
        <f aca="false">H42+H43-H44</f>
        <v>0</v>
      </c>
      <c r="I45" s="26" t="n">
        <f aca="false">I42+I43-I44</f>
        <v>0</v>
      </c>
      <c r="J45" s="26" t="n">
        <f aca="false">J42+J43-J44</f>
        <v>0</v>
      </c>
      <c r="K45" s="26" t="n">
        <f aca="false">K42+K43-K44</f>
        <v>0</v>
      </c>
      <c r="L45" s="26" t="n">
        <f aca="false">L42+L43-L44</f>
        <v>0</v>
      </c>
      <c r="M45" s="26" t="n">
        <f aca="false">M42+M43-M44</f>
        <v>0</v>
      </c>
      <c r="N45" s="26" t="n">
        <f aca="false">N42+N43-N44</f>
        <v>0</v>
      </c>
      <c r="O45" s="26" t="n">
        <f aca="false">O42+O43-O44</f>
        <v>0</v>
      </c>
      <c r="P45" s="26" t="n">
        <f aca="false">P42+P43-P44</f>
        <v>0</v>
      </c>
      <c r="Q45" s="26" t="n">
        <f aca="false">Q42+Q43-Q44</f>
        <v>0</v>
      </c>
      <c r="R45" s="26" t="n">
        <f aca="false">R42+R43-R44</f>
        <v>0</v>
      </c>
      <c r="S45" s="26" t="n">
        <f aca="false">S42+S43-S44</f>
        <v>0</v>
      </c>
      <c r="T45" s="26" t="n">
        <f aca="false">T42+T43-T44</f>
        <v>0</v>
      </c>
      <c r="U45" s="26" t="n">
        <f aca="false">U42+U43-U44</f>
        <v>0</v>
      </c>
      <c r="V45" s="26" t="n">
        <f aca="false">V42+V43-V44</f>
        <v>0</v>
      </c>
      <c r="W45" s="26" t="n">
        <f aca="false">W42+W43-W44</f>
        <v>0</v>
      </c>
      <c r="X45" s="26" t="n">
        <f aca="false">X42+X43-X44</f>
        <v>0</v>
      </c>
      <c r="Y45" s="26" t="n">
        <f aca="false">Y42+Y43-Y44</f>
        <v>0</v>
      </c>
      <c r="Z45" s="26" t="n">
        <f aca="false">Z42+Z43-Z44</f>
        <v>0</v>
      </c>
      <c r="AA45" s="26" t="n">
        <f aca="false">AA42+AA43-AA44</f>
        <v>0</v>
      </c>
      <c r="AB45" s="26" t="n">
        <f aca="false">AB42+AB43-AB44</f>
        <v>0</v>
      </c>
      <c r="AC45" s="26" t="n">
        <f aca="false">AC42+AC43-AC44</f>
        <v>0</v>
      </c>
      <c r="AD45" s="26" t="n">
        <f aca="false">AD42+AD43-AD44</f>
        <v>0</v>
      </c>
      <c r="AE45" s="26" t="n">
        <f aca="false">AE42+AE43-AE44</f>
        <v>0</v>
      </c>
      <c r="AF45" s="26" t="n">
        <f aca="false">AF42+AF43-AF44</f>
        <v>0</v>
      </c>
      <c r="AG45" s="26" t="n">
        <f aca="false">AG42+AG43-AG44</f>
        <v>0</v>
      </c>
      <c r="AH45" s="26" t="n">
        <f aca="false">AH42+AH43-AH44</f>
        <v>0</v>
      </c>
      <c r="AI45" s="26" t="n">
        <f aca="false">AI42+AI43-AI44</f>
        <v>0</v>
      </c>
      <c r="AJ45" s="26" t="n">
        <f aca="false">AJ42+AJ43-AJ44</f>
        <v>0</v>
      </c>
      <c r="AK45" s="26" t="n">
        <f aca="false">AK42+AK43-AK44</f>
        <v>0</v>
      </c>
      <c r="AL45" s="26" t="n">
        <f aca="false">AL42+AL43-AL44</f>
        <v>12485523.8814068</v>
      </c>
      <c r="AM45" s="26" t="n">
        <f aca="false">AM42+AM43-AM44</f>
        <v>15019579.8618562</v>
      </c>
      <c r="AN45" s="26" t="n">
        <f aca="false">AN42+AN43-AN44</f>
        <v>17566059.2306059</v>
      </c>
      <c r="AO45" s="26" t="n">
        <f aca="false">AO42+AO43-AO44</f>
        <v>20125007.8531484</v>
      </c>
      <c r="AP45" s="26" t="n">
        <f aca="false">AP42+AP43-AP44</f>
        <v>22696471.7456445</v>
      </c>
      <c r="AQ45" s="26" t="n">
        <f aca="false">AQ42+AQ43-AQ44</f>
        <v>2805639.83493217</v>
      </c>
      <c r="AR45" s="26" t="n">
        <f aca="false">AR42+AR43-AR44</f>
        <v>27877130.1612687</v>
      </c>
      <c r="AS45" s="26" t="n">
        <f aca="false">AS42+AS43-AS44</f>
        <v>30486417.4742443</v>
      </c>
      <c r="AT45" s="26" t="n">
        <f aca="false">AT42+AT43-AT44</f>
        <v>33108405.6378041</v>
      </c>
      <c r="AU45" s="26" t="n">
        <f aca="false">AU42+AU43-AU44</f>
        <v>35743141.4284407</v>
      </c>
      <c r="AV45" s="26" t="n">
        <f aca="false">AV42+AV43-AV44</f>
        <v>38390671.7761209</v>
      </c>
      <c r="AW45" s="26" t="n">
        <f aca="false">AW42+AW43-AW44</f>
        <v>41051043.7647582</v>
      </c>
      <c r="AX45" s="26" t="n">
        <f aca="false">AX42+AX43-AX44</f>
        <v>43724304.6326865</v>
      </c>
      <c r="AY45" s="26" t="n">
        <f aca="false">AY42+AY43-AY44</f>
        <v>46410501.7731358</v>
      </c>
      <c r="AZ45" s="26" t="n">
        <f aca="false">AZ42+AZ43-AZ44</f>
        <v>46524962.5907763</v>
      </c>
      <c r="BA45" s="26" t="n">
        <f aca="false">BA42+BA43</f>
        <v>52999665.5678085</v>
      </c>
      <c r="BB45" s="26" t="n">
        <f aca="false">BB42+BB43-BB44</f>
        <v>46754731.7960277</v>
      </c>
      <c r="BC45" s="26" t="n">
        <f aca="false">BC42+BC43-BC44</f>
        <v>46870041.5777684</v>
      </c>
      <c r="BD45" s="26" t="n">
        <f aca="false">BD42+BD43-BD44</f>
        <v>46985635.7445383</v>
      </c>
      <c r="BE45" s="26" t="n">
        <f aca="false">BE42+BE43-BE44</f>
        <v>47101514.9977075</v>
      </c>
      <c r="BF45" s="26" t="n">
        <f aca="false">BF42+BF43-BF44</f>
        <v>47217680.040376</v>
      </c>
      <c r="BG45" s="26" t="n">
        <f aca="false">BG42+BG43-BG44</f>
        <v>47334131.5773779</v>
      </c>
      <c r="BH45" s="26" t="n">
        <f aca="false">BH42+BH43-BH44</f>
        <v>47450870.3152854</v>
      </c>
      <c r="BI45" s="26" t="n">
        <f aca="false">BI42+BI43-BI44</f>
        <v>47567896.9624135</v>
      </c>
      <c r="BJ45" s="26" t="n">
        <f aca="false">BJ42+BJ43-BJ44</f>
        <v>47685212.228824</v>
      </c>
      <c r="BK45" s="26" t="n">
        <f aca="false">BK42+BK43-BK44</f>
        <v>47802816.8263298</v>
      </c>
      <c r="BL45" s="26" t="n">
        <f aca="false">BL42+BL43-BL44</f>
        <v>47920711.4684996</v>
      </c>
      <c r="BM45" s="26" t="n">
        <f aca="false">BM42+BM43-BM44</f>
        <v>48038896.8706616</v>
      </c>
      <c r="BN45" s="26" t="n">
        <f aca="false">BN42+BN43-BN44</f>
        <v>48157373.7499085</v>
      </c>
      <c r="BO45" s="26" t="n">
        <f aca="false">BO42+BO43-BO44</f>
        <v>48276142.8251015</v>
      </c>
      <c r="BP45" s="26" t="n">
        <f aca="false">BP42+BP43-BP44</f>
        <v>48395204.8168744</v>
      </c>
      <c r="BQ45" s="26" t="n">
        <f aca="false">BQ42+BQ43-BQ44</f>
        <v>48514560.4476387</v>
      </c>
      <c r="BR45" s="26" t="n">
        <f aca="false">BR42+BR43-BR44</f>
        <v>48634210.4415873</v>
      </c>
      <c r="BS45" s="26" t="n">
        <f aca="false">BS42+BS43-BS44</f>
        <v>48754155.5246993</v>
      </c>
      <c r="BT45" s="26" t="n">
        <f aca="false">BT42+BT43-BT44</f>
        <v>48874396.424744</v>
      </c>
      <c r="BU45" s="26" t="n">
        <f aca="false">BU42+BU43-BU44</f>
        <v>48994933.8712859</v>
      </c>
      <c r="BV45" s="26" t="n">
        <f aca="false">BV42+BV43-BV44</f>
        <v>49115768.5956887</v>
      </c>
      <c r="BW45" s="26" t="n">
        <f aca="false">BW42+BW43-BW44</f>
        <v>49236901.3311197</v>
      </c>
      <c r="BX45" s="26" t="n">
        <f aca="false">BX42+BX43-BX44</f>
        <v>0</v>
      </c>
      <c r="BY45" s="26" t="n">
        <f aca="false">BY42+BY43-BY44</f>
        <v>0</v>
      </c>
      <c r="BZ45" s="26" t="n">
        <f aca="false">BZ42+BZ43-BZ44</f>
        <v>0</v>
      </c>
      <c r="CA45" s="26" t="n">
        <f aca="false">CA42+CA43-CA44</f>
        <v>0</v>
      </c>
      <c r="CB45" s="26" t="n">
        <f aca="false">CB42+CB43-CB44</f>
        <v>0</v>
      </c>
      <c r="CC45" s="26" t="n">
        <f aca="false">CC42+CC43-CC44</f>
        <v>0</v>
      </c>
      <c r="CD45" s="26" t="n">
        <f aca="false">CD42+CD43-CD44</f>
        <v>0</v>
      </c>
      <c r="CE45" s="26" t="n">
        <f aca="false">CE42+CE43-CE44</f>
        <v>0</v>
      </c>
      <c r="CF45" s="26" t="n">
        <f aca="false">CF42+CF43-CF44</f>
        <v>0</v>
      </c>
      <c r="CG45" s="26" t="n">
        <f aca="false">CG42+CG43-CG44</f>
        <v>0</v>
      </c>
      <c r="CH45" s="26" t="n">
        <f aca="false">CH42+CH43-CH44</f>
        <v>0</v>
      </c>
      <c r="CI45" s="26" t="n">
        <f aca="false">CI42+CI43-CI44</f>
        <v>0</v>
      </c>
      <c r="CJ45" s="26" t="n">
        <f aca="false">CJ42+CJ43-CJ44</f>
        <v>0</v>
      </c>
      <c r="CK45" s="26" t="n">
        <f aca="false">CK42+CK43-CK44</f>
        <v>0</v>
      </c>
      <c r="CL45" s="26" t="n">
        <f aca="false">CL42+CL43-CL44</f>
        <v>0</v>
      </c>
      <c r="CM45" s="26" t="n">
        <f aca="false">CM42+CM43-CM44</f>
        <v>0</v>
      </c>
      <c r="CN45" s="26" t="n">
        <f aca="false">CN42+CN43-CN44</f>
        <v>0</v>
      </c>
      <c r="CO45" s="26" t="n">
        <f aca="false">CO42+CO43-CO44</f>
        <v>0</v>
      </c>
      <c r="CP45" s="26" t="n">
        <f aca="false">CP42+CP43-CP44</f>
        <v>0</v>
      </c>
      <c r="CQ45" s="26" t="n">
        <f aca="false">CQ42+CQ43-CQ44</f>
        <v>0</v>
      </c>
      <c r="CR45" s="26" t="n">
        <f aca="false">CR42+CR43-CR44</f>
        <v>0</v>
      </c>
      <c r="CS45" s="26" t="n">
        <f aca="false">CS42+CS43-CS44</f>
        <v>0</v>
      </c>
      <c r="CT45" s="26" t="n">
        <f aca="false">CT42+CT43-CT44</f>
        <v>0</v>
      </c>
      <c r="CU45" s="26" t="n">
        <f aca="false">CU42+CU43-CU44</f>
        <v>0</v>
      </c>
    </row>
    <row r="47" customFormat="false" ht="15" hidden="false" customHeight="false" outlineLevel="0" collapsed="false">
      <c r="A47" s="19" t="s">
        <v>136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customFormat="false" ht="15" hidden="false" customHeight="false" outlineLevel="0" collapsed="false">
      <c r="A48" s="35" t="s">
        <v>137</v>
      </c>
      <c r="C48" s="39" t="n">
        <f aca="false">IF(C13=1,HotelOcc*MIN(1,0.55+0.45*(C$5-BuildMonths)/HotelRamp),0)</f>
        <v>0</v>
      </c>
      <c r="D48" s="39" t="n">
        <f aca="false">IF(D13=1,HotelOcc*MIN(1,0.55+0.45*(D$5-BuildMonths)/HotelRamp),0)</f>
        <v>0</v>
      </c>
      <c r="E48" s="39" t="n">
        <f aca="false">IF(E13=1,HotelOcc*MIN(1,0.55+0.45*(E$5-BuildMonths)/HotelRamp),0)</f>
        <v>0</v>
      </c>
      <c r="F48" s="39" t="n">
        <f aca="false">IF(F13=1,HotelOcc*MIN(1,0.55+0.45*(F$5-BuildMonths)/HotelRamp),0)</f>
        <v>0</v>
      </c>
      <c r="G48" s="39" t="n">
        <f aca="false">IF(G13=1,HotelOcc*MIN(1,0.55+0.45*(G$5-BuildMonths)/HotelRamp),0)</f>
        <v>0</v>
      </c>
      <c r="H48" s="39" t="n">
        <f aca="false">IF(H13=1,HotelOcc*MIN(1,0.55+0.45*(H$5-BuildMonths)/HotelRamp),0)</f>
        <v>0</v>
      </c>
      <c r="I48" s="39" t="n">
        <f aca="false">IF(I13=1,HotelOcc*MIN(1,0.55+0.45*(I$5-BuildMonths)/HotelRamp),0)</f>
        <v>0</v>
      </c>
      <c r="J48" s="39" t="n">
        <f aca="false">IF(J13=1,HotelOcc*MIN(1,0.55+0.45*(J$5-BuildMonths)/HotelRamp),0)</f>
        <v>0</v>
      </c>
      <c r="K48" s="39" t="n">
        <f aca="false">IF(K13=1,HotelOcc*MIN(1,0.55+0.45*(K$5-BuildMonths)/HotelRamp),0)</f>
        <v>0</v>
      </c>
      <c r="L48" s="39" t="n">
        <f aca="false">IF(L13=1,HotelOcc*MIN(1,0.55+0.45*(L$5-BuildMonths)/HotelRamp),0)</f>
        <v>0</v>
      </c>
      <c r="M48" s="39" t="n">
        <f aca="false">IF(M13=1,HotelOcc*MIN(1,0.55+0.45*(M$5-BuildMonths)/HotelRamp),0)</f>
        <v>0</v>
      </c>
      <c r="N48" s="39" t="n">
        <f aca="false">IF(N13=1,HotelOcc*MIN(1,0.55+0.45*(N$5-BuildMonths)/HotelRamp),0)</f>
        <v>0</v>
      </c>
      <c r="O48" s="39" t="n">
        <f aca="false">IF(O13=1,HotelOcc*MIN(1,0.55+0.45*(O$5-BuildMonths)/HotelRamp),0)</f>
        <v>0</v>
      </c>
      <c r="P48" s="39" t="n">
        <f aca="false">IF(P13=1,HotelOcc*MIN(1,0.55+0.45*(P$5-BuildMonths)/HotelRamp),0)</f>
        <v>0</v>
      </c>
      <c r="Q48" s="39" t="n">
        <f aca="false">IF(Q13=1,HotelOcc*MIN(1,0.55+0.45*(Q$5-BuildMonths)/HotelRamp),0)</f>
        <v>0</v>
      </c>
      <c r="R48" s="39" t="n">
        <f aca="false">IF(R13=1,HotelOcc*MIN(1,0.55+0.45*(R$5-BuildMonths)/HotelRamp),0)</f>
        <v>0</v>
      </c>
      <c r="S48" s="39" t="n">
        <f aca="false">IF(S13=1,HotelOcc*MIN(1,0.55+0.45*(S$5-BuildMonths)/HotelRamp),0)</f>
        <v>0</v>
      </c>
      <c r="T48" s="39" t="n">
        <f aca="false">IF(T13=1,HotelOcc*MIN(1,0.55+0.45*(T$5-BuildMonths)/HotelRamp),0)</f>
        <v>0</v>
      </c>
      <c r="U48" s="39" t="n">
        <f aca="false">IF(U13=1,HotelOcc*MIN(1,0.55+0.45*(U$5-BuildMonths)/HotelRamp),0)</f>
        <v>0</v>
      </c>
      <c r="V48" s="39" t="n">
        <f aca="false">IF(V13=1,HotelOcc*MIN(1,0.55+0.45*(V$5-BuildMonths)/HotelRamp),0)</f>
        <v>0</v>
      </c>
      <c r="W48" s="39" t="n">
        <f aca="false">IF(W13=1,HotelOcc*MIN(1,0.55+0.45*(W$5-BuildMonths)/HotelRamp),0)</f>
        <v>0</v>
      </c>
      <c r="X48" s="39" t="n">
        <f aca="false">IF(X13=1,HotelOcc*MIN(1,0.55+0.45*(X$5-BuildMonths)/HotelRamp),0)</f>
        <v>0</v>
      </c>
      <c r="Y48" s="39" t="n">
        <f aca="false">IF(Y13=1,HotelOcc*MIN(1,0.55+0.45*(Y$5-BuildMonths)/HotelRamp),0)</f>
        <v>0</v>
      </c>
      <c r="Z48" s="39" t="n">
        <f aca="false">IF(Z13=1,HotelOcc*MIN(1,0.55+0.45*(Z$5-BuildMonths)/HotelRamp),0)</f>
        <v>0</v>
      </c>
      <c r="AA48" s="39" t="n">
        <f aca="false">IF(AA13=1,HotelOcc*MIN(1,0.55+0.45*(AA$5-BuildMonths)/HotelRamp),0)</f>
        <v>0</v>
      </c>
      <c r="AB48" s="39" t="n">
        <f aca="false">IF(AB13=1,HotelOcc*MIN(1,0.55+0.45*(AB$5-BuildMonths)/HotelRamp),0)</f>
        <v>0</v>
      </c>
      <c r="AC48" s="39" t="n">
        <f aca="false">IF(AC13=1,HotelOcc*MIN(1,0.55+0.45*(AC$5-BuildMonths)/HotelRamp),0)</f>
        <v>0</v>
      </c>
      <c r="AD48" s="39" t="n">
        <f aca="false">IF(AD13=1,HotelOcc*MIN(1,0.55+0.45*(AD$5-BuildMonths)/HotelRamp),0)</f>
        <v>0</v>
      </c>
      <c r="AE48" s="39" t="n">
        <f aca="false">IF(AE13=1,HotelOcc*MIN(1,0.55+0.45*(AE$5-BuildMonths)/HotelRamp),0)</f>
        <v>0</v>
      </c>
      <c r="AF48" s="39" t="n">
        <f aca="false">IF(AF13=1,HotelOcc*MIN(1,0.55+0.45*(AF$5-BuildMonths)/HotelRamp),0)</f>
        <v>0</v>
      </c>
      <c r="AG48" s="39" t="n">
        <f aca="false">IF(AG13=1,HotelOcc*MIN(1,0.55+0.45*(AG$5-BuildMonths)/HotelRamp),0)</f>
        <v>0</v>
      </c>
      <c r="AH48" s="39" t="n">
        <f aca="false">IF(AH13=1,HotelOcc*MIN(1,0.55+0.45*(AH$5-BuildMonths)/HotelRamp),0)</f>
        <v>0.4095</v>
      </c>
      <c r="AI48" s="39" t="n">
        <f aca="false">IF(AI13=1,HotelOcc*MIN(1,0.55+0.45*(AI$5-BuildMonths)/HotelRamp),0)</f>
        <v>0.423</v>
      </c>
      <c r="AJ48" s="39" t="n">
        <f aca="false">IF(AJ13=1,HotelOcc*MIN(1,0.55+0.45*(AJ$5-BuildMonths)/HotelRamp),0)</f>
        <v>0.4365</v>
      </c>
      <c r="AK48" s="39" t="n">
        <f aca="false">IF(AK13=1,HotelOcc*MIN(1,0.55+0.45*(AK$5-BuildMonths)/HotelRamp),0)</f>
        <v>0.45</v>
      </c>
      <c r="AL48" s="39" t="n">
        <f aca="false">IF(AL13=1,HotelOcc*MIN(1,0.55+0.45*(AL$5-BuildMonths)/HotelRamp),0)</f>
        <v>0.4635</v>
      </c>
      <c r="AM48" s="39" t="n">
        <f aca="false">IF(AM13=1,HotelOcc*MIN(1,0.55+0.45*(AM$5-BuildMonths)/HotelRamp),0)</f>
        <v>0.477</v>
      </c>
      <c r="AN48" s="39" t="n">
        <f aca="false">IF(AN13=1,HotelOcc*MIN(1,0.55+0.45*(AN$5-BuildMonths)/HotelRamp),0)</f>
        <v>0.4905</v>
      </c>
      <c r="AO48" s="39" t="n">
        <f aca="false">IF(AO13=1,HotelOcc*MIN(1,0.55+0.45*(AO$5-BuildMonths)/HotelRamp),0)</f>
        <v>0.504</v>
      </c>
      <c r="AP48" s="39" t="n">
        <f aca="false">IF(AP13=1,HotelOcc*MIN(1,0.55+0.45*(AP$5-BuildMonths)/HotelRamp),0)</f>
        <v>0.5175</v>
      </c>
      <c r="AQ48" s="39" t="n">
        <f aca="false">IF(AQ13=1,HotelOcc*MIN(1,0.55+0.45*(AQ$5-BuildMonths)/HotelRamp),0)</f>
        <v>0.531</v>
      </c>
      <c r="AR48" s="39" t="n">
        <f aca="false">IF(AR13=1,HotelOcc*MIN(1,0.55+0.45*(AR$5-BuildMonths)/HotelRamp),0)</f>
        <v>0.5445</v>
      </c>
      <c r="AS48" s="39" t="n">
        <f aca="false">IF(AS13=1,HotelOcc*MIN(1,0.55+0.45*(AS$5-BuildMonths)/HotelRamp),0)</f>
        <v>0.558</v>
      </c>
      <c r="AT48" s="39" t="n">
        <f aca="false">IF(AT13=1,HotelOcc*MIN(1,0.55+0.45*(AT$5-BuildMonths)/HotelRamp),0)</f>
        <v>0.5715</v>
      </c>
      <c r="AU48" s="39" t="n">
        <f aca="false">IF(AU13=1,HotelOcc*MIN(1,0.55+0.45*(AU$5-BuildMonths)/HotelRamp),0)</f>
        <v>0.585</v>
      </c>
      <c r="AV48" s="39" t="n">
        <f aca="false">IF(AV13=1,HotelOcc*MIN(1,0.55+0.45*(AV$5-BuildMonths)/HotelRamp),0)</f>
        <v>0.5985</v>
      </c>
      <c r="AW48" s="39" t="n">
        <f aca="false">IF(AW13=1,HotelOcc*MIN(1,0.55+0.45*(AW$5-BuildMonths)/HotelRamp),0)</f>
        <v>0.612</v>
      </c>
      <c r="AX48" s="39" t="n">
        <f aca="false">IF(AX13=1,HotelOcc*MIN(1,0.55+0.45*(AX$5-BuildMonths)/HotelRamp),0)</f>
        <v>0.6255</v>
      </c>
      <c r="AY48" s="39" t="n">
        <f aca="false">IF(AY13=1,HotelOcc*MIN(1,0.55+0.45*(AY$5-BuildMonths)/HotelRamp),0)</f>
        <v>0.639</v>
      </c>
      <c r="AZ48" s="39" t="n">
        <f aca="false">IF(AZ13=1,HotelOcc*MIN(1,0.55+0.45*(AZ$5-BuildMonths)/HotelRamp),0)</f>
        <v>0.6525</v>
      </c>
      <c r="BA48" s="39" t="n">
        <f aca="false">IF(BA13=1,HotelOcc*MIN(1,0.55+0.45*(BA$5-BuildMonths)/HotelRamp),0)</f>
        <v>0.666</v>
      </c>
      <c r="BB48" s="39" t="n">
        <f aca="false">IF(BB13=1,HotelOcc*MIN(1,0.55+0.45*(BB$5-BuildMonths)/HotelRamp),0)</f>
        <v>0.6795</v>
      </c>
      <c r="BC48" s="39" t="n">
        <f aca="false">IF(BC13=1,HotelOcc*MIN(1,0.55+0.45*(BC$5-BuildMonths)/HotelRamp),0)</f>
        <v>0.693</v>
      </c>
      <c r="BD48" s="39" t="n">
        <f aca="false">IF(BD13=1,HotelOcc*MIN(1,0.55+0.45*(BD$5-BuildMonths)/HotelRamp),0)</f>
        <v>0.7065</v>
      </c>
      <c r="BE48" s="39" t="n">
        <f aca="false">IF(BE13=1,HotelOcc*MIN(1,0.55+0.45*(BE$5-BuildMonths)/HotelRamp),0)</f>
        <v>0.72</v>
      </c>
      <c r="BF48" s="39" t="n">
        <f aca="false">IF(BF13=1,HotelOcc*MIN(1,0.55+0.45*(BF$5-BuildMonths)/HotelRamp),0)</f>
        <v>0.72</v>
      </c>
      <c r="BG48" s="39" t="n">
        <f aca="false">IF(BG13=1,HotelOcc*MIN(1,0.55+0.45*(BG$5-BuildMonths)/HotelRamp),0)</f>
        <v>0.72</v>
      </c>
      <c r="BH48" s="39" t="n">
        <f aca="false">IF(BH13=1,HotelOcc*MIN(1,0.55+0.45*(BH$5-BuildMonths)/HotelRamp),0)</f>
        <v>0.72</v>
      </c>
      <c r="BI48" s="39" t="n">
        <f aca="false">IF(BI13=1,HotelOcc*MIN(1,0.55+0.45*(BI$5-BuildMonths)/HotelRamp),0)</f>
        <v>0.72</v>
      </c>
      <c r="BJ48" s="39" t="n">
        <f aca="false">IF(BJ13=1,HotelOcc*MIN(1,0.55+0.45*(BJ$5-BuildMonths)/HotelRamp),0)</f>
        <v>0.72</v>
      </c>
      <c r="BK48" s="39" t="n">
        <f aca="false">IF(BK13=1,HotelOcc*MIN(1,0.55+0.45*(BK$5-BuildMonths)/HotelRamp),0)</f>
        <v>0.72</v>
      </c>
      <c r="BL48" s="39" t="n">
        <f aca="false">IF(BL13=1,HotelOcc*MIN(1,0.55+0.45*(BL$5-BuildMonths)/HotelRamp),0)</f>
        <v>0.72</v>
      </c>
      <c r="BM48" s="39" t="n">
        <f aca="false">IF(BM13=1,HotelOcc*MIN(1,0.55+0.45*(BM$5-BuildMonths)/HotelRamp),0)</f>
        <v>0.72</v>
      </c>
      <c r="BN48" s="39" t="n">
        <f aca="false">IF(BN13=1,HotelOcc*MIN(1,0.55+0.45*(BN$5-BuildMonths)/HotelRamp),0)</f>
        <v>0.72</v>
      </c>
      <c r="BO48" s="39" t="n">
        <f aca="false">IF(BO13=1,HotelOcc*MIN(1,0.55+0.45*(BO$5-BuildMonths)/HotelRamp),0)</f>
        <v>0.72</v>
      </c>
      <c r="BP48" s="39" t="n">
        <f aca="false">IF(BP13=1,HotelOcc*MIN(1,0.55+0.45*(BP$5-BuildMonths)/HotelRamp),0)</f>
        <v>0.72</v>
      </c>
      <c r="BQ48" s="39" t="n">
        <f aca="false">IF(BQ13=1,HotelOcc*MIN(1,0.55+0.45*(BQ$5-BuildMonths)/HotelRamp),0)</f>
        <v>0.72</v>
      </c>
      <c r="BR48" s="39" t="n">
        <f aca="false">IF(BR13=1,HotelOcc*MIN(1,0.55+0.45*(BR$5-BuildMonths)/HotelRamp),0)</f>
        <v>0.72</v>
      </c>
      <c r="BS48" s="39" t="n">
        <f aca="false">IF(BS13=1,HotelOcc*MIN(1,0.55+0.45*(BS$5-BuildMonths)/HotelRamp),0)</f>
        <v>0.72</v>
      </c>
      <c r="BT48" s="39" t="n">
        <f aca="false">IF(BT13=1,HotelOcc*MIN(1,0.55+0.45*(BT$5-BuildMonths)/HotelRamp),0)</f>
        <v>0.72</v>
      </c>
      <c r="BU48" s="39" t="n">
        <f aca="false">IF(BU13=1,HotelOcc*MIN(1,0.55+0.45*(BU$5-BuildMonths)/HotelRamp),0)</f>
        <v>0.72</v>
      </c>
      <c r="BV48" s="39" t="n">
        <f aca="false">IF(BV13=1,HotelOcc*MIN(1,0.55+0.45*(BV$5-BuildMonths)/HotelRamp),0)</f>
        <v>0.72</v>
      </c>
      <c r="BW48" s="39" t="n">
        <f aca="false">IF(BW13=1,HotelOcc*MIN(1,0.55+0.45*(BW$5-BuildMonths)/HotelRamp),0)</f>
        <v>0.72</v>
      </c>
      <c r="BX48" s="39" t="n">
        <f aca="false">IF(BX13=1,HotelOcc*MIN(1,0.55+0.45*(BX$5-BuildMonths)/HotelRamp),0)</f>
        <v>0</v>
      </c>
      <c r="BY48" s="39" t="n">
        <f aca="false">IF(BY13=1,HotelOcc*MIN(1,0.55+0.45*(BY$5-BuildMonths)/HotelRamp),0)</f>
        <v>0</v>
      </c>
      <c r="BZ48" s="39" t="n">
        <f aca="false">IF(BZ13=1,HotelOcc*MIN(1,0.55+0.45*(BZ$5-BuildMonths)/HotelRamp),0)</f>
        <v>0</v>
      </c>
      <c r="CA48" s="39" t="n">
        <f aca="false">IF(CA13=1,HotelOcc*MIN(1,0.55+0.45*(CA$5-BuildMonths)/HotelRamp),0)</f>
        <v>0</v>
      </c>
      <c r="CB48" s="39" t="n">
        <f aca="false">IF(CB13=1,HotelOcc*MIN(1,0.55+0.45*(CB$5-BuildMonths)/HotelRamp),0)</f>
        <v>0</v>
      </c>
      <c r="CC48" s="39" t="n">
        <f aca="false">IF(CC13=1,HotelOcc*MIN(1,0.55+0.45*(CC$5-BuildMonths)/HotelRamp),0)</f>
        <v>0</v>
      </c>
      <c r="CD48" s="39" t="n">
        <f aca="false">IF(CD13=1,HotelOcc*MIN(1,0.55+0.45*(CD$5-BuildMonths)/HotelRamp),0)</f>
        <v>0</v>
      </c>
      <c r="CE48" s="39" t="n">
        <f aca="false">IF(CE13=1,HotelOcc*MIN(1,0.55+0.45*(CE$5-BuildMonths)/HotelRamp),0)</f>
        <v>0</v>
      </c>
      <c r="CF48" s="39" t="n">
        <f aca="false">IF(CF13=1,HotelOcc*MIN(1,0.55+0.45*(CF$5-BuildMonths)/HotelRamp),0)</f>
        <v>0</v>
      </c>
      <c r="CG48" s="39" t="n">
        <f aca="false">IF(CG13=1,HotelOcc*MIN(1,0.55+0.45*(CG$5-BuildMonths)/HotelRamp),0)</f>
        <v>0</v>
      </c>
      <c r="CH48" s="39" t="n">
        <f aca="false">IF(CH13=1,HotelOcc*MIN(1,0.55+0.45*(CH$5-BuildMonths)/HotelRamp),0)</f>
        <v>0</v>
      </c>
      <c r="CI48" s="39" t="n">
        <f aca="false">IF(CI13=1,HotelOcc*MIN(1,0.55+0.45*(CI$5-BuildMonths)/HotelRamp),0)</f>
        <v>0</v>
      </c>
      <c r="CJ48" s="39" t="n">
        <f aca="false">IF(CJ13=1,HotelOcc*MIN(1,0.55+0.45*(CJ$5-BuildMonths)/HotelRamp),0)</f>
        <v>0</v>
      </c>
      <c r="CK48" s="39" t="n">
        <f aca="false">IF(CK13=1,HotelOcc*MIN(1,0.55+0.45*(CK$5-BuildMonths)/HotelRamp),0)</f>
        <v>0</v>
      </c>
      <c r="CL48" s="39" t="n">
        <f aca="false">IF(CL13=1,HotelOcc*MIN(1,0.55+0.45*(CL$5-BuildMonths)/HotelRamp),0)</f>
        <v>0</v>
      </c>
      <c r="CM48" s="39" t="n">
        <f aca="false">IF(CM13=1,HotelOcc*MIN(1,0.55+0.45*(CM$5-BuildMonths)/HotelRamp),0)</f>
        <v>0</v>
      </c>
      <c r="CN48" s="39" t="n">
        <f aca="false">IF(CN13=1,HotelOcc*MIN(1,0.55+0.45*(CN$5-BuildMonths)/HotelRamp),0)</f>
        <v>0</v>
      </c>
      <c r="CO48" s="39" t="n">
        <f aca="false">IF(CO13=1,HotelOcc*MIN(1,0.55+0.45*(CO$5-BuildMonths)/HotelRamp),0)</f>
        <v>0</v>
      </c>
      <c r="CP48" s="39" t="n">
        <f aca="false">IF(CP13=1,HotelOcc*MIN(1,0.55+0.45*(CP$5-BuildMonths)/HotelRamp),0)</f>
        <v>0</v>
      </c>
      <c r="CQ48" s="39" t="n">
        <f aca="false">IF(CQ13=1,HotelOcc*MIN(1,0.55+0.45*(CQ$5-BuildMonths)/HotelRamp),0)</f>
        <v>0</v>
      </c>
      <c r="CR48" s="39" t="n">
        <f aca="false">IF(CR13=1,HotelOcc*MIN(1,0.55+0.45*(CR$5-BuildMonths)/HotelRamp),0)</f>
        <v>0</v>
      </c>
      <c r="CS48" s="39" t="n">
        <f aca="false">IF(CS13=1,HotelOcc*MIN(1,0.55+0.45*(CS$5-BuildMonths)/HotelRamp),0)</f>
        <v>0</v>
      </c>
      <c r="CT48" s="39" t="n">
        <f aca="false">IF(CT13=1,HotelOcc*MIN(1,0.55+0.45*(CT$5-BuildMonths)/HotelRamp),0)</f>
        <v>0</v>
      </c>
      <c r="CU48" s="39" t="n">
        <f aca="false">IF(CU13=1,HotelOcc*MIN(1,0.55+0.45*(CU$5-BuildMonths)/HotelRamp),0)</f>
        <v>0</v>
      </c>
    </row>
    <row r="49" customFormat="false" ht="15" hidden="false" customHeight="false" outlineLevel="0" collapsed="false">
      <c r="A49" s="35" t="s">
        <v>138</v>
      </c>
      <c r="B49" s="26" t="n">
        <f aca="false">SUM(C49:CU49)</f>
        <v>254537730.423652</v>
      </c>
      <c r="C49" s="40" t="n">
        <f aca="false">Keys*DAY(C10)*C48*ADR*C40/0.62</f>
        <v>0</v>
      </c>
      <c r="D49" s="40" t="n">
        <f aca="false">Keys*DAY(D10)*D48*ADR*D40/0.62</f>
        <v>0</v>
      </c>
      <c r="E49" s="40" t="n">
        <f aca="false">Keys*DAY(E10)*E48*ADR*E40/0.62</f>
        <v>0</v>
      </c>
      <c r="F49" s="40" t="n">
        <f aca="false">Keys*DAY(F10)*F48*ADR*F40/0.62</f>
        <v>0</v>
      </c>
      <c r="G49" s="40" t="n">
        <f aca="false">Keys*DAY(G10)*G48*ADR*G40/0.62</f>
        <v>0</v>
      </c>
      <c r="H49" s="40" t="n">
        <f aca="false">Keys*DAY(H10)*H48*ADR*H40/0.62</f>
        <v>0</v>
      </c>
      <c r="I49" s="40" t="n">
        <f aca="false">Keys*DAY(I10)*I48*ADR*I40/0.62</f>
        <v>0</v>
      </c>
      <c r="J49" s="40" t="n">
        <f aca="false">Keys*DAY(J10)*J48*ADR*J40/0.62</f>
        <v>0</v>
      </c>
      <c r="K49" s="40" t="n">
        <f aca="false">Keys*DAY(K10)*K48*ADR*K40/0.62</f>
        <v>0</v>
      </c>
      <c r="L49" s="40" t="n">
        <f aca="false">Keys*DAY(L10)*L48*ADR*L40/0.62</f>
        <v>0</v>
      </c>
      <c r="M49" s="40" t="n">
        <f aca="false">Keys*DAY(M10)*M48*ADR*M40/0.62</f>
        <v>0</v>
      </c>
      <c r="N49" s="40" t="n">
        <f aca="false">Keys*DAY(N10)*N48*ADR*N40/0.62</f>
        <v>0</v>
      </c>
      <c r="O49" s="40" t="n">
        <f aca="false">Keys*DAY(O10)*O48*ADR*O40/0.62</f>
        <v>0</v>
      </c>
      <c r="P49" s="40" t="n">
        <f aca="false">Keys*DAY(P10)*P48*ADR*P40/0.62</f>
        <v>0</v>
      </c>
      <c r="Q49" s="40" t="n">
        <f aca="false">Keys*DAY(Q10)*Q48*ADR*Q40/0.62</f>
        <v>0</v>
      </c>
      <c r="R49" s="40" t="n">
        <f aca="false">Keys*DAY(R10)*R48*ADR*R40/0.62</f>
        <v>0</v>
      </c>
      <c r="S49" s="40" t="n">
        <f aca="false">Keys*DAY(S10)*S48*ADR*S40/0.62</f>
        <v>0</v>
      </c>
      <c r="T49" s="40" t="n">
        <f aca="false">Keys*DAY(T10)*T48*ADR*T40/0.62</f>
        <v>0</v>
      </c>
      <c r="U49" s="40" t="n">
        <f aca="false">Keys*DAY(U10)*U48*ADR*U40/0.62</f>
        <v>0</v>
      </c>
      <c r="V49" s="40" t="n">
        <f aca="false">Keys*DAY(V10)*V48*ADR*V40/0.62</f>
        <v>0</v>
      </c>
      <c r="W49" s="40" t="n">
        <f aca="false">Keys*DAY(W10)*W48*ADR*W40/0.62</f>
        <v>0</v>
      </c>
      <c r="X49" s="40" t="n">
        <f aca="false">Keys*DAY(X10)*X48*ADR*X40/0.62</f>
        <v>0</v>
      </c>
      <c r="Y49" s="40" t="n">
        <f aca="false">Keys*DAY(Y10)*Y48*ADR*Y40/0.62</f>
        <v>0</v>
      </c>
      <c r="Z49" s="40" t="n">
        <f aca="false">Keys*DAY(Z10)*Z48*ADR*Z40/0.62</f>
        <v>0</v>
      </c>
      <c r="AA49" s="40" t="n">
        <f aca="false">Keys*DAY(AA10)*AA48*ADR*AA40/0.62</f>
        <v>0</v>
      </c>
      <c r="AB49" s="40" t="n">
        <f aca="false">Keys*DAY(AB10)*AB48*ADR*AB40/0.62</f>
        <v>0</v>
      </c>
      <c r="AC49" s="40" t="n">
        <f aca="false">Keys*DAY(AC10)*AC48*ADR*AC40/0.62</f>
        <v>0</v>
      </c>
      <c r="AD49" s="40" t="n">
        <f aca="false">Keys*DAY(AD10)*AD48*ADR*AD40/0.62</f>
        <v>0</v>
      </c>
      <c r="AE49" s="40" t="n">
        <f aca="false">Keys*DAY(AE10)*AE48*ADR*AE40/0.62</f>
        <v>0</v>
      </c>
      <c r="AF49" s="40" t="n">
        <f aca="false">Keys*DAY(AF10)*AF48*ADR*AF40/0.62</f>
        <v>0</v>
      </c>
      <c r="AG49" s="40" t="n">
        <f aca="false">Keys*DAY(AG10)*AG48*ADR*AG40/0.62</f>
        <v>0</v>
      </c>
      <c r="AH49" s="40" t="n">
        <f aca="false">Keys*DAY(AH10)*AH48*ADR*AH40/0.62</f>
        <v>3782981.83318418</v>
      </c>
      <c r="AI49" s="40" t="n">
        <f aca="false">Keys*DAY(AI10)*AI48*ADR*AI40/0.62</f>
        <v>3917332.95133277</v>
      </c>
      <c r="AJ49" s="40" t="n">
        <f aca="false">Keys*DAY(AJ10)*AJ48*ADR*AJ40/0.62</f>
        <v>3921603.63072409</v>
      </c>
      <c r="AK49" s="40" t="n">
        <f aca="false">Keys*DAY(AK10)*AK48*ADR*AK40/0.62</f>
        <v>4187956.57249974</v>
      </c>
      <c r="AL49" s="40" t="n">
        <f aca="false">Keys*DAY(AL10)*AL48*ADR*AL40/0.62</f>
        <v>4184742.34770802</v>
      </c>
      <c r="AM49" s="40" t="n">
        <f aca="false">Keys*DAY(AM10)*AM48*ADR*AM40/0.62</f>
        <v>4461157.66552005</v>
      </c>
      <c r="AN49" s="40" t="n">
        <f aca="false">Keys*DAY(AN10)*AN48*ADR*AN40/0.62</f>
        <v>4598730.65223</v>
      </c>
      <c r="AO49" s="40" t="n">
        <f aca="false">Keys*DAY(AO10)*AO48*ADR*AO40/0.62</f>
        <v>4278540.07966948</v>
      </c>
      <c r="AP49" s="40" t="n">
        <f aca="false">Keys*DAY(AP10)*AP48*ADR*AP40/0.62</f>
        <v>4875833.34995995</v>
      </c>
      <c r="AQ49" s="40" t="n">
        <f aca="false">Keys*DAY(AQ10)*AQ48*ADR*AQ40/0.62</f>
        <v>4853581.76299992</v>
      </c>
      <c r="AR49" s="40" t="n">
        <f aca="false">Keys*DAY(AR10)*AR48*ADR*AR40/0.62</f>
        <v>5155560.89568229</v>
      </c>
      <c r="AS49" s="40" t="n">
        <f aca="false">Keys*DAY(AS10)*AS48*ADR*AS40/0.62</f>
        <v>5125562.87571429</v>
      </c>
      <c r="AT49" s="40" t="n">
        <f aca="false">Keys*DAY(AT10)*AT48*ADR*AT40/0.62</f>
        <v>5437932.45712992</v>
      </c>
      <c r="AU49" s="40" t="n">
        <f aca="false">Keys*DAY(AU10)*AU48*ADR*AU40/0.62</f>
        <v>5580115.76790913</v>
      </c>
      <c r="AV49" s="40" t="n">
        <f aca="false">Keys*DAY(AV10)*AV48*ADR*AV40/0.62</f>
        <v>5538355.47807106</v>
      </c>
      <c r="AW49" s="40" t="n">
        <f aca="false">Keys*DAY(AW10)*AW48*ADR*AW40/0.62</f>
        <v>5866489.56675764</v>
      </c>
      <c r="AX49" s="40" t="n">
        <f aca="false">Keys*DAY(AX10)*AX48*ADR*AX40/0.62</f>
        <v>5816791.86331414</v>
      </c>
      <c r="AY49" s="40" t="n">
        <f aca="false">Keys*DAY(AY10)*AY48*ADR*AY40/0.62</f>
        <v>6155555.85055625</v>
      </c>
      <c r="AZ49" s="40" t="n">
        <f aca="false">Keys*DAY(AZ10)*AZ48*ADR*AZ40/0.62</f>
        <v>6301104.7973445</v>
      </c>
      <c r="BA49" s="40" t="n">
        <f aca="false">Keys*DAY(BA10)*BA48*ADR*BA40/0.62</f>
        <v>5823398.65843585</v>
      </c>
      <c r="BB49" s="40" t="n">
        <f aca="false">Keys*DAY(BB10)*BB48*ADR*BB40/0.62</f>
        <v>6594246.61668931</v>
      </c>
      <c r="BC49" s="40" t="n">
        <f aca="false">Keys*DAY(BC10)*BC48*ADR*BC40/0.62</f>
        <v>6524365.58683939</v>
      </c>
      <c r="BD49" s="40" t="n">
        <f aca="false">Keys*DAY(BD10)*BD48*ADR*BD40/0.62</f>
        <v>6890130.18546101</v>
      </c>
      <c r="BE49" s="40" t="n">
        <f aca="false">Keys*DAY(BE10)*BE48*ADR*BE40/0.62</f>
        <v>6812038.40256222</v>
      </c>
      <c r="BF49" s="40" t="n">
        <f aca="false">Keys*DAY(BF10)*BF48*ADR*BF40/0.62</f>
        <v>7056466.68452764</v>
      </c>
      <c r="BG49" s="40" t="n">
        <f aca="false">Keys*DAY(BG10)*BG48*ADR*BG40/0.62</f>
        <v>7073869.83501096</v>
      </c>
      <c r="BH49" s="40" t="n">
        <f aca="false">Keys*DAY(BH10)*BH48*ADR*BH40/0.62</f>
        <v>6862563.7803467</v>
      </c>
      <c r="BI49" s="40" t="n">
        <f aca="false">Keys*DAY(BI10)*BI48*ADR*BI40/0.62</f>
        <v>7108805.00442396</v>
      </c>
      <c r="BJ49" s="40" t="n">
        <f aca="false">Keys*DAY(BJ10)*BJ48*ADR*BJ40/0.62</f>
        <v>6896455.38902281</v>
      </c>
      <c r="BK49" s="40" t="n">
        <f aca="false">Keys*DAY(BK10)*BK48*ADR*BK40/0.62</f>
        <v>7143912.70543429</v>
      </c>
      <c r="BL49" s="40" t="n">
        <f aca="false">Keys*DAY(BL10)*BL48*ADR*BL40/0.62</f>
        <v>7161531.52139568</v>
      </c>
      <c r="BM49" s="40" t="n">
        <f aca="false">Keys*DAY(BM10)*BM48*ADR*BM40/0.62</f>
        <v>6716019.99719996</v>
      </c>
      <c r="BN49" s="40" t="n">
        <f aca="false">Keys*DAY(BN10)*BN48*ADR*BN40/0.62</f>
        <v>7196899.61874436</v>
      </c>
      <c r="BO49" s="40" t="n">
        <f aca="false">Keys*DAY(BO10)*BO48*ADR*BO40/0.62</f>
        <v>6981918.49812423</v>
      </c>
      <c r="BP49" s="40" t="n">
        <f aca="false">Keys*DAY(BP10)*BP48*ADR*BP40/0.62</f>
        <v>7232442.3857578</v>
      </c>
      <c r="BQ49" s="40" t="n">
        <f aca="false">Keys*DAY(BQ10)*BQ48*ADR*BQ40/0.62</f>
        <v>7016399.55463909</v>
      </c>
      <c r="BR49" s="40" t="n">
        <f aca="false">Keys*DAY(BR10)*BR48*ADR*BR40/0.62</f>
        <v>7268160.68506347</v>
      </c>
      <c r="BS49" s="40" t="n">
        <f aca="false">Keys*DAY(BS10)*BS48*ADR*BS40/0.62</f>
        <v>7286085.93006128</v>
      </c>
      <c r="BT49" s="40" t="n">
        <f aca="false">Keys*DAY(BT10)*BT48*ADR*BT40/0.62</f>
        <v>7068440.6937571</v>
      </c>
      <c r="BU49" s="40" t="n">
        <f aca="false">Keys*DAY(BU10)*BU48*ADR*BU40/0.62</f>
        <v>7322069.15455668</v>
      </c>
      <c r="BV49" s="40" t="n">
        <f aca="false">Keys*DAY(BV10)*BV48*ADR*BV40/0.62</f>
        <v>7103349.0506935</v>
      </c>
      <c r="BW49" s="40" t="n">
        <f aca="false">Keys*DAY(BW10)*BW48*ADR*BW40/0.62</f>
        <v>7358230.08659732</v>
      </c>
      <c r="BX49" s="40" t="n">
        <f aca="false">Keys*DAY(BX10)*BX48*ADR*BX40/0.62</f>
        <v>0</v>
      </c>
      <c r="BY49" s="40" t="n">
        <f aca="false">Keys*DAY(BY10)*BY48*ADR*BY40/0.62</f>
        <v>0</v>
      </c>
      <c r="BZ49" s="40" t="n">
        <f aca="false">Keys*DAY(BZ10)*BZ48*ADR*BZ40/0.62</f>
        <v>0</v>
      </c>
      <c r="CA49" s="40" t="n">
        <f aca="false">Keys*DAY(CA10)*CA48*ADR*CA40/0.62</f>
        <v>0</v>
      </c>
      <c r="CB49" s="40" t="n">
        <f aca="false">Keys*DAY(CB10)*CB48*ADR*CB40/0.62</f>
        <v>0</v>
      </c>
      <c r="CC49" s="40" t="n">
        <f aca="false">Keys*DAY(CC10)*CC48*ADR*CC40/0.62</f>
        <v>0</v>
      </c>
      <c r="CD49" s="40" t="n">
        <f aca="false">Keys*DAY(CD10)*CD48*ADR*CD40/0.62</f>
        <v>0</v>
      </c>
      <c r="CE49" s="40" t="n">
        <f aca="false">Keys*DAY(CE10)*CE48*ADR*CE40/0.62</f>
        <v>0</v>
      </c>
      <c r="CF49" s="40" t="n">
        <f aca="false">Keys*DAY(CF10)*CF48*ADR*CF40/0.62</f>
        <v>0</v>
      </c>
      <c r="CG49" s="40" t="n">
        <f aca="false">Keys*DAY(CG10)*CG48*ADR*CG40/0.62</f>
        <v>0</v>
      </c>
      <c r="CH49" s="40" t="n">
        <f aca="false">Keys*DAY(CH10)*CH48*ADR*CH40/0.62</f>
        <v>0</v>
      </c>
      <c r="CI49" s="40" t="n">
        <f aca="false">Keys*DAY(CI10)*CI48*ADR*CI40/0.62</f>
        <v>0</v>
      </c>
      <c r="CJ49" s="40" t="n">
        <f aca="false">Keys*DAY(CJ10)*CJ48*ADR*CJ40/0.62</f>
        <v>0</v>
      </c>
      <c r="CK49" s="40" t="n">
        <f aca="false">Keys*DAY(CK10)*CK48*ADR*CK40/0.62</f>
        <v>0</v>
      </c>
      <c r="CL49" s="40" t="n">
        <f aca="false">Keys*DAY(CL10)*CL48*ADR*CL40/0.62</f>
        <v>0</v>
      </c>
      <c r="CM49" s="40" t="n">
        <f aca="false">Keys*DAY(CM10)*CM48*ADR*CM40/0.62</f>
        <v>0</v>
      </c>
      <c r="CN49" s="40" t="n">
        <f aca="false">Keys*DAY(CN10)*CN48*ADR*CN40/0.62</f>
        <v>0</v>
      </c>
      <c r="CO49" s="40" t="n">
        <f aca="false">Keys*DAY(CO10)*CO48*ADR*CO40/0.62</f>
        <v>0</v>
      </c>
      <c r="CP49" s="40" t="n">
        <f aca="false">Keys*DAY(CP10)*CP48*ADR*CP40/0.62</f>
        <v>0</v>
      </c>
      <c r="CQ49" s="40" t="n">
        <f aca="false">Keys*DAY(CQ10)*CQ48*ADR*CQ40/0.62</f>
        <v>0</v>
      </c>
      <c r="CR49" s="40" t="n">
        <f aca="false">Keys*DAY(CR10)*CR48*ADR*CR40/0.62</f>
        <v>0</v>
      </c>
      <c r="CS49" s="40" t="n">
        <f aca="false">Keys*DAY(CS10)*CS48*ADR*CS40/0.62</f>
        <v>0</v>
      </c>
      <c r="CT49" s="40" t="n">
        <f aca="false">Keys*DAY(CT10)*CT48*ADR*CT40/0.62</f>
        <v>0</v>
      </c>
      <c r="CU49" s="40" t="n">
        <f aca="false">Keys*DAY(CU10)*CU48*ADR*CU40/0.62</f>
        <v>0</v>
      </c>
    </row>
    <row r="50" customFormat="false" ht="15" hidden="false" customHeight="false" outlineLevel="0" collapsed="false">
      <c r="A50" s="35" t="s">
        <v>139</v>
      </c>
      <c r="B50" s="26" t="n">
        <f aca="false">SUM(C50:CU50)</f>
        <v>86542828.3440417</v>
      </c>
      <c r="C50" s="40" t="n">
        <f aca="false">C49*GOPMargin</f>
        <v>0</v>
      </c>
      <c r="D50" s="40" t="n">
        <f aca="false">D49*GOPMargin</f>
        <v>0</v>
      </c>
      <c r="E50" s="40" t="n">
        <f aca="false">E49*GOPMargin</f>
        <v>0</v>
      </c>
      <c r="F50" s="40" t="n">
        <f aca="false">F49*GOPMargin</f>
        <v>0</v>
      </c>
      <c r="G50" s="40" t="n">
        <f aca="false">G49*GOPMargin</f>
        <v>0</v>
      </c>
      <c r="H50" s="40" t="n">
        <f aca="false">H49*GOPMargin</f>
        <v>0</v>
      </c>
      <c r="I50" s="40" t="n">
        <f aca="false">I49*GOPMargin</f>
        <v>0</v>
      </c>
      <c r="J50" s="40" t="n">
        <f aca="false">J49*GOPMargin</f>
        <v>0</v>
      </c>
      <c r="K50" s="40" t="n">
        <f aca="false">K49*GOPMargin</f>
        <v>0</v>
      </c>
      <c r="L50" s="40" t="n">
        <f aca="false">L49*GOPMargin</f>
        <v>0</v>
      </c>
      <c r="M50" s="40" t="n">
        <f aca="false">M49*GOPMargin</f>
        <v>0</v>
      </c>
      <c r="N50" s="40" t="n">
        <f aca="false">N49*GOPMargin</f>
        <v>0</v>
      </c>
      <c r="O50" s="40" t="n">
        <f aca="false">O49*GOPMargin</f>
        <v>0</v>
      </c>
      <c r="P50" s="40" t="n">
        <f aca="false">P49*GOPMargin</f>
        <v>0</v>
      </c>
      <c r="Q50" s="40" t="n">
        <f aca="false">Q49*GOPMargin</f>
        <v>0</v>
      </c>
      <c r="R50" s="40" t="n">
        <f aca="false">R49*GOPMargin</f>
        <v>0</v>
      </c>
      <c r="S50" s="40" t="n">
        <f aca="false">S49*GOPMargin</f>
        <v>0</v>
      </c>
      <c r="T50" s="40" t="n">
        <f aca="false">T49*GOPMargin</f>
        <v>0</v>
      </c>
      <c r="U50" s="40" t="n">
        <f aca="false">U49*GOPMargin</f>
        <v>0</v>
      </c>
      <c r="V50" s="40" t="n">
        <f aca="false">V49*GOPMargin</f>
        <v>0</v>
      </c>
      <c r="W50" s="40" t="n">
        <f aca="false">W49*GOPMargin</f>
        <v>0</v>
      </c>
      <c r="X50" s="40" t="n">
        <f aca="false">X49*GOPMargin</f>
        <v>0</v>
      </c>
      <c r="Y50" s="40" t="n">
        <f aca="false">Y49*GOPMargin</f>
        <v>0</v>
      </c>
      <c r="Z50" s="40" t="n">
        <f aca="false">Z49*GOPMargin</f>
        <v>0</v>
      </c>
      <c r="AA50" s="40" t="n">
        <f aca="false">AA49*GOPMargin</f>
        <v>0</v>
      </c>
      <c r="AB50" s="40" t="n">
        <f aca="false">AB49*GOPMargin</f>
        <v>0</v>
      </c>
      <c r="AC50" s="40" t="n">
        <f aca="false">AC49*GOPMargin</f>
        <v>0</v>
      </c>
      <c r="AD50" s="40" t="n">
        <f aca="false">AD49*GOPMargin</f>
        <v>0</v>
      </c>
      <c r="AE50" s="40" t="n">
        <f aca="false">AE49*GOPMargin</f>
        <v>0</v>
      </c>
      <c r="AF50" s="40" t="n">
        <f aca="false">AF49*GOPMargin</f>
        <v>0</v>
      </c>
      <c r="AG50" s="40" t="n">
        <f aca="false">AG49*GOPMargin</f>
        <v>0</v>
      </c>
      <c r="AH50" s="40" t="n">
        <f aca="false">AH49*GOPMargin</f>
        <v>1286213.82328262</v>
      </c>
      <c r="AI50" s="40" t="n">
        <f aca="false">AI49*GOPMargin</f>
        <v>1331893.20345314</v>
      </c>
      <c r="AJ50" s="40" t="n">
        <f aca="false">AJ49*GOPMargin</f>
        <v>1333345.23444619</v>
      </c>
      <c r="AK50" s="40" t="n">
        <f aca="false">AK49*GOPMargin</f>
        <v>1423905.23464991</v>
      </c>
      <c r="AL50" s="40" t="n">
        <f aca="false">AL49*GOPMargin</f>
        <v>1422812.39822073</v>
      </c>
      <c r="AM50" s="40" t="n">
        <f aca="false">AM49*GOPMargin</f>
        <v>1516793.60627682</v>
      </c>
      <c r="AN50" s="40" t="n">
        <f aca="false">AN49*GOPMargin</f>
        <v>1563568.4217582</v>
      </c>
      <c r="AO50" s="40" t="n">
        <f aca="false">AO49*GOPMargin</f>
        <v>1454703.62708762</v>
      </c>
      <c r="AP50" s="40" t="n">
        <f aca="false">AP49*GOPMargin</f>
        <v>1657783.33898638</v>
      </c>
      <c r="AQ50" s="40" t="n">
        <f aca="false">AQ49*GOPMargin</f>
        <v>1650217.79941997</v>
      </c>
      <c r="AR50" s="40" t="n">
        <f aca="false">AR49*GOPMargin</f>
        <v>1752890.70453198</v>
      </c>
      <c r="AS50" s="40" t="n">
        <f aca="false">AS49*GOPMargin</f>
        <v>1742691.37774286</v>
      </c>
      <c r="AT50" s="40" t="n">
        <f aca="false">AT49*GOPMargin</f>
        <v>1848897.03542417</v>
      </c>
      <c r="AU50" s="40" t="n">
        <f aca="false">AU49*GOPMargin</f>
        <v>1897239.3610891</v>
      </c>
      <c r="AV50" s="40" t="n">
        <f aca="false">AV49*GOPMargin</f>
        <v>1883040.86254416</v>
      </c>
      <c r="AW50" s="40" t="n">
        <f aca="false">AW49*GOPMargin</f>
        <v>1994606.4526976</v>
      </c>
      <c r="AX50" s="40" t="n">
        <f aca="false">AX49*GOPMargin</f>
        <v>1977709.23352681</v>
      </c>
      <c r="AY50" s="40" t="n">
        <f aca="false">AY49*GOPMargin</f>
        <v>2092888.98918912</v>
      </c>
      <c r="AZ50" s="40" t="n">
        <f aca="false">AZ49*GOPMargin</f>
        <v>2142375.63109713</v>
      </c>
      <c r="BA50" s="40" t="n">
        <f aca="false">BA49*GOPMargin</f>
        <v>1979955.54386819</v>
      </c>
      <c r="BB50" s="40" t="n">
        <f aca="false">BB49*GOPMargin</f>
        <v>2242043.84967436</v>
      </c>
      <c r="BC50" s="40" t="n">
        <f aca="false">BC49*GOPMargin</f>
        <v>2218284.29952539</v>
      </c>
      <c r="BD50" s="40" t="n">
        <f aca="false">BD49*GOPMargin</f>
        <v>2342644.26305674</v>
      </c>
      <c r="BE50" s="40" t="n">
        <f aca="false">BE49*GOPMargin</f>
        <v>2316093.05687115</v>
      </c>
      <c r="BF50" s="40" t="n">
        <f aca="false">BF49*GOPMargin</f>
        <v>2399198.6727394</v>
      </c>
      <c r="BG50" s="40" t="n">
        <f aca="false">BG49*GOPMargin</f>
        <v>2405115.74390373</v>
      </c>
      <c r="BH50" s="40" t="n">
        <f aca="false">BH49*GOPMargin</f>
        <v>2333271.68531788</v>
      </c>
      <c r="BI50" s="40" t="n">
        <f aca="false">BI49*GOPMargin</f>
        <v>2416993.70150415</v>
      </c>
      <c r="BJ50" s="40" t="n">
        <f aca="false">BJ49*GOPMargin</f>
        <v>2344794.83226776</v>
      </c>
      <c r="BK50" s="40" t="n">
        <f aca="false">BK49*GOPMargin</f>
        <v>2428930.31984766</v>
      </c>
      <c r="BL50" s="40" t="n">
        <f aca="false">BL49*GOPMargin</f>
        <v>2434920.71727453</v>
      </c>
      <c r="BM50" s="40" t="n">
        <f aca="false">BM49*GOPMargin</f>
        <v>2283446.79904799</v>
      </c>
      <c r="BN50" s="40" t="n">
        <f aca="false">BN49*GOPMargin</f>
        <v>2446945.87037308</v>
      </c>
      <c r="BO50" s="40" t="n">
        <f aca="false">BO49*GOPMargin</f>
        <v>2373852.28936224</v>
      </c>
      <c r="BP50" s="40" t="n">
        <f aca="false">BP49*GOPMargin</f>
        <v>2459030.41115765</v>
      </c>
      <c r="BQ50" s="40" t="n">
        <f aca="false">BQ49*GOPMargin</f>
        <v>2385575.84857729</v>
      </c>
      <c r="BR50" s="40" t="n">
        <f aca="false">BR49*GOPMargin</f>
        <v>2471174.63292158</v>
      </c>
      <c r="BS50" s="40" t="n">
        <f aca="false">BS49*GOPMargin</f>
        <v>2477269.21622084</v>
      </c>
      <c r="BT50" s="40" t="n">
        <f aca="false">BT49*GOPMargin</f>
        <v>2403269.83587741</v>
      </c>
      <c r="BU50" s="40" t="n">
        <f aca="false">BU49*GOPMargin</f>
        <v>2489503.51254927</v>
      </c>
      <c r="BV50" s="40" t="n">
        <f aca="false">BV49*GOPMargin</f>
        <v>2415138.67723579</v>
      </c>
      <c r="BW50" s="40" t="n">
        <f aca="false">BW49*GOPMargin</f>
        <v>2501798.22944309</v>
      </c>
      <c r="BX50" s="40" t="n">
        <f aca="false">BX49*GOPMargin</f>
        <v>0</v>
      </c>
      <c r="BY50" s="40" t="n">
        <f aca="false">BY49*GOPMargin</f>
        <v>0</v>
      </c>
      <c r="BZ50" s="40" t="n">
        <f aca="false">BZ49*GOPMargin</f>
        <v>0</v>
      </c>
      <c r="CA50" s="40" t="n">
        <f aca="false">CA49*GOPMargin</f>
        <v>0</v>
      </c>
      <c r="CB50" s="40" t="n">
        <f aca="false">CB49*GOPMargin</f>
        <v>0</v>
      </c>
      <c r="CC50" s="40" t="n">
        <f aca="false">CC49*GOPMargin</f>
        <v>0</v>
      </c>
      <c r="CD50" s="40" t="n">
        <f aca="false">CD49*GOPMargin</f>
        <v>0</v>
      </c>
      <c r="CE50" s="40" t="n">
        <f aca="false">CE49*GOPMargin</f>
        <v>0</v>
      </c>
      <c r="CF50" s="40" t="n">
        <f aca="false">CF49*GOPMargin</f>
        <v>0</v>
      </c>
      <c r="CG50" s="40" t="n">
        <f aca="false">CG49*GOPMargin</f>
        <v>0</v>
      </c>
      <c r="CH50" s="40" t="n">
        <f aca="false">CH49*GOPMargin</f>
        <v>0</v>
      </c>
      <c r="CI50" s="40" t="n">
        <f aca="false">CI49*GOPMargin</f>
        <v>0</v>
      </c>
      <c r="CJ50" s="40" t="n">
        <f aca="false">CJ49*GOPMargin</f>
        <v>0</v>
      </c>
      <c r="CK50" s="40" t="n">
        <f aca="false">CK49*GOPMargin</f>
        <v>0</v>
      </c>
      <c r="CL50" s="40" t="n">
        <f aca="false">CL49*GOPMargin</f>
        <v>0</v>
      </c>
      <c r="CM50" s="40" t="n">
        <f aca="false">CM49*GOPMargin</f>
        <v>0</v>
      </c>
      <c r="CN50" s="40" t="n">
        <f aca="false">CN49*GOPMargin</f>
        <v>0</v>
      </c>
      <c r="CO50" s="40" t="n">
        <f aca="false">CO49*GOPMargin</f>
        <v>0</v>
      </c>
      <c r="CP50" s="40" t="n">
        <f aca="false">CP49*GOPMargin</f>
        <v>0</v>
      </c>
      <c r="CQ50" s="40" t="n">
        <f aca="false">CQ49*GOPMargin</f>
        <v>0</v>
      </c>
      <c r="CR50" s="40" t="n">
        <f aca="false">CR49*GOPMargin</f>
        <v>0</v>
      </c>
      <c r="CS50" s="40" t="n">
        <f aca="false">CS49*GOPMargin</f>
        <v>0</v>
      </c>
      <c r="CT50" s="40" t="n">
        <f aca="false">CT49*GOPMargin</f>
        <v>0</v>
      </c>
      <c r="CU50" s="40" t="n">
        <f aca="false">CU49*GOPMargin</f>
        <v>0</v>
      </c>
    </row>
    <row r="51" customFormat="false" ht="15" hidden="false" customHeight="false" outlineLevel="0" collapsed="false">
      <c r="A51" s="35" t="s">
        <v>140</v>
      </c>
      <c r="B51" s="26" t="n">
        <f aca="false">SUM(C51:CU51)</f>
        <v>10181509.2169461</v>
      </c>
      <c r="C51" s="40" t="n">
        <f aca="false">C49*FFE</f>
        <v>0</v>
      </c>
      <c r="D51" s="40" t="n">
        <f aca="false">D49*FFE</f>
        <v>0</v>
      </c>
      <c r="E51" s="40" t="n">
        <f aca="false">E49*FFE</f>
        <v>0</v>
      </c>
      <c r="F51" s="40" t="n">
        <f aca="false">F49*FFE</f>
        <v>0</v>
      </c>
      <c r="G51" s="40" t="n">
        <f aca="false">G49*FFE</f>
        <v>0</v>
      </c>
      <c r="H51" s="40" t="n">
        <f aca="false">H49*FFE</f>
        <v>0</v>
      </c>
      <c r="I51" s="40" t="n">
        <f aca="false">I49*FFE</f>
        <v>0</v>
      </c>
      <c r="J51" s="40" t="n">
        <f aca="false">J49*FFE</f>
        <v>0</v>
      </c>
      <c r="K51" s="40" t="n">
        <f aca="false">K49*FFE</f>
        <v>0</v>
      </c>
      <c r="L51" s="40" t="n">
        <f aca="false">L49*FFE</f>
        <v>0</v>
      </c>
      <c r="M51" s="40" t="n">
        <f aca="false">M49*FFE</f>
        <v>0</v>
      </c>
      <c r="N51" s="40" t="n">
        <f aca="false">N49*FFE</f>
        <v>0</v>
      </c>
      <c r="O51" s="40" t="n">
        <f aca="false">O49*FFE</f>
        <v>0</v>
      </c>
      <c r="P51" s="40" t="n">
        <f aca="false">P49*FFE</f>
        <v>0</v>
      </c>
      <c r="Q51" s="40" t="n">
        <f aca="false">Q49*FFE</f>
        <v>0</v>
      </c>
      <c r="R51" s="40" t="n">
        <f aca="false">R49*FFE</f>
        <v>0</v>
      </c>
      <c r="S51" s="40" t="n">
        <f aca="false">S49*FFE</f>
        <v>0</v>
      </c>
      <c r="T51" s="40" t="n">
        <f aca="false">T49*FFE</f>
        <v>0</v>
      </c>
      <c r="U51" s="40" t="n">
        <f aca="false">U49*FFE</f>
        <v>0</v>
      </c>
      <c r="V51" s="40" t="n">
        <f aca="false">V49*FFE</f>
        <v>0</v>
      </c>
      <c r="W51" s="40" t="n">
        <f aca="false">W49*FFE</f>
        <v>0</v>
      </c>
      <c r="X51" s="40" t="n">
        <f aca="false">X49*FFE</f>
        <v>0</v>
      </c>
      <c r="Y51" s="40" t="n">
        <f aca="false">Y49*FFE</f>
        <v>0</v>
      </c>
      <c r="Z51" s="40" t="n">
        <f aca="false">Z49*FFE</f>
        <v>0</v>
      </c>
      <c r="AA51" s="40" t="n">
        <f aca="false">AA49*FFE</f>
        <v>0</v>
      </c>
      <c r="AB51" s="40" t="n">
        <f aca="false">AB49*FFE</f>
        <v>0</v>
      </c>
      <c r="AC51" s="40" t="n">
        <f aca="false">AC49*FFE</f>
        <v>0</v>
      </c>
      <c r="AD51" s="40" t="n">
        <f aca="false">AD49*FFE</f>
        <v>0</v>
      </c>
      <c r="AE51" s="40" t="n">
        <f aca="false">AE49*FFE</f>
        <v>0</v>
      </c>
      <c r="AF51" s="40" t="n">
        <f aca="false">AF49*FFE</f>
        <v>0</v>
      </c>
      <c r="AG51" s="40" t="n">
        <f aca="false">AG49*FFE</f>
        <v>0</v>
      </c>
      <c r="AH51" s="40" t="n">
        <f aca="false">AH49*FFE</f>
        <v>151319.273327367</v>
      </c>
      <c r="AI51" s="40" t="n">
        <f aca="false">AI49*FFE</f>
        <v>156693.318053311</v>
      </c>
      <c r="AJ51" s="40" t="n">
        <f aca="false">AJ49*FFE</f>
        <v>156864.145228964</v>
      </c>
      <c r="AK51" s="40" t="n">
        <f aca="false">AK49*FFE</f>
        <v>167518.26289999</v>
      </c>
      <c r="AL51" s="40" t="n">
        <f aca="false">AL49*FFE</f>
        <v>167389.693908321</v>
      </c>
      <c r="AM51" s="40" t="n">
        <f aca="false">AM49*FFE</f>
        <v>178446.306620802</v>
      </c>
      <c r="AN51" s="40" t="n">
        <f aca="false">AN49*FFE</f>
        <v>183949.2260892</v>
      </c>
      <c r="AO51" s="40" t="n">
        <f aca="false">AO49*FFE</f>
        <v>171141.603186779</v>
      </c>
      <c r="AP51" s="40" t="n">
        <f aca="false">AP49*FFE</f>
        <v>195033.333998398</v>
      </c>
      <c r="AQ51" s="40" t="n">
        <f aca="false">AQ49*FFE</f>
        <v>194143.270519997</v>
      </c>
      <c r="AR51" s="40" t="n">
        <f aca="false">AR49*FFE</f>
        <v>206222.435827292</v>
      </c>
      <c r="AS51" s="40" t="n">
        <f aca="false">AS49*FFE</f>
        <v>205022.515028572</v>
      </c>
      <c r="AT51" s="40" t="n">
        <f aca="false">AT49*FFE</f>
        <v>217517.298285197</v>
      </c>
      <c r="AU51" s="40" t="n">
        <f aca="false">AU49*FFE</f>
        <v>223204.630716365</v>
      </c>
      <c r="AV51" s="40" t="n">
        <f aca="false">AV49*FFE</f>
        <v>221534.219122842</v>
      </c>
      <c r="AW51" s="40" t="n">
        <f aca="false">AW49*FFE</f>
        <v>234659.582670306</v>
      </c>
      <c r="AX51" s="40" t="n">
        <f aca="false">AX49*FFE</f>
        <v>232671.674532566</v>
      </c>
      <c r="AY51" s="40" t="n">
        <f aca="false">AY49*FFE</f>
        <v>246222.23402225</v>
      </c>
      <c r="AZ51" s="40" t="n">
        <f aca="false">AZ49*FFE</f>
        <v>252044.19189378</v>
      </c>
      <c r="BA51" s="40" t="n">
        <f aca="false">BA49*FFE</f>
        <v>232935.946337434</v>
      </c>
      <c r="BB51" s="40" t="n">
        <f aca="false">BB49*FFE</f>
        <v>263769.864667572</v>
      </c>
      <c r="BC51" s="40" t="n">
        <f aca="false">BC49*FFE</f>
        <v>260974.623473576</v>
      </c>
      <c r="BD51" s="40" t="n">
        <f aca="false">BD49*FFE</f>
        <v>275605.207418441</v>
      </c>
      <c r="BE51" s="40" t="n">
        <f aca="false">BE49*FFE</f>
        <v>272481.536102489</v>
      </c>
      <c r="BF51" s="40" t="n">
        <f aca="false">BF49*FFE</f>
        <v>282258.667381106</v>
      </c>
      <c r="BG51" s="40" t="n">
        <f aca="false">BG49*FFE</f>
        <v>282954.793400438</v>
      </c>
      <c r="BH51" s="40" t="n">
        <f aca="false">BH49*FFE</f>
        <v>274502.551213868</v>
      </c>
      <c r="BI51" s="40" t="n">
        <f aca="false">BI49*FFE</f>
        <v>284352.200176958</v>
      </c>
      <c r="BJ51" s="40" t="n">
        <f aca="false">BJ49*FFE</f>
        <v>275858.215560913</v>
      </c>
      <c r="BK51" s="40" t="n">
        <f aca="false">BK49*FFE</f>
        <v>285756.508217372</v>
      </c>
      <c r="BL51" s="40" t="n">
        <f aca="false">BL49*FFE</f>
        <v>286461.260855827</v>
      </c>
      <c r="BM51" s="40" t="n">
        <f aca="false">BM49*FFE</f>
        <v>268640.799887998</v>
      </c>
      <c r="BN51" s="40" t="n">
        <f aca="false">BN49*FFE</f>
        <v>287875.984749774</v>
      </c>
      <c r="BO51" s="40" t="n">
        <f aca="false">BO49*FFE</f>
        <v>279276.739924969</v>
      </c>
      <c r="BP51" s="40" t="n">
        <f aca="false">BP49*FFE</f>
        <v>289297.695430312</v>
      </c>
      <c r="BQ51" s="40" t="n">
        <f aca="false">BQ49*FFE</f>
        <v>280655.982185564</v>
      </c>
      <c r="BR51" s="40" t="n">
        <f aca="false">BR49*FFE</f>
        <v>290726.427402539</v>
      </c>
      <c r="BS51" s="40" t="n">
        <f aca="false">BS49*FFE</f>
        <v>291443.437202451</v>
      </c>
      <c r="BT51" s="40" t="n">
        <f aca="false">BT49*FFE</f>
        <v>282737.627750284</v>
      </c>
      <c r="BU51" s="40" t="n">
        <f aca="false">BU49*FFE</f>
        <v>292882.766182267</v>
      </c>
      <c r="BV51" s="40" t="n">
        <f aca="false">BV49*FFE</f>
        <v>284133.96202774</v>
      </c>
      <c r="BW51" s="40" t="n">
        <f aca="false">BW49*FFE</f>
        <v>294329.203463893</v>
      </c>
      <c r="BX51" s="40" t="n">
        <f aca="false">BX49*FFE</f>
        <v>0</v>
      </c>
      <c r="BY51" s="40" t="n">
        <f aca="false">BY49*FFE</f>
        <v>0</v>
      </c>
      <c r="BZ51" s="40" t="n">
        <f aca="false">BZ49*FFE</f>
        <v>0</v>
      </c>
      <c r="CA51" s="40" t="n">
        <f aca="false">CA49*FFE</f>
        <v>0</v>
      </c>
      <c r="CB51" s="40" t="n">
        <f aca="false">CB49*FFE</f>
        <v>0</v>
      </c>
      <c r="CC51" s="40" t="n">
        <f aca="false">CC49*FFE</f>
        <v>0</v>
      </c>
      <c r="CD51" s="40" t="n">
        <f aca="false">CD49*FFE</f>
        <v>0</v>
      </c>
      <c r="CE51" s="40" t="n">
        <f aca="false">CE49*FFE</f>
        <v>0</v>
      </c>
      <c r="CF51" s="40" t="n">
        <f aca="false">CF49*FFE</f>
        <v>0</v>
      </c>
      <c r="CG51" s="40" t="n">
        <f aca="false">CG49*FFE</f>
        <v>0</v>
      </c>
      <c r="CH51" s="40" t="n">
        <f aca="false">CH49*FFE</f>
        <v>0</v>
      </c>
      <c r="CI51" s="40" t="n">
        <f aca="false">CI49*FFE</f>
        <v>0</v>
      </c>
      <c r="CJ51" s="40" t="n">
        <f aca="false">CJ49*FFE</f>
        <v>0</v>
      </c>
      <c r="CK51" s="40" t="n">
        <f aca="false">CK49*FFE</f>
        <v>0</v>
      </c>
      <c r="CL51" s="40" t="n">
        <f aca="false">CL49*FFE</f>
        <v>0</v>
      </c>
      <c r="CM51" s="40" t="n">
        <f aca="false">CM49*FFE</f>
        <v>0</v>
      </c>
      <c r="CN51" s="40" t="n">
        <f aca="false">CN49*FFE</f>
        <v>0</v>
      </c>
      <c r="CO51" s="40" t="n">
        <f aca="false">CO49*FFE</f>
        <v>0</v>
      </c>
      <c r="CP51" s="40" t="n">
        <f aca="false">CP49*FFE</f>
        <v>0</v>
      </c>
      <c r="CQ51" s="40" t="n">
        <f aca="false">CQ49*FFE</f>
        <v>0</v>
      </c>
      <c r="CR51" s="40" t="n">
        <f aca="false">CR49*FFE</f>
        <v>0</v>
      </c>
      <c r="CS51" s="40" t="n">
        <f aca="false">CS49*FFE</f>
        <v>0</v>
      </c>
      <c r="CT51" s="40" t="n">
        <f aca="false">CT49*FFE</f>
        <v>0</v>
      </c>
      <c r="CU51" s="40" t="n">
        <f aca="false">CU49*FFE</f>
        <v>0</v>
      </c>
    </row>
    <row r="52" customFormat="false" ht="15" hidden="false" customHeight="false" outlineLevel="0" collapsed="false">
      <c r="A52" s="15" t="s">
        <v>141</v>
      </c>
      <c r="B52" s="26" t="n">
        <f aca="false">SUM(C52:CU52)</f>
        <v>76361319.1270956</v>
      </c>
      <c r="C52" s="26" t="n">
        <f aca="false">C50-C51</f>
        <v>0</v>
      </c>
      <c r="D52" s="26" t="n">
        <f aca="false">D50-D51</f>
        <v>0</v>
      </c>
      <c r="E52" s="26" t="n">
        <f aca="false">E50-E51</f>
        <v>0</v>
      </c>
      <c r="F52" s="26" t="n">
        <f aca="false">F50-F51</f>
        <v>0</v>
      </c>
      <c r="G52" s="26" t="n">
        <f aca="false">G50-G51</f>
        <v>0</v>
      </c>
      <c r="H52" s="26" t="n">
        <f aca="false">H50-H51</f>
        <v>0</v>
      </c>
      <c r="I52" s="26" t="n">
        <f aca="false">I50-I51</f>
        <v>0</v>
      </c>
      <c r="J52" s="26" t="n">
        <f aca="false">J50-J51</f>
        <v>0</v>
      </c>
      <c r="K52" s="26" t="n">
        <f aca="false">K50-K51</f>
        <v>0</v>
      </c>
      <c r="L52" s="26" t="n">
        <f aca="false">L50-L51</f>
        <v>0</v>
      </c>
      <c r="M52" s="26" t="n">
        <f aca="false">M50-M51</f>
        <v>0</v>
      </c>
      <c r="N52" s="26" t="n">
        <f aca="false">N50-N51</f>
        <v>0</v>
      </c>
      <c r="O52" s="26" t="n">
        <f aca="false">O50-O51</f>
        <v>0</v>
      </c>
      <c r="P52" s="26" t="n">
        <f aca="false">P50-P51</f>
        <v>0</v>
      </c>
      <c r="Q52" s="26" t="n">
        <f aca="false">Q50-Q51</f>
        <v>0</v>
      </c>
      <c r="R52" s="26" t="n">
        <f aca="false">R50-R51</f>
        <v>0</v>
      </c>
      <c r="S52" s="26" t="n">
        <f aca="false">S50-S51</f>
        <v>0</v>
      </c>
      <c r="T52" s="26" t="n">
        <f aca="false">T50-T51</f>
        <v>0</v>
      </c>
      <c r="U52" s="26" t="n">
        <f aca="false">U50-U51</f>
        <v>0</v>
      </c>
      <c r="V52" s="26" t="n">
        <f aca="false">V50-V51</f>
        <v>0</v>
      </c>
      <c r="W52" s="26" t="n">
        <f aca="false">W50-W51</f>
        <v>0</v>
      </c>
      <c r="X52" s="26" t="n">
        <f aca="false">X50-X51</f>
        <v>0</v>
      </c>
      <c r="Y52" s="26" t="n">
        <f aca="false">Y50-Y51</f>
        <v>0</v>
      </c>
      <c r="Z52" s="26" t="n">
        <f aca="false">Z50-Z51</f>
        <v>0</v>
      </c>
      <c r="AA52" s="26" t="n">
        <f aca="false">AA50-AA51</f>
        <v>0</v>
      </c>
      <c r="AB52" s="26" t="n">
        <f aca="false">AB50-AB51</f>
        <v>0</v>
      </c>
      <c r="AC52" s="26" t="n">
        <f aca="false">AC50-AC51</f>
        <v>0</v>
      </c>
      <c r="AD52" s="26" t="n">
        <f aca="false">AD50-AD51</f>
        <v>0</v>
      </c>
      <c r="AE52" s="26" t="n">
        <f aca="false">AE50-AE51</f>
        <v>0</v>
      </c>
      <c r="AF52" s="26" t="n">
        <f aca="false">AF50-AF51</f>
        <v>0</v>
      </c>
      <c r="AG52" s="26" t="n">
        <f aca="false">AG50-AG51</f>
        <v>0</v>
      </c>
      <c r="AH52" s="26" t="n">
        <f aca="false">AH50-AH51</f>
        <v>1134894.54995525</v>
      </c>
      <c r="AI52" s="26" t="n">
        <f aca="false">AI50-AI51</f>
        <v>1175199.88539983</v>
      </c>
      <c r="AJ52" s="26" t="n">
        <f aca="false">AJ50-AJ51</f>
        <v>1176481.08921723</v>
      </c>
      <c r="AK52" s="26" t="n">
        <f aca="false">AK50-AK51</f>
        <v>1256386.97174992</v>
      </c>
      <c r="AL52" s="26" t="n">
        <f aca="false">AL50-AL51</f>
        <v>1255422.70431241</v>
      </c>
      <c r="AM52" s="26" t="n">
        <f aca="false">AM50-AM51</f>
        <v>1338347.29965601</v>
      </c>
      <c r="AN52" s="26" t="n">
        <f aca="false">AN50-AN51</f>
        <v>1379619.195669</v>
      </c>
      <c r="AO52" s="26" t="n">
        <f aca="false">AO50-AO51</f>
        <v>1283562.02390084</v>
      </c>
      <c r="AP52" s="26" t="n">
        <f aca="false">AP50-AP51</f>
        <v>1462750.00498798</v>
      </c>
      <c r="AQ52" s="26" t="n">
        <f aca="false">AQ50-AQ51</f>
        <v>1456074.52889998</v>
      </c>
      <c r="AR52" s="26" t="n">
        <f aca="false">AR50-AR51</f>
        <v>1546668.26870469</v>
      </c>
      <c r="AS52" s="26" t="n">
        <f aca="false">AS50-AS51</f>
        <v>1537668.86271429</v>
      </c>
      <c r="AT52" s="26" t="n">
        <f aca="false">AT50-AT51</f>
        <v>1631379.73713897</v>
      </c>
      <c r="AU52" s="26" t="n">
        <f aca="false">AU50-AU51</f>
        <v>1674034.73037274</v>
      </c>
      <c r="AV52" s="26" t="n">
        <f aca="false">AV50-AV51</f>
        <v>1661506.64342132</v>
      </c>
      <c r="AW52" s="26" t="n">
        <f aca="false">AW50-AW51</f>
        <v>1759946.87002729</v>
      </c>
      <c r="AX52" s="26" t="n">
        <f aca="false">AX50-AX51</f>
        <v>1745037.55899424</v>
      </c>
      <c r="AY52" s="26" t="n">
        <f aca="false">AY50-AY51</f>
        <v>1846666.75516687</v>
      </c>
      <c r="AZ52" s="26" t="n">
        <f aca="false">AZ50-AZ51</f>
        <v>1890331.43920335</v>
      </c>
      <c r="BA52" s="26" t="n">
        <f aca="false">BA50-BA51</f>
        <v>1747019.59753076</v>
      </c>
      <c r="BB52" s="26" t="n">
        <f aca="false">BB50-BB51</f>
        <v>1978273.98500679</v>
      </c>
      <c r="BC52" s="26" t="n">
        <f aca="false">BC50-BC51</f>
        <v>1957309.67605182</v>
      </c>
      <c r="BD52" s="26" t="n">
        <f aca="false">BD50-BD51</f>
        <v>2067039.0556383</v>
      </c>
      <c r="BE52" s="26" t="n">
        <f aca="false">BE50-BE51</f>
        <v>2043611.52076867</v>
      </c>
      <c r="BF52" s="26" t="n">
        <f aca="false">BF50-BF51</f>
        <v>2116940.00535829</v>
      </c>
      <c r="BG52" s="26" t="n">
        <f aca="false">BG50-BG51</f>
        <v>2122160.95050329</v>
      </c>
      <c r="BH52" s="26" t="n">
        <f aca="false">BH50-BH51</f>
        <v>2058769.13410401</v>
      </c>
      <c r="BI52" s="26" t="n">
        <f aca="false">BI50-BI51</f>
        <v>2132641.50132719</v>
      </c>
      <c r="BJ52" s="26" t="n">
        <f aca="false">BJ50-BJ51</f>
        <v>2068936.61670684</v>
      </c>
      <c r="BK52" s="26" t="n">
        <f aca="false">BK50-BK51</f>
        <v>2143173.81163029</v>
      </c>
      <c r="BL52" s="26" t="n">
        <f aca="false">BL50-BL51</f>
        <v>2148459.4564187</v>
      </c>
      <c r="BM52" s="26" t="n">
        <f aca="false">BM50-BM51</f>
        <v>2014805.99915999</v>
      </c>
      <c r="BN52" s="26" t="n">
        <f aca="false">BN50-BN51</f>
        <v>2159069.88562331</v>
      </c>
      <c r="BO52" s="26" t="n">
        <f aca="false">BO50-BO51</f>
        <v>2094575.54943727</v>
      </c>
      <c r="BP52" s="26" t="n">
        <f aca="false">BP50-BP51</f>
        <v>2169732.71572734</v>
      </c>
      <c r="BQ52" s="26" t="n">
        <f aca="false">BQ50-BQ51</f>
        <v>2104919.86639173</v>
      </c>
      <c r="BR52" s="26" t="n">
        <f aca="false">BR50-BR51</f>
        <v>2180448.20551904</v>
      </c>
      <c r="BS52" s="26" t="n">
        <f aca="false">BS50-BS51</f>
        <v>2185825.77901839</v>
      </c>
      <c r="BT52" s="26" t="n">
        <f aca="false">BT50-BT51</f>
        <v>2120532.20812713</v>
      </c>
      <c r="BU52" s="26" t="n">
        <f aca="false">BU50-BU51</f>
        <v>2196620.746367</v>
      </c>
      <c r="BV52" s="26" t="n">
        <f aca="false">BV50-BV51</f>
        <v>2131004.71520805</v>
      </c>
      <c r="BW52" s="26" t="n">
        <f aca="false">BW50-BW51</f>
        <v>2207469.0259792</v>
      </c>
      <c r="BX52" s="26" t="n">
        <f aca="false">BX50-BX51</f>
        <v>0</v>
      </c>
      <c r="BY52" s="26" t="n">
        <f aca="false">BY50-BY51</f>
        <v>0</v>
      </c>
      <c r="BZ52" s="26" t="n">
        <f aca="false">BZ50-BZ51</f>
        <v>0</v>
      </c>
      <c r="CA52" s="26" t="n">
        <f aca="false">CA50-CA51</f>
        <v>0</v>
      </c>
      <c r="CB52" s="26" t="n">
        <f aca="false">CB50-CB51</f>
        <v>0</v>
      </c>
      <c r="CC52" s="26" t="n">
        <f aca="false">CC50-CC51</f>
        <v>0</v>
      </c>
      <c r="CD52" s="26" t="n">
        <f aca="false">CD50-CD51</f>
        <v>0</v>
      </c>
      <c r="CE52" s="26" t="n">
        <f aca="false">CE50-CE51</f>
        <v>0</v>
      </c>
      <c r="CF52" s="26" t="n">
        <f aca="false">CF50-CF51</f>
        <v>0</v>
      </c>
      <c r="CG52" s="26" t="n">
        <f aca="false">CG50-CG51</f>
        <v>0</v>
      </c>
      <c r="CH52" s="26" t="n">
        <f aca="false">CH50-CH51</f>
        <v>0</v>
      </c>
      <c r="CI52" s="26" t="n">
        <f aca="false">CI50-CI51</f>
        <v>0</v>
      </c>
      <c r="CJ52" s="26" t="n">
        <f aca="false">CJ50-CJ51</f>
        <v>0</v>
      </c>
      <c r="CK52" s="26" t="n">
        <f aca="false">CK50-CK51</f>
        <v>0</v>
      </c>
      <c r="CL52" s="26" t="n">
        <f aca="false">CL50-CL51</f>
        <v>0</v>
      </c>
      <c r="CM52" s="26" t="n">
        <f aca="false">CM50-CM51</f>
        <v>0</v>
      </c>
      <c r="CN52" s="26" t="n">
        <f aca="false">CN50-CN51</f>
        <v>0</v>
      </c>
      <c r="CO52" s="26" t="n">
        <f aca="false">CO50-CO51</f>
        <v>0</v>
      </c>
      <c r="CP52" s="26" t="n">
        <f aca="false">CP50-CP51</f>
        <v>0</v>
      </c>
      <c r="CQ52" s="26" t="n">
        <f aca="false">CQ50-CQ51</f>
        <v>0</v>
      </c>
      <c r="CR52" s="26" t="n">
        <f aca="false">CR50-CR51</f>
        <v>0</v>
      </c>
      <c r="CS52" s="26" t="n">
        <f aca="false">CS50-CS51</f>
        <v>0</v>
      </c>
      <c r="CT52" s="26" t="n">
        <f aca="false">CT50-CT51</f>
        <v>0</v>
      </c>
      <c r="CU52" s="26" t="n">
        <f aca="false">CU50-CU51</f>
        <v>0</v>
      </c>
    </row>
    <row r="54" customFormat="false" ht="15" hidden="false" customHeight="false" outlineLevel="0" collapsed="false">
      <c r="A54" s="19" t="s">
        <v>79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customFormat="false" ht="15" hidden="false" customHeight="false" outlineLevel="0" collapsed="false">
      <c r="A55" s="35" t="s">
        <v>142</v>
      </c>
      <c r="B55" s="26" t="n">
        <f aca="false">SUM(C55:CU55)</f>
        <v>8281388331.84612</v>
      </c>
      <c r="C55" s="40" t="n">
        <f aca="false">IF(C14=1,SUM(C45:C45)*(1+RentGrowth)/ExitYield,0)</f>
        <v>0</v>
      </c>
      <c r="D55" s="40" t="n">
        <f aca="false">IF(D14=1,SUM(C45:D45)*(1+RentGrowth)/ExitYield,0)</f>
        <v>0</v>
      </c>
      <c r="E55" s="40" t="n">
        <f aca="false">IF(E14=1,SUM(C45:E45)*(1+RentGrowth)/ExitYield,0)</f>
        <v>0</v>
      </c>
      <c r="F55" s="40" t="n">
        <f aca="false">IF(F14=1,SUM(C45:F45)*(1+RentGrowth)/ExitYield,0)</f>
        <v>0</v>
      </c>
      <c r="G55" s="40" t="n">
        <f aca="false">IF(G14=1,SUM(C45:G45)*(1+RentGrowth)/ExitYield,0)</f>
        <v>0</v>
      </c>
      <c r="H55" s="40" t="n">
        <f aca="false">IF(H14=1,SUM(C45:H45)*(1+RentGrowth)/ExitYield,0)</f>
        <v>0</v>
      </c>
      <c r="I55" s="40" t="n">
        <f aca="false">IF(I14=1,SUM(C45:I45)*(1+RentGrowth)/ExitYield,0)</f>
        <v>0</v>
      </c>
      <c r="J55" s="40" t="n">
        <f aca="false">IF(J14=1,SUM(C45:J45)*(1+RentGrowth)/ExitYield,0)</f>
        <v>0</v>
      </c>
      <c r="K55" s="40" t="n">
        <f aca="false">IF(K14=1,SUM(C45:K45)*(1+RentGrowth)/ExitYield,0)</f>
        <v>0</v>
      </c>
      <c r="L55" s="40" t="n">
        <f aca="false">IF(L14=1,SUM(C45:L45)*(1+RentGrowth)/ExitYield,0)</f>
        <v>0</v>
      </c>
      <c r="M55" s="40" t="n">
        <f aca="false">IF(M14=1,SUM(C45:M45)*(1+RentGrowth)/ExitYield,0)</f>
        <v>0</v>
      </c>
      <c r="N55" s="40" t="n">
        <f aca="false">IF(N14=1,SUM(C45:N45)*(1+RentGrowth)/ExitYield,0)</f>
        <v>0</v>
      </c>
      <c r="O55" s="40" t="n">
        <f aca="false">IF(O14=1,SUM(D45:O45)*(1+RentGrowth)/ExitYield,0)</f>
        <v>0</v>
      </c>
      <c r="P55" s="40" t="n">
        <f aca="false">IF(P14=1,SUM(E45:P45)*(1+RentGrowth)/ExitYield,0)</f>
        <v>0</v>
      </c>
      <c r="Q55" s="40" t="n">
        <f aca="false">IF(Q14=1,SUM(F45:Q45)*(1+RentGrowth)/ExitYield,0)</f>
        <v>0</v>
      </c>
      <c r="R55" s="40" t="n">
        <f aca="false">IF(R14=1,SUM(G45:R45)*(1+RentGrowth)/ExitYield,0)</f>
        <v>0</v>
      </c>
      <c r="S55" s="40" t="n">
        <f aca="false">IF(S14=1,SUM(H45:S45)*(1+RentGrowth)/ExitYield,0)</f>
        <v>0</v>
      </c>
      <c r="T55" s="40" t="n">
        <f aca="false">IF(T14=1,SUM(I45:T45)*(1+RentGrowth)/ExitYield,0)</f>
        <v>0</v>
      </c>
      <c r="U55" s="40" t="n">
        <f aca="false">IF(U14=1,SUM(J45:U45)*(1+RentGrowth)/ExitYield,0)</f>
        <v>0</v>
      </c>
      <c r="V55" s="40" t="n">
        <f aca="false">IF(V14=1,SUM(K45:V45)*(1+RentGrowth)/ExitYield,0)</f>
        <v>0</v>
      </c>
      <c r="W55" s="40" t="n">
        <f aca="false">IF(W14=1,SUM(L45:W45)*(1+RentGrowth)/ExitYield,0)</f>
        <v>0</v>
      </c>
      <c r="X55" s="40" t="n">
        <f aca="false">IF(X14=1,SUM(M45:X45)*(1+RentGrowth)/ExitYield,0)</f>
        <v>0</v>
      </c>
      <c r="Y55" s="40" t="n">
        <f aca="false">IF(Y14=1,SUM(N45:Y45)*(1+RentGrowth)/ExitYield,0)</f>
        <v>0</v>
      </c>
      <c r="Z55" s="40" t="n">
        <f aca="false">IF(Z14=1,SUM(O45:Z45)*(1+RentGrowth)/ExitYield,0)</f>
        <v>0</v>
      </c>
      <c r="AA55" s="40" t="n">
        <f aca="false">IF(AA14=1,SUM(P45:AA45)*(1+RentGrowth)/ExitYield,0)</f>
        <v>0</v>
      </c>
      <c r="AB55" s="40" t="n">
        <f aca="false">IF(AB14=1,SUM(Q45:AB45)*(1+RentGrowth)/ExitYield,0)</f>
        <v>0</v>
      </c>
      <c r="AC55" s="40" t="n">
        <f aca="false">IF(AC14=1,SUM(R45:AC45)*(1+RentGrowth)/ExitYield,0)</f>
        <v>0</v>
      </c>
      <c r="AD55" s="40" t="n">
        <f aca="false">IF(AD14=1,SUM(S45:AD45)*(1+RentGrowth)/ExitYield,0)</f>
        <v>0</v>
      </c>
      <c r="AE55" s="40" t="n">
        <f aca="false">IF(AE14=1,SUM(T45:AE45)*(1+RentGrowth)/ExitYield,0)</f>
        <v>0</v>
      </c>
      <c r="AF55" s="40" t="n">
        <f aca="false">IF(AF14=1,SUM(U45:AF45)*(1+RentGrowth)/ExitYield,0)</f>
        <v>0</v>
      </c>
      <c r="AG55" s="40" t="n">
        <f aca="false">IF(AG14=1,SUM(V45:AG45)*(1+RentGrowth)/ExitYield,0)</f>
        <v>0</v>
      </c>
      <c r="AH55" s="40" t="n">
        <f aca="false">IF(AH14=1,SUM(W45:AH45)*(1+RentGrowth)/ExitYield,0)</f>
        <v>0</v>
      </c>
      <c r="AI55" s="40" t="n">
        <f aca="false">IF(AI14=1,SUM(X45:AI45)*(1+RentGrowth)/ExitYield,0)</f>
        <v>0</v>
      </c>
      <c r="AJ55" s="40" t="n">
        <f aca="false">IF(AJ14=1,SUM(Y45:AJ45)*(1+RentGrowth)/ExitYield,0)</f>
        <v>0</v>
      </c>
      <c r="AK55" s="40" t="n">
        <f aca="false">IF(AK14=1,SUM(Z45:AK45)*(1+RentGrowth)/ExitYield,0)</f>
        <v>0</v>
      </c>
      <c r="AL55" s="40" t="n">
        <f aca="false">IF(AL14=1,SUM(AA45:AL45)*(1+RentGrowth)/ExitYield,0)</f>
        <v>0</v>
      </c>
      <c r="AM55" s="40" t="n">
        <f aca="false">IF(AM14=1,SUM(AB45:AM45)*(1+RentGrowth)/ExitYield,0)</f>
        <v>0</v>
      </c>
      <c r="AN55" s="40" t="n">
        <f aca="false">IF(AN14=1,SUM(AC45:AN45)*(1+RentGrowth)/ExitYield,0)</f>
        <v>0</v>
      </c>
      <c r="AO55" s="40" t="n">
        <f aca="false">IF(AO14=1,SUM(AD45:AO45)*(1+RentGrowth)/ExitYield,0)</f>
        <v>0</v>
      </c>
      <c r="AP55" s="40" t="n">
        <f aca="false">IF(AP14=1,SUM(AE45:AP45)*(1+RentGrowth)/ExitYield,0)</f>
        <v>0</v>
      </c>
      <c r="AQ55" s="40" t="n">
        <f aca="false">IF(AQ14=1,SUM(AF45:AQ45)*(1+RentGrowth)/ExitYield,0)</f>
        <v>0</v>
      </c>
      <c r="AR55" s="40" t="n">
        <f aca="false">IF(AR14=1,SUM(AG45:AR45)*(1+RentGrowth)/ExitYield,0)</f>
        <v>0</v>
      </c>
      <c r="AS55" s="40" t="n">
        <f aca="false">IF(AS14=1,SUM(AH45:AS45)*(1+RentGrowth)/ExitYield,0)</f>
        <v>0</v>
      </c>
      <c r="AT55" s="40" t="n">
        <f aca="false">IF(AT14=1,SUM(AI45:AT45)*(1+RentGrowth)/ExitYield,0)</f>
        <v>0</v>
      </c>
      <c r="AU55" s="40" t="n">
        <f aca="false">IF(AU14=1,SUM(AJ45:AU45)*(1+RentGrowth)/ExitYield,0)</f>
        <v>0</v>
      </c>
      <c r="AV55" s="40" t="n">
        <f aca="false">IF(AV14=1,SUM(AK45:AV45)*(1+RentGrowth)/ExitYield,0)</f>
        <v>0</v>
      </c>
      <c r="AW55" s="40" t="n">
        <f aca="false">IF(AW14=1,SUM(AL45:AW45)*(1+RentGrowth)/ExitYield,0)</f>
        <v>0</v>
      </c>
      <c r="AX55" s="40" t="n">
        <f aca="false">IF(AX14=1,SUM(AM45:AX45)*(1+RentGrowth)/ExitYield,0)</f>
        <v>0</v>
      </c>
      <c r="AY55" s="40" t="n">
        <f aca="false">IF(AY14=1,SUM(AN45:AY45)*(1+RentGrowth)/ExitYield,0)</f>
        <v>0</v>
      </c>
      <c r="AZ55" s="40" t="n">
        <f aca="false">IF(AZ14=1,SUM(AO45:AZ45)*(1+RentGrowth)/ExitYield,0)</f>
        <v>0</v>
      </c>
      <c r="BA55" s="40" t="n">
        <f aca="false">IF(BA14=1,SUM(AP45:BA45)*(1+RentGrowth)/ExitYield,0)</f>
        <v>0</v>
      </c>
      <c r="BB55" s="40" t="n">
        <f aca="false">IF(BB14=1,SUM(AQ45:BB45)*(1+RentGrowth)/ExitYield,0)</f>
        <v>0</v>
      </c>
      <c r="BC55" s="40" t="n">
        <f aca="false">IF(BC14=1,SUM(AR45:BC45)*(1+RentGrowth)/ExitYield,0)</f>
        <v>0</v>
      </c>
      <c r="BD55" s="40" t="n">
        <f aca="false">IF(BD14=1,SUM(AS45:BD45)*(1+RentGrowth)/ExitYield,0)</f>
        <v>0</v>
      </c>
      <c r="BE55" s="40" t="n">
        <f aca="false">IF(BE14=1,SUM(AT45:BE45)*(1+RentGrowth)/ExitYield,0)</f>
        <v>0</v>
      </c>
      <c r="BF55" s="40" t="n">
        <f aca="false">IF(BF14=1,SUM(AU45:BF45)*(1+RentGrowth)/ExitYield,0)</f>
        <v>0</v>
      </c>
      <c r="BG55" s="40" t="n">
        <f aca="false">IF(BG14=1,SUM(AV45:BG45)*(1+RentGrowth)/ExitYield,0)</f>
        <v>0</v>
      </c>
      <c r="BH55" s="40" t="n">
        <f aca="false">IF(BH14=1,SUM(AW45:BH45)*(1+RentGrowth)/ExitYield,0)</f>
        <v>0</v>
      </c>
      <c r="BI55" s="40" t="n">
        <f aca="false">IF(BI14=1,SUM(AX45:BI45)*(1+RentGrowth)/ExitYield,0)</f>
        <v>0</v>
      </c>
      <c r="BJ55" s="40" t="n">
        <f aca="false">IF(BJ14=1,SUM(AY45:BJ45)*(1+RentGrowth)/ExitYield,0)</f>
        <v>0</v>
      </c>
      <c r="BK55" s="40" t="n">
        <f aca="false">IF(BK14=1,SUM(AZ45:BK45)*(1+RentGrowth)/ExitYield,0)</f>
        <v>0</v>
      </c>
      <c r="BL55" s="40" t="n">
        <f aca="false">IF(BL14=1,SUM(BA45:BL45)*(1+RentGrowth)/ExitYield,0)</f>
        <v>0</v>
      </c>
      <c r="BM55" s="40" t="n">
        <f aca="false">IF(BM14=1,SUM(BB45:BM45)*(1+RentGrowth)/ExitYield,0)</f>
        <v>0</v>
      </c>
      <c r="BN55" s="40" t="n">
        <f aca="false">IF(BN14=1,SUM(BC45:BN45)*(1+RentGrowth)/ExitYield,0)</f>
        <v>0</v>
      </c>
      <c r="BO55" s="40" t="n">
        <f aca="false">IF(BO14=1,SUM(BD45:BO45)*(1+RentGrowth)/ExitYield,0)</f>
        <v>0</v>
      </c>
      <c r="BP55" s="40" t="n">
        <f aca="false">IF(BP14=1,SUM(BE45:BP45)*(1+RentGrowth)/ExitYield,0)</f>
        <v>0</v>
      </c>
      <c r="BQ55" s="40" t="n">
        <f aca="false">IF(BQ14=1,SUM(BF45:BQ45)*(1+RentGrowth)/ExitYield,0)</f>
        <v>0</v>
      </c>
      <c r="BR55" s="40" t="n">
        <f aca="false">IF(BR14=1,SUM(BG45:BR45)*(1+RentGrowth)/ExitYield,0)</f>
        <v>0</v>
      </c>
      <c r="BS55" s="40" t="n">
        <f aca="false">IF(BS14=1,SUM(BH45:BS45)*(1+RentGrowth)/ExitYield,0)</f>
        <v>0</v>
      </c>
      <c r="BT55" s="40" t="n">
        <f aca="false">IF(BT14=1,SUM(BI45:BT45)*(1+RentGrowth)/ExitYield,0)</f>
        <v>0</v>
      </c>
      <c r="BU55" s="40" t="n">
        <f aca="false">IF(BU14=1,SUM(BJ45:BU45)*(1+RentGrowth)/ExitYield,0)</f>
        <v>0</v>
      </c>
      <c r="BV55" s="40" t="n">
        <f aca="false">IF(BV14=1,SUM(BK45:BV45)*(1+RentGrowth)/ExitYield,0)</f>
        <v>0</v>
      </c>
      <c r="BW55" s="40" t="n">
        <f aca="false">IF(BW14=1,SUM(BL45:BW45)*(1+RentGrowth)/ExitYield,0)</f>
        <v>8281388331.84612</v>
      </c>
      <c r="BX55" s="40" t="n">
        <f aca="false">IF(BX14=1,SUM(BM45:BX45)*(1+RentGrowth)/ExitYield,0)</f>
        <v>0</v>
      </c>
      <c r="BY55" s="40" t="n">
        <f aca="false">IF(BY14=1,SUM(BN45:BY45)*(1+RentGrowth)/ExitYield,0)</f>
        <v>0</v>
      </c>
      <c r="BZ55" s="40" t="n">
        <f aca="false">IF(BZ14=1,SUM(BO45:BZ45)*(1+RentGrowth)/ExitYield,0)</f>
        <v>0</v>
      </c>
      <c r="CA55" s="40" t="n">
        <f aca="false">IF(CA14=1,SUM(BP45:CA45)*(1+RentGrowth)/ExitYield,0)</f>
        <v>0</v>
      </c>
      <c r="CB55" s="40" t="n">
        <f aca="false">IF(CB14=1,SUM(BQ45:CB45)*(1+RentGrowth)/ExitYield,0)</f>
        <v>0</v>
      </c>
      <c r="CC55" s="40" t="n">
        <f aca="false">IF(CC14=1,SUM(BR45:CC45)*(1+RentGrowth)/ExitYield,0)</f>
        <v>0</v>
      </c>
      <c r="CD55" s="40" t="n">
        <f aca="false">IF(CD14=1,SUM(BS45:CD45)*(1+RentGrowth)/ExitYield,0)</f>
        <v>0</v>
      </c>
      <c r="CE55" s="40" t="n">
        <f aca="false">IF(CE14=1,SUM(BT45:CE45)*(1+RentGrowth)/ExitYield,0)</f>
        <v>0</v>
      </c>
      <c r="CF55" s="40" t="n">
        <f aca="false">IF(CF14=1,SUM(BU45:CF45)*(1+RentGrowth)/ExitYield,0)</f>
        <v>0</v>
      </c>
      <c r="CG55" s="40" t="n">
        <f aca="false">IF(CG14=1,SUM(BV45:CG45)*(1+RentGrowth)/ExitYield,0)</f>
        <v>0</v>
      </c>
      <c r="CH55" s="40" t="n">
        <f aca="false">IF(CH14=1,SUM(BW45:CH45)*(1+RentGrowth)/ExitYield,0)</f>
        <v>0</v>
      </c>
      <c r="CI55" s="40" t="n">
        <f aca="false">IF(CI14=1,SUM(BX45:CI45)*(1+RentGrowth)/ExitYield,0)</f>
        <v>0</v>
      </c>
      <c r="CJ55" s="40" t="n">
        <f aca="false">IF(CJ14=1,SUM(BY45:CJ45)*(1+RentGrowth)/ExitYield,0)</f>
        <v>0</v>
      </c>
      <c r="CK55" s="40" t="n">
        <f aca="false">IF(CK14=1,SUM(BZ45:CK45)*(1+RentGrowth)/ExitYield,0)</f>
        <v>0</v>
      </c>
      <c r="CL55" s="40" t="n">
        <f aca="false">IF(CL14=1,SUM(CA45:CL45)*(1+RentGrowth)/ExitYield,0)</f>
        <v>0</v>
      </c>
      <c r="CM55" s="40" t="n">
        <f aca="false">IF(CM14=1,SUM(CB45:CM45)*(1+RentGrowth)/ExitYield,0)</f>
        <v>0</v>
      </c>
      <c r="CN55" s="40" t="n">
        <f aca="false">IF(CN14=1,SUM(CC45:CN45)*(1+RentGrowth)/ExitYield,0)</f>
        <v>0</v>
      </c>
      <c r="CO55" s="40" t="n">
        <f aca="false">IF(CO14=1,SUM(CD45:CO45)*(1+RentGrowth)/ExitYield,0)</f>
        <v>0</v>
      </c>
      <c r="CP55" s="40" t="n">
        <f aca="false">IF(CP14=1,SUM(CE45:CP45)*(1+RentGrowth)/ExitYield,0)</f>
        <v>0</v>
      </c>
      <c r="CQ55" s="40" t="n">
        <f aca="false">IF(CQ14=1,SUM(CF45:CQ45)*(1+RentGrowth)/ExitYield,0)</f>
        <v>0</v>
      </c>
      <c r="CR55" s="40" t="n">
        <f aca="false">IF(CR14=1,SUM(CG45:CR45)*(1+RentGrowth)/ExitYield,0)</f>
        <v>0</v>
      </c>
      <c r="CS55" s="40" t="n">
        <f aca="false">IF(CS14=1,SUM(CH45:CS45)*(1+RentGrowth)/ExitYield,0)</f>
        <v>0</v>
      </c>
      <c r="CT55" s="40" t="n">
        <f aca="false">IF(CT14=1,SUM(CI45:CT45)*(1+RentGrowth)/ExitYield,0)</f>
        <v>0</v>
      </c>
      <c r="CU55" s="40" t="n">
        <f aca="false">IF(CU14=1,SUM(CJ45:CU45)*(1+RentGrowth)/ExitYield,0)</f>
        <v>0</v>
      </c>
    </row>
    <row r="56" customFormat="false" ht="15" hidden="false" customHeight="false" outlineLevel="0" collapsed="false">
      <c r="A56" s="35" t="s">
        <v>143</v>
      </c>
      <c r="B56" s="26" t="n">
        <f aca="false">SUM(C56:CU56)</f>
        <v>282848105.682749</v>
      </c>
      <c r="C56" s="40" t="n">
        <f aca="false">IF(C14=1,SUM(C52:C52)*HotelMult,0)</f>
        <v>0</v>
      </c>
      <c r="D56" s="40" t="n">
        <f aca="false">IF(D14=1,SUM(C52:D52)*HotelMult,0)</f>
        <v>0</v>
      </c>
      <c r="E56" s="40" t="n">
        <f aca="false">IF(E14=1,SUM(C52:E52)*HotelMult,0)</f>
        <v>0</v>
      </c>
      <c r="F56" s="40" t="n">
        <f aca="false">IF(F14=1,SUM(C52:F52)*HotelMult,0)</f>
        <v>0</v>
      </c>
      <c r="G56" s="40" t="n">
        <f aca="false">IF(G14=1,SUM(C52:G52)*HotelMult,0)</f>
        <v>0</v>
      </c>
      <c r="H56" s="40" t="n">
        <f aca="false">IF(H14=1,SUM(C52:H52)*HotelMult,0)</f>
        <v>0</v>
      </c>
      <c r="I56" s="40" t="n">
        <f aca="false">IF(I14=1,SUM(C52:I52)*HotelMult,0)</f>
        <v>0</v>
      </c>
      <c r="J56" s="40" t="n">
        <f aca="false">IF(J14=1,SUM(C52:J52)*HotelMult,0)</f>
        <v>0</v>
      </c>
      <c r="K56" s="40" t="n">
        <f aca="false">IF(K14=1,SUM(C52:K52)*HotelMult,0)</f>
        <v>0</v>
      </c>
      <c r="L56" s="40" t="n">
        <f aca="false">IF(L14=1,SUM(C52:L52)*HotelMult,0)</f>
        <v>0</v>
      </c>
      <c r="M56" s="40" t="n">
        <f aca="false">IF(M14=1,SUM(C52:M52)*HotelMult,0)</f>
        <v>0</v>
      </c>
      <c r="N56" s="40" t="n">
        <f aca="false">IF(N14=1,SUM(C52:N52)*HotelMult,0)</f>
        <v>0</v>
      </c>
      <c r="O56" s="40" t="n">
        <f aca="false">IF(O14=1,SUM(D52:O52)*HotelMult,0)</f>
        <v>0</v>
      </c>
      <c r="P56" s="40" t="n">
        <f aca="false">IF(P14=1,SUM(E52:P52)*HotelMult,0)</f>
        <v>0</v>
      </c>
      <c r="Q56" s="40" t="n">
        <f aca="false">IF(Q14=1,SUM(F52:Q52)*HotelMult,0)</f>
        <v>0</v>
      </c>
      <c r="R56" s="40" t="n">
        <f aca="false">IF(R14=1,SUM(G52:R52)*HotelMult,0)</f>
        <v>0</v>
      </c>
      <c r="S56" s="40" t="n">
        <f aca="false">IF(S14=1,SUM(H52:S52)*HotelMult,0)</f>
        <v>0</v>
      </c>
      <c r="T56" s="40" t="n">
        <f aca="false">IF(T14=1,SUM(I52:T52)*HotelMult,0)</f>
        <v>0</v>
      </c>
      <c r="U56" s="40" t="n">
        <f aca="false">IF(U14=1,SUM(J52:U52)*HotelMult,0)</f>
        <v>0</v>
      </c>
      <c r="V56" s="40" t="n">
        <f aca="false">IF(V14=1,SUM(K52:V52)*HotelMult,0)</f>
        <v>0</v>
      </c>
      <c r="W56" s="40" t="n">
        <f aca="false">IF(W14=1,SUM(L52:W52)*HotelMult,0)</f>
        <v>0</v>
      </c>
      <c r="X56" s="40" t="n">
        <f aca="false">IF(X14=1,SUM(M52:X52)*HotelMult,0)</f>
        <v>0</v>
      </c>
      <c r="Y56" s="40" t="n">
        <f aca="false">IF(Y14=1,SUM(N52:Y52)*HotelMult,0)</f>
        <v>0</v>
      </c>
      <c r="Z56" s="40" t="n">
        <f aca="false">IF(Z14=1,SUM(O52:Z52)*HotelMult,0)</f>
        <v>0</v>
      </c>
      <c r="AA56" s="40" t="n">
        <f aca="false">IF(AA14=1,SUM(P52:AA52)*HotelMult,0)</f>
        <v>0</v>
      </c>
      <c r="AB56" s="40" t="n">
        <f aca="false">IF(AB14=1,SUM(Q52:AB52)*HotelMult,0)</f>
        <v>0</v>
      </c>
      <c r="AC56" s="40" t="n">
        <f aca="false">IF(AC14=1,SUM(R52:AC52)*HotelMult,0)</f>
        <v>0</v>
      </c>
      <c r="AD56" s="40" t="n">
        <f aca="false">IF(AD14=1,SUM(S52:AD52)*HotelMult,0)</f>
        <v>0</v>
      </c>
      <c r="AE56" s="40" t="n">
        <f aca="false">IF(AE14=1,SUM(T52:AE52)*HotelMult,0)</f>
        <v>0</v>
      </c>
      <c r="AF56" s="40" t="n">
        <f aca="false">IF(AF14=1,SUM(U52:AF52)*HotelMult,0)</f>
        <v>0</v>
      </c>
      <c r="AG56" s="40" t="n">
        <f aca="false">IF(AG14=1,SUM(V52:AG52)*HotelMult,0)</f>
        <v>0</v>
      </c>
      <c r="AH56" s="40" t="n">
        <f aca="false">IF(AH14=1,SUM(W52:AH52)*HotelMult,0)</f>
        <v>0</v>
      </c>
      <c r="AI56" s="40" t="n">
        <f aca="false">IF(AI14=1,SUM(X52:AI52)*HotelMult,0)</f>
        <v>0</v>
      </c>
      <c r="AJ56" s="40" t="n">
        <f aca="false">IF(AJ14=1,SUM(Y52:AJ52)*HotelMult,0)</f>
        <v>0</v>
      </c>
      <c r="AK56" s="40" t="n">
        <f aca="false">IF(AK14=1,SUM(Z52:AK52)*HotelMult,0)</f>
        <v>0</v>
      </c>
      <c r="AL56" s="40" t="n">
        <f aca="false">IF(AL14=1,SUM(AA52:AL52)*HotelMult,0)</f>
        <v>0</v>
      </c>
      <c r="AM56" s="40" t="n">
        <f aca="false">IF(AM14=1,SUM(AB52:AM52)*HotelMult,0)</f>
        <v>0</v>
      </c>
      <c r="AN56" s="40" t="n">
        <f aca="false">IF(AN14=1,SUM(AC52:AN52)*HotelMult,0)</f>
        <v>0</v>
      </c>
      <c r="AO56" s="40" t="n">
        <f aca="false">IF(AO14=1,SUM(AD52:AO52)*HotelMult,0)</f>
        <v>0</v>
      </c>
      <c r="AP56" s="40" t="n">
        <f aca="false">IF(AP14=1,SUM(AE52:AP52)*HotelMult,0)</f>
        <v>0</v>
      </c>
      <c r="AQ56" s="40" t="n">
        <f aca="false">IF(AQ14=1,SUM(AF52:AQ52)*HotelMult,0)</f>
        <v>0</v>
      </c>
      <c r="AR56" s="40" t="n">
        <f aca="false">IF(AR14=1,SUM(AG52:AR52)*HotelMult,0)</f>
        <v>0</v>
      </c>
      <c r="AS56" s="40" t="n">
        <f aca="false">IF(AS14=1,SUM(AH52:AS52)*HotelMult,0)</f>
        <v>0</v>
      </c>
      <c r="AT56" s="40" t="n">
        <f aca="false">IF(AT14=1,SUM(AI52:AT52)*HotelMult,0)</f>
        <v>0</v>
      </c>
      <c r="AU56" s="40" t="n">
        <f aca="false">IF(AU14=1,SUM(AJ52:AU52)*HotelMult,0)</f>
        <v>0</v>
      </c>
      <c r="AV56" s="40" t="n">
        <f aca="false">IF(AV14=1,SUM(AK52:AV52)*HotelMult,0)</f>
        <v>0</v>
      </c>
      <c r="AW56" s="40" t="n">
        <f aca="false">IF(AW14=1,SUM(AL52:AW52)*HotelMult,0)</f>
        <v>0</v>
      </c>
      <c r="AX56" s="40" t="n">
        <f aca="false">IF(AX14=1,SUM(AM52:AX52)*HotelMult,0)</f>
        <v>0</v>
      </c>
      <c r="AY56" s="40" t="n">
        <f aca="false">IF(AY14=1,SUM(AN52:AY52)*HotelMult,0)</f>
        <v>0</v>
      </c>
      <c r="AZ56" s="40" t="n">
        <f aca="false">IF(AZ14=1,SUM(AO52:AZ52)*HotelMult,0)</f>
        <v>0</v>
      </c>
      <c r="BA56" s="40" t="n">
        <f aca="false">IF(BA14=1,SUM(AP52:BA52)*HotelMult,0)</f>
        <v>0</v>
      </c>
      <c r="BB56" s="40" t="n">
        <f aca="false">IF(BB14=1,SUM(AQ52:BB52)*HotelMult,0)</f>
        <v>0</v>
      </c>
      <c r="BC56" s="40" t="n">
        <f aca="false">IF(BC14=1,SUM(AR52:BC52)*HotelMult,0)</f>
        <v>0</v>
      </c>
      <c r="BD56" s="40" t="n">
        <f aca="false">IF(BD14=1,SUM(AS52:BD52)*HotelMult,0)</f>
        <v>0</v>
      </c>
      <c r="BE56" s="40" t="n">
        <f aca="false">IF(BE14=1,SUM(AT52:BE52)*HotelMult,0)</f>
        <v>0</v>
      </c>
      <c r="BF56" s="40" t="n">
        <f aca="false">IF(BF14=1,SUM(AU52:BF52)*HotelMult,0)</f>
        <v>0</v>
      </c>
      <c r="BG56" s="40" t="n">
        <f aca="false">IF(BG14=1,SUM(AV52:BG52)*HotelMult,0)</f>
        <v>0</v>
      </c>
      <c r="BH56" s="40" t="n">
        <f aca="false">IF(BH14=1,SUM(AW52:BH52)*HotelMult,0)</f>
        <v>0</v>
      </c>
      <c r="BI56" s="40" t="n">
        <f aca="false">IF(BI14=1,SUM(AX52:BI52)*HotelMult,0)</f>
        <v>0</v>
      </c>
      <c r="BJ56" s="40" t="n">
        <f aca="false">IF(BJ14=1,SUM(AY52:BJ52)*HotelMult,0)</f>
        <v>0</v>
      </c>
      <c r="BK56" s="40" t="n">
        <f aca="false">IF(BK14=1,SUM(AZ52:BK52)*HotelMult,0)</f>
        <v>0</v>
      </c>
      <c r="BL56" s="40" t="n">
        <f aca="false">IF(BL14=1,SUM(BA52:BL52)*HotelMult,0)</f>
        <v>0</v>
      </c>
      <c r="BM56" s="40" t="n">
        <f aca="false">IF(BM14=1,SUM(BB52:BM52)*HotelMult,0)</f>
        <v>0</v>
      </c>
      <c r="BN56" s="40" t="n">
        <f aca="false">IF(BN14=1,SUM(BC52:BN52)*HotelMult,0)</f>
        <v>0</v>
      </c>
      <c r="BO56" s="40" t="n">
        <f aca="false">IF(BO14=1,SUM(BD52:BO52)*HotelMult,0)</f>
        <v>0</v>
      </c>
      <c r="BP56" s="40" t="n">
        <f aca="false">IF(BP14=1,SUM(BE52:BP52)*HotelMult,0)</f>
        <v>0</v>
      </c>
      <c r="BQ56" s="40" t="n">
        <f aca="false">IF(BQ14=1,SUM(BF52:BQ52)*HotelMult,0)</f>
        <v>0</v>
      </c>
      <c r="BR56" s="40" t="n">
        <f aca="false">IF(BR14=1,SUM(BG52:BR52)*HotelMult,0)</f>
        <v>0</v>
      </c>
      <c r="BS56" s="40" t="n">
        <f aca="false">IF(BS14=1,SUM(BH52:BS52)*HotelMult,0)</f>
        <v>0</v>
      </c>
      <c r="BT56" s="40" t="n">
        <f aca="false">IF(BT14=1,SUM(BI52:BT52)*HotelMult,0)</f>
        <v>0</v>
      </c>
      <c r="BU56" s="40" t="n">
        <f aca="false">IF(BU14=1,SUM(BJ52:BU52)*HotelMult,0)</f>
        <v>0</v>
      </c>
      <c r="BV56" s="40" t="n">
        <f aca="false">IF(BV14=1,SUM(BK52:BV52)*HotelMult,0)</f>
        <v>0</v>
      </c>
      <c r="BW56" s="40" t="n">
        <f aca="false">IF(BW14=1,SUM(BL52:BW52)*HotelMult,0)</f>
        <v>282848105.682749</v>
      </c>
      <c r="BX56" s="40" t="n">
        <f aca="false">IF(BX14=1,SUM(BM52:BX52)*HotelMult,0)</f>
        <v>0</v>
      </c>
      <c r="BY56" s="40" t="n">
        <f aca="false">IF(BY14=1,SUM(BN52:BY52)*HotelMult,0)</f>
        <v>0</v>
      </c>
      <c r="BZ56" s="40" t="n">
        <f aca="false">IF(BZ14=1,SUM(BO52:BZ52)*HotelMult,0)</f>
        <v>0</v>
      </c>
      <c r="CA56" s="40" t="n">
        <f aca="false">IF(CA14=1,SUM(BP52:CA52)*HotelMult,0)</f>
        <v>0</v>
      </c>
      <c r="CB56" s="40" t="n">
        <f aca="false">IF(CB14=1,SUM(BQ52:CB52)*HotelMult,0)</f>
        <v>0</v>
      </c>
      <c r="CC56" s="40" t="n">
        <f aca="false">IF(CC14=1,SUM(BR52:CC52)*HotelMult,0)</f>
        <v>0</v>
      </c>
      <c r="CD56" s="40" t="n">
        <f aca="false">IF(CD14=1,SUM(BS52:CD52)*HotelMult,0)</f>
        <v>0</v>
      </c>
      <c r="CE56" s="40" t="n">
        <f aca="false">IF(CE14=1,SUM(BT52:CE52)*HotelMult,0)</f>
        <v>0</v>
      </c>
      <c r="CF56" s="40" t="n">
        <f aca="false">IF(CF14=1,SUM(BU52:CF52)*HotelMult,0)</f>
        <v>0</v>
      </c>
      <c r="CG56" s="40" t="n">
        <f aca="false">IF(CG14=1,SUM(BV52:CG52)*HotelMult,0)</f>
        <v>0</v>
      </c>
      <c r="CH56" s="40" t="n">
        <f aca="false">IF(CH14=1,SUM(BW52:CH52)*HotelMult,0)</f>
        <v>0</v>
      </c>
      <c r="CI56" s="40" t="n">
        <f aca="false">IF(CI14=1,SUM(BX52:CI52)*HotelMult,0)</f>
        <v>0</v>
      </c>
      <c r="CJ56" s="40" t="n">
        <f aca="false">IF(CJ14=1,SUM(BY52:CJ52)*HotelMult,0)</f>
        <v>0</v>
      </c>
      <c r="CK56" s="40" t="n">
        <f aca="false">IF(CK14=1,SUM(BZ52:CK52)*HotelMult,0)</f>
        <v>0</v>
      </c>
      <c r="CL56" s="40" t="n">
        <f aca="false">IF(CL14=1,SUM(CA52:CL52)*HotelMult,0)</f>
        <v>0</v>
      </c>
      <c r="CM56" s="40" t="n">
        <f aca="false">IF(CM14=1,SUM(CB52:CM52)*HotelMult,0)</f>
        <v>0</v>
      </c>
      <c r="CN56" s="40" t="n">
        <f aca="false">IF(CN14=1,SUM(CC52:CN52)*HotelMult,0)</f>
        <v>0</v>
      </c>
      <c r="CO56" s="40" t="n">
        <f aca="false">IF(CO14=1,SUM(CD52:CO52)*HotelMult,0)</f>
        <v>0</v>
      </c>
      <c r="CP56" s="40" t="n">
        <f aca="false">IF(CP14=1,SUM(CE52:CP52)*HotelMult,0)</f>
        <v>0</v>
      </c>
      <c r="CQ56" s="40" t="n">
        <f aca="false">IF(CQ14=1,SUM(CF52:CQ52)*HotelMult,0)</f>
        <v>0</v>
      </c>
      <c r="CR56" s="40" t="n">
        <f aca="false">IF(CR14=1,SUM(CG52:CR52)*HotelMult,0)</f>
        <v>0</v>
      </c>
      <c r="CS56" s="40" t="n">
        <f aca="false">IF(CS14=1,SUM(CH52:CS52)*HotelMult,0)</f>
        <v>0</v>
      </c>
      <c r="CT56" s="40" t="n">
        <f aca="false">IF(CT14=1,SUM(CI52:CT52)*HotelMult,0)</f>
        <v>0</v>
      </c>
      <c r="CU56" s="40" t="n">
        <f aca="false">IF(CU14=1,SUM(CJ52:CU52)*HotelMult,0)</f>
        <v>0</v>
      </c>
    </row>
    <row r="57" customFormat="false" ht="15" hidden="false" customHeight="false" outlineLevel="0" collapsed="false">
      <c r="A57" s="35" t="s">
        <v>82</v>
      </c>
      <c r="B57" s="26" t="n">
        <f aca="false">SUM(C57:CU57)</f>
        <v>128463546.562933</v>
      </c>
      <c r="C57" s="40" t="n">
        <f aca="false">(C55+C56)*ExitCosts</f>
        <v>0</v>
      </c>
      <c r="D57" s="40" t="n">
        <f aca="false">(D55+D56)*ExitCosts</f>
        <v>0</v>
      </c>
      <c r="E57" s="40" t="n">
        <f aca="false">(E55+E56)*ExitCosts</f>
        <v>0</v>
      </c>
      <c r="F57" s="40" t="n">
        <f aca="false">(F55+F56)*ExitCosts</f>
        <v>0</v>
      </c>
      <c r="G57" s="40" t="n">
        <f aca="false">(G55+G56)*ExitCosts</f>
        <v>0</v>
      </c>
      <c r="H57" s="40" t="n">
        <f aca="false">(H55+H56)*ExitCosts</f>
        <v>0</v>
      </c>
      <c r="I57" s="40" t="n">
        <f aca="false">(I55+I56)*ExitCosts</f>
        <v>0</v>
      </c>
      <c r="J57" s="40" t="n">
        <f aca="false">(J55+J56)*ExitCosts</f>
        <v>0</v>
      </c>
      <c r="K57" s="40" t="n">
        <f aca="false">(K55+K56)*ExitCosts</f>
        <v>0</v>
      </c>
      <c r="L57" s="40" t="n">
        <f aca="false">(L55+L56)*ExitCosts</f>
        <v>0</v>
      </c>
      <c r="M57" s="40" t="n">
        <f aca="false">(M55+M56)*ExitCosts</f>
        <v>0</v>
      </c>
      <c r="N57" s="40" t="n">
        <f aca="false">(N55+N56)*ExitCosts</f>
        <v>0</v>
      </c>
      <c r="O57" s="40" t="n">
        <f aca="false">(O55+O56)*ExitCosts</f>
        <v>0</v>
      </c>
      <c r="P57" s="40" t="n">
        <f aca="false">(P55+P56)*ExitCosts</f>
        <v>0</v>
      </c>
      <c r="Q57" s="40" t="n">
        <f aca="false">(Q55+Q56)*ExitCosts</f>
        <v>0</v>
      </c>
      <c r="R57" s="40" t="n">
        <f aca="false">(R55+R56)*ExitCosts</f>
        <v>0</v>
      </c>
      <c r="S57" s="40" t="n">
        <f aca="false">(S55+S56)*ExitCosts</f>
        <v>0</v>
      </c>
      <c r="T57" s="40" t="n">
        <f aca="false">(T55+T56)*ExitCosts</f>
        <v>0</v>
      </c>
      <c r="U57" s="40" t="n">
        <f aca="false">(U55+U56)*ExitCosts</f>
        <v>0</v>
      </c>
      <c r="V57" s="40" t="n">
        <f aca="false">(V55+V56)*ExitCosts</f>
        <v>0</v>
      </c>
      <c r="W57" s="40" t="n">
        <f aca="false">(W55+W56)*ExitCosts</f>
        <v>0</v>
      </c>
      <c r="X57" s="40" t="n">
        <f aca="false">(X55+X56)*ExitCosts</f>
        <v>0</v>
      </c>
      <c r="Y57" s="40" t="n">
        <f aca="false">(Y55+Y56)*ExitCosts</f>
        <v>0</v>
      </c>
      <c r="Z57" s="40" t="n">
        <f aca="false">(Z55+Z56)*ExitCosts</f>
        <v>0</v>
      </c>
      <c r="AA57" s="40" t="n">
        <f aca="false">(AA55+AA56)*ExitCosts</f>
        <v>0</v>
      </c>
      <c r="AB57" s="40" t="n">
        <f aca="false">(AB55+AB56)*ExitCosts</f>
        <v>0</v>
      </c>
      <c r="AC57" s="40" t="n">
        <f aca="false">(AC55+AC56)*ExitCosts</f>
        <v>0</v>
      </c>
      <c r="AD57" s="40" t="n">
        <f aca="false">(AD55+AD56)*ExitCosts</f>
        <v>0</v>
      </c>
      <c r="AE57" s="40" t="n">
        <f aca="false">(AE55+AE56)*ExitCosts</f>
        <v>0</v>
      </c>
      <c r="AF57" s="40" t="n">
        <f aca="false">(AF55+AF56)*ExitCosts</f>
        <v>0</v>
      </c>
      <c r="AG57" s="40" t="n">
        <f aca="false">(AG55+AG56)*ExitCosts</f>
        <v>0</v>
      </c>
      <c r="AH57" s="40" t="n">
        <f aca="false">(AH55+AH56)*ExitCosts</f>
        <v>0</v>
      </c>
      <c r="AI57" s="40" t="n">
        <f aca="false">(AI55+AI56)*ExitCosts</f>
        <v>0</v>
      </c>
      <c r="AJ57" s="40" t="n">
        <f aca="false">(AJ55+AJ56)*ExitCosts</f>
        <v>0</v>
      </c>
      <c r="AK57" s="40" t="n">
        <f aca="false">(AK55+AK56)*ExitCosts</f>
        <v>0</v>
      </c>
      <c r="AL57" s="40" t="n">
        <f aca="false">(AL55+AL56)*ExitCosts</f>
        <v>0</v>
      </c>
      <c r="AM57" s="40" t="n">
        <f aca="false">(AM55+AM56)*ExitCosts</f>
        <v>0</v>
      </c>
      <c r="AN57" s="40" t="n">
        <f aca="false">(AN55+AN56)*ExitCosts</f>
        <v>0</v>
      </c>
      <c r="AO57" s="40" t="n">
        <f aca="false">(AO55+AO56)*ExitCosts</f>
        <v>0</v>
      </c>
      <c r="AP57" s="40" t="n">
        <f aca="false">(AP55+AP56)*ExitCosts</f>
        <v>0</v>
      </c>
      <c r="AQ57" s="40" t="n">
        <f aca="false">(AQ55+AQ56)*ExitCosts</f>
        <v>0</v>
      </c>
      <c r="AR57" s="40" t="n">
        <f aca="false">(AR55+AR56)*ExitCosts</f>
        <v>0</v>
      </c>
      <c r="AS57" s="40" t="n">
        <f aca="false">(AS55+AS56)*ExitCosts</f>
        <v>0</v>
      </c>
      <c r="AT57" s="40" t="n">
        <f aca="false">(AT55+AT56)*ExitCosts</f>
        <v>0</v>
      </c>
      <c r="AU57" s="40" t="n">
        <f aca="false">(AU55+AU56)*ExitCosts</f>
        <v>0</v>
      </c>
      <c r="AV57" s="40" t="n">
        <f aca="false">(AV55+AV56)*ExitCosts</f>
        <v>0</v>
      </c>
      <c r="AW57" s="40" t="n">
        <f aca="false">(AW55+AW56)*ExitCosts</f>
        <v>0</v>
      </c>
      <c r="AX57" s="40" t="n">
        <f aca="false">(AX55+AX56)*ExitCosts</f>
        <v>0</v>
      </c>
      <c r="AY57" s="40" t="n">
        <f aca="false">(AY55+AY56)*ExitCosts</f>
        <v>0</v>
      </c>
      <c r="AZ57" s="40" t="n">
        <f aca="false">(AZ55+AZ56)*ExitCosts</f>
        <v>0</v>
      </c>
      <c r="BA57" s="40" t="n">
        <f aca="false">(BA55+BA56)*ExitCosts</f>
        <v>0</v>
      </c>
      <c r="BB57" s="40" t="n">
        <f aca="false">(BB55+BB56)*ExitCosts</f>
        <v>0</v>
      </c>
      <c r="BC57" s="40" t="n">
        <f aca="false">(BC55+BC56)*ExitCosts</f>
        <v>0</v>
      </c>
      <c r="BD57" s="40" t="n">
        <f aca="false">(BD55+BD56)*ExitCosts</f>
        <v>0</v>
      </c>
      <c r="BE57" s="40" t="n">
        <f aca="false">(BE55+BE56)*ExitCosts</f>
        <v>0</v>
      </c>
      <c r="BF57" s="40" t="n">
        <f aca="false">(BF55+BF56)*ExitCosts</f>
        <v>0</v>
      </c>
      <c r="BG57" s="40" t="n">
        <f aca="false">(BG55+BG56)*ExitCosts</f>
        <v>0</v>
      </c>
      <c r="BH57" s="40" t="n">
        <f aca="false">(BH55+BH56)*ExitCosts</f>
        <v>0</v>
      </c>
      <c r="BI57" s="40" t="n">
        <f aca="false">(BI55+BI56)*ExitCosts</f>
        <v>0</v>
      </c>
      <c r="BJ57" s="40" t="n">
        <f aca="false">(BJ55+BJ56)*ExitCosts</f>
        <v>0</v>
      </c>
      <c r="BK57" s="40" t="n">
        <f aca="false">(BK55+BK56)*ExitCosts</f>
        <v>0</v>
      </c>
      <c r="BL57" s="40" t="n">
        <f aca="false">(BL55+BL56)*ExitCosts</f>
        <v>0</v>
      </c>
      <c r="BM57" s="40" t="n">
        <f aca="false">(BM55+BM56)*ExitCosts</f>
        <v>0</v>
      </c>
      <c r="BN57" s="40" t="n">
        <f aca="false">(BN55+BN56)*ExitCosts</f>
        <v>0</v>
      </c>
      <c r="BO57" s="40" t="n">
        <f aca="false">(BO55+BO56)*ExitCosts</f>
        <v>0</v>
      </c>
      <c r="BP57" s="40" t="n">
        <f aca="false">(BP55+BP56)*ExitCosts</f>
        <v>0</v>
      </c>
      <c r="BQ57" s="40" t="n">
        <f aca="false">(BQ55+BQ56)*ExitCosts</f>
        <v>0</v>
      </c>
      <c r="BR57" s="40" t="n">
        <f aca="false">(BR55+BR56)*ExitCosts</f>
        <v>0</v>
      </c>
      <c r="BS57" s="40" t="n">
        <f aca="false">(BS55+BS56)*ExitCosts</f>
        <v>0</v>
      </c>
      <c r="BT57" s="40" t="n">
        <f aca="false">(BT55+BT56)*ExitCosts</f>
        <v>0</v>
      </c>
      <c r="BU57" s="40" t="n">
        <f aca="false">(BU55+BU56)*ExitCosts</f>
        <v>0</v>
      </c>
      <c r="BV57" s="40" t="n">
        <f aca="false">(BV55+BV56)*ExitCosts</f>
        <v>0</v>
      </c>
      <c r="BW57" s="40" t="n">
        <f aca="false">(BW55+BW56)*ExitCosts</f>
        <v>128463546.562933</v>
      </c>
      <c r="BX57" s="40" t="n">
        <f aca="false">(BX55+BX56)*ExitCosts</f>
        <v>0</v>
      </c>
      <c r="BY57" s="40" t="n">
        <f aca="false">(BY55+BY56)*ExitCosts</f>
        <v>0</v>
      </c>
      <c r="BZ57" s="40" t="n">
        <f aca="false">(BZ55+BZ56)*ExitCosts</f>
        <v>0</v>
      </c>
      <c r="CA57" s="40" t="n">
        <f aca="false">(CA55+CA56)*ExitCosts</f>
        <v>0</v>
      </c>
      <c r="CB57" s="40" t="n">
        <f aca="false">(CB55+CB56)*ExitCosts</f>
        <v>0</v>
      </c>
      <c r="CC57" s="40" t="n">
        <f aca="false">(CC55+CC56)*ExitCosts</f>
        <v>0</v>
      </c>
      <c r="CD57" s="40" t="n">
        <f aca="false">(CD55+CD56)*ExitCosts</f>
        <v>0</v>
      </c>
      <c r="CE57" s="40" t="n">
        <f aca="false">(CE55+CE56)*ExitCosts</f>
        <v>0</v>
      </c>
      <c r="CF57" s="40" t="n">
        <f aca="false">(CF55+CF56)*ExitCosts</f>
        <v>0</v>
      </c>
      <c r="CG57" s="40" t="n">
        <f aca="false">(CG55+CG56)*ExitCosts</f>
        <v>0</v>
      </c>
      <c r="CH57" s="40" t="n">
        <f aca="false">(CH55+CH56)*ExitCosts</f>
        <v>0</v>
      </c>
      <c r="CI57" s="40" t="n">
        <f aca="false">(CI55+CI56)*ExitCosts</f>
        <v>0</v>
      </c>
      <c r="CJ57" s="40" t="n">
        <f aca="false">(CJ55+CJ56)*ExitCosts</f>
        <v>0</v>
      </c>
      <c r="CK57" s="40" t="n">
        <f aca="false">(CK55+CK56)*ExitCosts</f>
        <v>0</v>
      </c>
      <c r="CL57" s="40" t="n">
        <f aca="false">(CL55+CL56)*ExitCosts</f>
        <v>0</v>
      </c>
      <c r="CM57" s="40" t="n">
        <f aca="false">(CM55+CM56)*ExitCosts</f>
        <v>0</v>
      </c>
      <c r="CN57" s="40" t="n">
        <f aca="false">(CN55+CN56)*ExitCosts</f>
        <v>0</v>
      </c>
      <c r="CO57" s="40" t="n">
        <f aca="false">(CO55+CO56)*ExitCosts</f>
        <v>0</v>
      </c>
      <c r="CP57" s="40" t="n">
        <f aca="false">(CP55+CP56)*ExitCosts</f>
        <v>0</v>
      </c>
      <c r="CQ57" s="40" t="n">
        <f aca="false">(CQ55+CQ56)*ExitCosts</f>
        <v>0</v>
      </c>
      <c r="CR57" s="40" t="n">
        <f aca="false">(CR55+CR56)*ExitCosts</f>
        <v>0</v>
      </c>
      <c r="CS57" s="40" t="n">
        <f aca="false">(CS55+CS56)*ExitCosts</f>
        <v>0</v>
      </c>
      <c r="CT57" s="40" t="n">
        <f aca="false">(CT55+CT56)*ExitCosts</f>
        <v>0</v>
      </c>
      <c r="CU57" s="40" t="n">
        <f aca="false">(CU55+CU56)*ExitCosts</f>
        <v>0</v>
      </c>
    </row>
    <row r="59" customFormat="false" ht="15" hidden="false" customHeight="false" outlineLevel="0" collapsed="false">
      <c r="A59" s="19" t="s">
        <v>144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customFormat="false" ht="15" hidden="false" customHeight="false" outlineLevel="0" collapsed="false">
      <c r="A60" s="35" t="s">
        <v>145</v>
      </c>
      <c r="B60" s="26" t="n">
        <f aca="false">SUM(C60:CU60)</f>
        <v>10999832525.7421</v>
      </c>
      <c r="C60" s="40" t="n">
        <f aca="false">C34+C45+C52+C55+C56-C57</f>
        <v>0</v>
      </c>
      <c r="D60" s="40" t="n">
        <f aca="false">D34+D45+D52+D55+D56-D57</f>
        <v>0</v>
      </c>
      <c r="E60" s="40" t="n">
        <f aca="false">E34+E45+E52+E55+E56-E57</f>
        <v>0</v>
      </c>
      <c r="F60" s="40" t="n">
        <f aca="false">F34+F45+F52+F55+F56-F57</f>
        <v>86587.3439626371</v>
      </c>
      <c r="G60" s="40" t="n">
        <f aca="false">G34+G45+G52+G55+G56-G57</f>
        <v>249327.854688654</v>
      </c>
      <c r="H60" s="40" t="n">
        <f aca="false">H34+H45+H52+H55+H56-H57</f>
        <v>534683.314074112</v>
      </c>
      <c r="I60" s="40" t="n">
        <f aca="false">I34+I45+I52+I55+I56-I57</f>
        <v>991731.713096814</v>
      </c>
      <c r="J60" s="40" t="n">
        <f aca="false">J34+J45+J52+J55+J56-J57</f>
        <v>1677494.55935258</v>
      </c>
      <c r="K60" s="40" t="n">
        <f aca="false">K34+K45+K52+K55+K56-K57</f>
        <v>2653009.2516739</v>
      </c>
      <c r="L60" s="40" t="n">
        <f aca="false">L34+L45+L52+L55+L56-L57</f>
        <v>3978968.31053923</v>
      </c>
      <c r="M60" s="40" t="n">
        <f aca="false">M34+M45+M52+M55+M56-M57</f>
        <v>5711142.0916701</v>
      </c>
      <c r="N60" s="40" t="n">
        <f aca="false">N34+N45+N52+N55+N56-N57</f>
        <v>7895814.61104896</v>
      </c>
      <c r="O60" s="40" t="n">
        <f aca="false">O34+O45+O52+O55+O56-O57</f>
        <v>10565464.6297878</v>
      </c>
      <c r="P60" s="40" t="n">
        <f aca="false">P34+P45+P52+P55+P56-P57</f>
        <v>13734916.0165445</v>
      </c>
      <c r="Q60" s="40" t="n">
        <f aca="false">Q34+Q45+Q52+Q55+Q56-Q57</f>
        <v>17398162.9142531</v>
      </c>
      <c r="R60" s="40" t="n">
        <f aca="false">R34+R45+R52+R55+R56-R57</f>
        <v>21526047.1174061</v>
      </c>
      <c r="S60" s="40" t="n">
        <f aca="false">S34+S45+S52+S55+S56-S57</f>
        <v>26064928.437316</v>
      </c>
      <c r="T60" s="40" t="n">
        <f aca="false">T34+T45+T52+T55+T56-T57</f>
        <v>30936445.1229136</v>
      </c>
      <c r="U60" s="40" t="n">
        <f aca="false">U34+U45+U52+U55+U56-U57</f>
        <v>36038412.207837</v>
      </c>
      <c r="V60" s="40" t="n">
        <f aca="false">V34+V45+V52+V55+V56-V57</f>
        <v>41246852.4905445</v>
      </c>
      <c r="W60" s="40" t="n">
        <f aca="false">W34+W45+W52+W55+W56-W57</f>
        <v>46419098.6977758</v>
      </c>
      <c r="X60" s="40" t="n">
        <f aca="false">X34+X45+X52+X55+X56-X57</f>
        <v>51397845.6091996</v>
      </c>
      <c r="Y60" s="40" t="n">
        <f aca="false">Y34+Y45+Y52+Y55+Y56-Y57</f>
        <v>56015962.6243855</v>
      </c>
      <c r="Z60" s="40" t="n">
        <f aca="false">Z34+Z45+Z52+Z55+Z56-Z57</f>
        <v>60101783.5452073</v>
      </c>
      <c r="AA60" s="40" t="n">
        <f aca="false">AA34+AA45+AA52+AA55+AA56-AA57</f>
        <v>63484417.6449791</v>
      </c>
      <c r="AB60" s="40" t="n">
        <f aca="false">AB34+AB45+AB52+AB55+AB56-AB57</f>
        <v>65998194.0101543</v>
      </c>
      <c r="AC60" s="40" t="n">
        <f aca="false">AC34+AC45+AC52+AC55+AC56-AC57</f>
        <v>67483969.323544</v>
      </c>
      <c r="AD60" s="40" t="n">
        <f aca="false">AD34+AD45+AD52+AD55+AD56-AD57</f>
        <v>67779508.3227029</v>
      </c>
      <c r="AE60" s="40" t="n">
        <f aca="false">AE34+AE45+AE52+AE55+AE56-AE57</f>
        <v>66662164.1067436</v>
      </c>
      <c r="AF60" s="40" t="n">
        <f aca="false">AF34+AF45+AF52+AF55+AF56-AF57</f>
        <v>63475466.4874779</v>
      </c>
      <c r="AG60" s="40" t="n">
        <f aca="false">AG34+AG45+AG52+AG55+AG56-AG57</f>
        <v>51891601.6411206</v>
      </c>
      <c r="AH60" s="40" t="n">
        <f aca="false">AH34+AH45+AH52+AH55+AH56-AH57</f>
        <v>32634894.5499553</v>
      </c>
      <c r="AI60" s="40" t="n">
        <f aca="false">AI34+AI45+AI52+AI55+AI56-AI57</f>
        <v>32675199.8853998</v>
      </c>
      <c r="AJ60" s="40" t="n">
        <f aca="false">AJ34+AJ45+AJ52+AJ55+AJ56-AJ57</f>
        <v>1176481.08921723</v>
      </c>
      <c r="AK60" s="40" t="n">
        <f aca="false">AK34+AK45+AK52+AK55+AK56-AK57</f>
        <v>1256386.97174992</v>
      </c>
      <c r="AL60" s="40" t="n">
        <f aca="false">AL34+AL45+AL52+AL55+AL56-AL57</f>
        <v>13740946.5857192</v>
      </c>
      <c r="AM60" s="40" t="n">
        <f aca="false">AM34+AM45+AM52+AM55+AM56-AM57</f>
        <v>16357927.1615122</v>
      </c>
      <c r="AN60" s="40" t="n">
        <f aca="false">AN34+AN45+AN52+AN55+AN56-AN57</f>
        <v>18945678.4262749</v>
      </c>
      <c r="AO60" s="40" t="n">
        <f aca="false">AO34+AO45+AO52+AO55+AO56-AO57</f>
        <v>21408569.8770493</v>
      </c>
      <c r="AP60" s="40" t="n">
        <f aca="false">AP34+AP45+AP52+AP55+AP56-AP57</f>
        <v>24159221.7506325</v>
      </c>
      <c r="AQ60" s="40" t="n">
        <f aca="false">AQ34+AQ45+AQ52+AQ55+AQ56-AQ57</f>
        <v>4261714.36383215</v>
      </c>
      <c r="AR60" s="40" t="n">
        <f aca="false">AR34+AR45+AR52+AR55+AR56-AR57</f>
        <v>29423798.4299734</v>
      </c>
      <c r="AS60" s="40" t="n">
        <f aca="false">AS34+AS45+AS52+AS55+AS56-AS57</f>
        <v>32024086.3369586</v>
      </c>
      <c r="AT60" s="40" t="n">
        <f aca="false">AT34+AT45+AT52+AT55+AT56-AT57</f>
        <v>34739785.3749431</v>
      </c>
      <c r="AU60" s="40" t="n">
        <f aca="false">AU34+AU45+AU52+AU55+AU56-AU57</f>
        <v>37417176.1588135</v>
      </c>
      <c r="AV60" s="40" t="n">
        <f aca="false">AV34+AV45+AV52+AV55+AV56-AV57</f>
        <v>40052178.4195422</v>
      </c>
      <c r="AW60" s="40" t="n">
        <f aca="false">AW34+AW45+AW52+AW55+AW56-AW57</f>
        <v>42810990.6347855</v>
      </c>
      <c r="AX60" s="40" t="n">
        <f aca="false">AX34+AX45+AX52+AX55+AX56-AX57</f>
        <v>45469342.1916807</v>
      </c>
      <c r="AY60" s="40" t="n">
        <f aca="false">AY34+AY45+AY52+AY55+AY56-AY57</f>
        <v>48257168.5283026</v>
      </c>
      <c r="AZ60" s="40" t="n">
        <f aca="false">AZ34+AZ45+AZ52+AZ55+AZ56-AZ57</f>
        <v>48415294.0299796</v>
      </c>
      <c r="BA60" s="40" t="n">
        <f aca="false">BA34+BA45+BA52+BA55+BA56-BA57</f>
        <v>54746685.1653392</v>
      </c>
      <c r="BB60" s="40" t="n">
        <f aca="false">BB34+BB45+BB52+BB55+BB56-BB57</f>
        <v>48733005.7810345</v>
      </c>
      <c r="BC60" s="40" t="n">
        <f aca="false">BC34+BC45+BC52+BC55+BC56-BC57</f>
        <v>48827351.2538202</v>
      </c>
      <c r="BD60" s="40" t="n">
        <f aca="false">BD34+BD45+BD52+BD55+BD56-BD57</f>
        <v>49052674.8001766</v>
      </c>
      <c r="BE60" s="40" t="n">
        <f aca="false">BE34+BE45+BE52+BE55+BE56-BE57</f>
        <v>49145126.5184761</v>
      </c>
      <c r="BF60" s="40" t="n">
        <f aca="false">BF34+BF45+BF52+BF55+BF56-BF57</f>
        <v>49334620.0457343</v>
      </c>
      <c r="BG60" s="40" t="n">
        <f aca="false">BG34+BG45+BG52+BG55+BG56-BG57</f>
        <v>49456292.5278812</v>
      </c>
      <c r="BH60" s="40" t="n">
        <f aca="false">BH34+BH45+BH52+BH55+BH56-BH57</f>
        <v>49509639.4493895</v>
      </c>
      <c r="BI60" s="40" t="n">
        <f aca="false">BI34+BI45+BI52+BI55+BI56-BI57</f>
        <v>49700538.4637407</v>
      </c>
      <c r="BJ60" s="40" t="n">
        <f aca="false">BJ34+BJ45+BJ52+BJ55+BJ56-BJ57</f>
        <v>49754148.8455308</v>
      </c>
      <c r="BK60" s="40" t="n">
        <f aca="false">BK34+BK45+BK52+BK55+BK56-BK57</f>
        <v>49945990.6379601</v>
      </c>
      <c r="BL60" s="40" t="n">
        <f aca="false">BL34+BL45+BL52+BL55+BL56-BL57</f>
        <v>50069170.9249183</v>
      </c>
      <c r="BM60" s="40" t="n">
        <f aca="false">BM34+BM45+BM52+BM55+BM56-BM57</f>
        <v>50053702.8698216</v>
      </c>
      <c r="BN60" s="40" t="n">
        <f aca="false">BN34+BN45+BN52+BN55+BN56-BN57</f>
        <v>50316443.6355318</v>
      </c>
      <c r="BO60" s="40" t="n">
        <f aca="false">BO34+BO45+BO52+BO55+BO56-BO57</f>
        <v>50370718.3745387</v>
      </c>
      <c r="BP60" s="40" t="n">
        <f aca="false">BP34+BP45+BP52+BP55+BP56-BP57</f>
        <v>50564937.5326018</v>
      </c>
      <c r="BQ60" s="40" t="n">
        <f aca="false">BQ34+BQ45+BQ52+BQ55+BQ56-BQ57</f>
        <v>50619480.3140304</v>
      </c>
      <c r="BR60" s="40" t="n">
        <f aca="false">BR34+BR45+BR52+BR55+BR56-BR57</f>
        <v>50814658.6471064</v>
      </c>
      <c r="BS60" s="40" t="n">
        <f aca="false">BS34+BS45+BS52+BS55+BS56-BS57</f>
        <v>50939981.3037176</v>
      </c>
      <c r="BT60" s="40" t="n">
        <f aca="false">BT34+BT45+BT52+BT55+BT56-BT57</f>
        <v>50994928.6328711</v>
      </c>
      <c r="BU60" s="40" t="n">
        <f aca="false">BU34+BU45+BU52+BU55+BU56-BU57</f>
        <v>51191554.617653</v>
      </c>
      <c r="BV60" s="40" t="n">
        <f aca="false">BV34+BV45+BV52+BV55+BV56-BV57</f>
        <v>51246773.3108968</v>
      </c>
      <c r="BW60" s="40" t="n">
        <f aca="false">BW34+BW45+BW52+BW55+BW56-BW57</f>
        <v>8487217261.32303</v>
      </c>
      <c r="BX60" s="40" t="n">
        <f aca="false">BX34+BX45+BX52+BX55+BX56-BX57</f>
        <v>0</v>
      </c>
      <c r="BY60" s="40" t="n">
        <f aca="false">BY34+BY45+BY52+BY55+BY56-BY57</f>
        <v>0</v>
      </c>
      <c r="BZ60" s="40" t="n">
        <f aca="false">BZ34+BZ45+BZ52+BZ55+BZ56-BZ57</f>
        <v>0</v>
      </c>
      <c r="CA60" s="40" t="n">
        <f aca="false">CA34+CA45+CA52+CA55+CA56-CA57</f>
        <v>0</v>
      </c>
      <c r="CB60" s="40" t="n">
        <f aca="false">CB34+CB45+CB52+CB55+CB56-CB57</f>
        <v>0</v>
      </c>
      <c r="CC60" s="40" t="n">
        <f aca="false">CC34+CC45+CC52+CC55+CC56-CC57</f>
        <v>0</v>
      </c>
      <c r="CD60" s="40" t="n">
        <f aca="false">CD34+CD45+CD52+CD55+CD56-CD57</f>
        <v>0</v>
      </c>
      <c r="CE60" s="40" t="n">
        <f aca="false">CE34+CE45+CE52+CE55+CE56-CE57</f>
        <v>0</v>
      </c>
      <c r="CF60" s="40" t="n">
        <f aca="false">CF34+CF45+CF52+CF55+CF56-CF57</f>
        <v>0</v>
      </c>
      <c r="CG60" s="40" t="n">
        <f aca="false">CG34+CG45+CG52+CG55+CG56-CG57</f>
        <v>0</v>
      </c>
      <c r="CH60" s="40" t="n">
        <f aca="false">CH34+CH45+CH52+CH55+CH56-CH57</f>
        <v>0</v>
      </c>
      <c r="CI60" s="40" t="n">
        <f aca="false">CI34+CI45+CI52+CI55+CI56-CI57</f>
        <v>0</v>
      </c>
      <c r="CJ60" s="40" t="n">
        <f aca="false">CJ34+CJ45+CJ52+CJ55+CJ56-CJ57</f>
        <v>0</v>
      </c>
      <c r="CK60" s="40" t="n">
        <f aca="false">CK34+CK45+CK52+CK55+CK56-CK57</f>
        <v>0</v>
      </c>
      <c r="CL60" s="40" t="n">
        <f aca="false">CL34+CL45+CL52+CL55+CL56-CL57</f>
        <v>0</v>
      </c>
      <c r="CM60" s="40" t="n">
        <f aca="false">CM34+CM45+CM52+CM55+CM56-CM57</f>
        <v>0</v>
      </c>
      <c r="CN60" s="40" t="n">
        <f aca="false">CN34+CN45+CN52+CN55+CN56-CN57</f>
        <v>0</v>
      </c>
      <c r="CO60" s="40" t="n">
        <f aca="false">CO34+CO45+CO52+CO55+CO56-CO57</f>
        <v>0</v>
      </c>
      <c r="CP60" s="40" t="n">
        <f aca="false">CP34+CP45+CP52+CP55+CP56-CP57</f>
        <v>0</v>
      </c>
      <c r="CQ60" s="40" t="n">
        <f aca="false">CQ34+CQ45+CQ52+CQ55+CQ56-CQ57</f>
        <v>0</v>
      </c>
      <c r="CR60" s="40" t="n">
        <f aca="false">CR34+CR45+CR52+CR55+CR56-CR57</f>
        <v>0</v>
      </c>
      <c r="CS60" s="40" t="n">
        <f aca="false">CS34+CS45+CS52+CS55+CS56-CS57</f>
        <v>0</v>
      </c>
      <c r="CT60" s="40" t="n">
        <f aca="false">CT34+CT45+CT52+CT55+CT56-CT57</f>
        <v>0</v>
      </c>
      <c r="CU60" s="40" t="n">
        <f aca="false">CU34+CU45+CU52+CU55+CU56-CU57</f>
        <v>0</v>
      </c>
    </row>
    <row r="61" customFormat="false" ht="15" hidden="false" customHeight="false" outlineLevel="0" collapsed="false">
      <c r="A61" s="35" t="s">
        <v>146</v>
      </c>
      <c r="B61" s="26" t="n">
        <f aca="false">SUM(C61:CU61)</f>
        <v>2055369000</v>
      </c>
      <c r="C61" s="40" t="n">
        <f aca="false">C24+C35+C36</f>
        <v>682500000</v>
      </c>
      <c r="D61" s="40" t="n">
        <f aca="false">D24+D35+D36</f>
        <v>3695649.90286474</v>
      </c>
      <c r="E61" s="40" t="n">
        <f aca="false">E24+E35+E36</f>
        <v>11046459.3948938</v>
      </c>
      <c r="F61" s="40" t="n">
        <f aca="false">F24+F35+F36</f>
        <v>19063741.5661724</v>
      </c>
      <c r="G61" s="40" t="n">
        <f aca="false">G24+G35+G36</f>
        <v>26093285.4103024</v>
      </c>
      <c r="H61" s="40" t="n">
        <f aca="false">H24+H35+H36</f>
        <v>32845573.7739011</v>
      </c>
      <c r="I61" s="40" t="n">
        <f aca="false">I24+I35+I36</f>
        <v>39246627.1726498</v>
      </c>
      <c r="J61" s="40" t="n">
        <f aca="false">J24+J35+J36</f>
        <v>45226314.3260051</v>
      </c>
      <c r="K61" s="40" t="n">
        <f aca="false">K24+K35+K36</f>
        <v>50719120.530185</v>
      </c>
      <c r="L61" s="40" t="n">
        <f aca="false">L24+L35+L36</f>
        <v>55664865.4509729</v>
      </c>
      <c r="M61" s="40" t="n">
        <f aca="false">M24+M35+M36</f>
        <v>60009362.4720527</v>
      </c>
      <c r="N61" s="40" t="n">
        <f aca="false">N24+N35+N36</f>
        <v>63705012.3749175</v>
      </c>
      <c r="O61" s="40" t="n">
        <f aca="false">O24+O35+O36</f>
        <v>66711324.8458668</v>
      </c>
      <c r="P61" s="40" t="n">
        <f aca="false">P24+P35+P36</f>
        <v>68995362.0963575</v>
      </c>
      <c r="Q61" s="40" t="n">
        <f aca="false">Q24+Q35+Q36</f>
        <v>70532099.7363074</v>
      </c>
      <c r="R61" s="40" t="n">
        <f aca="false">R24+R35+R36</f>
        <v>71304700.9465507</v>
      </c>
      <c r="S61" s="40" t="n">
        <f aca="false">S24+S35+S36</f>
        <v>71304700.946551</v>
      </c>
      <c r="T61" s="40" t="n">
        <f aca="false">T24+T35+T36</f>
        <v>70532099.7363077</v>
      </c>
      <c r="U61" s="40" t="n">
        <f aca="false">U24+U35+U36</f>
        <v>68995362.0963573</v>
      </c>
      <c r="V61" s="40" t="n">
        <f aca="false">V24+V35+V36</f>
        <v>66711324.8458667</v>
      </c>
      <c r="W61" s="40" t="n">
        <f aca="false">W24+W35+W36</f>
        <v>63705012.3749174</v>
      </c>
      <c r="X61" s="40" t="n">
        <f aca="false">X24+X35+X36</f>
        <v>60009362.4720528</v>
      </c>
      <c r="Y61" s="40" t="n">
        <f aca="false">Y24+Y35+Y36</f>
        <v>55664865.4509727</v>
      </c>
      <c r="Z61" s="40" t="n">
        <f aca="false">Z24+Z35+Z36</f>
        <v>50719120.5301852</v>
      </c>
      <c r="AA61" s="40" t="n">
        <f aca="false">AA24+AA35+AA36</f>
        <v>45226314.3260053</v>
      </c>
      <c r="AB61" s="40" t="n">
        <f aca="false">AB24+AB35+AB36</f>
        <v>39246627.1726499</v>
      </c>
      <c r="AC61" s="40" t="n">
        <f aca="false">AC24+AC35+AC36</f>
        <v>32845573.7739011</v>
      </c>
      <c r="AD61" s="40" t="n">
        <f aca="false">AD24+AD35+AD36</f>
        <v>26093285.4103024</v>
      </c>
      <c r="AE61" s="40" t="n">
        <f aca="false">AE24+AE35+AE36</f>
        <v>19063741.5661723</v>
      </c>
      <c r="AF61" s="40" t="n">
        <f aca="false">AF24+AF35+AF36</f>
        <v>11833959.394894</v>
      </c>
      <c r="AG61" s="40" t="n">
        <f aca="false">AG24+AG35+AG36</f>
        <v>4483149.90286459</v>
      </c>
      <c r="AH61" s="40" t="n">
        <f aca="false">AH24+AH35+AH36</f>
        <v>787500</v>
      </c>
      <c r="AI61" s="40" t="n">
        <f aca="false">AI24+AI35+AI36</f>
        <v>787500</v>
      </c>
      <c r="AJ61" s="40" t="n">
        <f aca="false">AJ24+AJ35+AJ36</f>
        <v>0</v>
      </c>
      <c r="AK61" s="40" t="n">
        <f aca="false">AK24+AK35+AK36</f>
        <v>0</v>
      </c>
      <c r="AL61" s="40" t="n">
        <f aca="false">AL24+AL35+AL36</f>
        <v>0</v>
      </c>
      <c r="AM61" s="40" t="n">
        <f aca="false">AM24+AM35+AM36</f>
        <v>0</v>
      </c>
      <c r="AN61" s="40" t="n">
        <f aca="false">AN24+AN35+AN36</f>
        <v>0</v>
      </c>
      <c r="AO61" s="40" t="n">
        <f aca="false">AO24+AO35+AO36</f>
        <v>0</v>
      </c>
      <c r="AP61" s="40" t="n">
        <f aca="false">AP24+AP35+AP36</f>
        <v>0</v>
      </c>
      <c r="AQ61" s="40" t="n">
        <f aca="false">AQ24+AQ35+AQ36</f>
        <v>0</v>
      </c>
      <c r="AR61" s="40" t="n">
        <f aca="false">AR24+AR35+AR36</f>
        <v>0</v>
      </c>
      <c r="AS61" s="40" t="n">
        <f aca="false">AS24+AS35+AS36</f>
        <v>0</v>
      </c>
      <c r="AT61" s="40" t="n">
        <f aca="false">AT24+AT35+AT36</f>
        <v>0</v>
      </c>
      <c r="AU61" s="40" t="n">
        <f aca="false">AU24+AU35+AU36</f>
        <v>0</v>
      </c>
      <c r="AV61" s="40" t="n">
        <f aca="false">AV24+AV35+AV36</f>
        <v>0</v>
      </c>
      <c r="AW61" s="40" t="n">
        <f aca="false">AW24+AW35+AW36</f>
        <v>0</v>
      </c>
      <c r="AX61" s="40" t="n">
        <f aca="false">AX24+AX35+AX36</f>
        <v>0</v>
      </c>
      <c r="AY61" s="40" t="n">
        <f aca="false">AY24+AY35+AY36</f>
        <v>0</v>
      </c>
      <c r="AZ61" s="40" t="n">
        <f aca="false">AZ24+AZ35+AZ36</f>
        <v>0</v>
      </c>
      <c r="BA61" s="40" t="n">
        <f aca="false">BA24+BA35+BA36</f>
        <v>0</v>
      </c>
      <c r="BB61" s="40" t="n">
        <f aca="false">BB24+BB35+BB36</f>
        <v>0</v>
      </c>
      <c r="BC61" s="40" t="n">
        <f aca="false">BC24+BC35+BC36</f>
        <v>0</v>
      </c>
      <c r="BD61" s="40" t="n">
        <f aca="false">BD24+BD35+BD36</f>
        <v>0</v>
      </c>
      <c r="BE61" s="40" t="n">
        <f aca="false">BE24+BE35+BE36</f>
        <v>0</v>
      </c>
      <c r="BF61" s="40" t="n">
        <f aca="false">BF24+BF35+BF36</f>
        <v>0</v>
      </c>
      <c r="BG61" s="40" t="n">
        <f aca="false">BG24+BG35+BG36</f>
        <v>0</v>
      </c>
      <c r="BH61" s="40" t="n">
        <f aca="false">BH24+BH35+BH36</f>
        <v>0</v>
      </c>
      <c r="BI61" s="40" t="n">
        <f aca="false">BI24+BI35+BI36</f>
        <v>0</v>
      </c>
      <c r="BJ61" s="40" t="n">
        <f aca="false">BJ24+BJ35+BJ36</f>
        <v>0</v>
      </c>
      <c r="BK61" s="40" t="n">
        <f aca="false">BK24+BK35+BK36</f>
        <v>0</v>
      </c>
      <c r="BL61" s="40" t="n">
        <f aca="false">BL24+BL35+BL36</f>
        <v>0</v>
      </c>
      <c r="BM61" s="40" t="n">
        <f aca="false">BM24+BM35+BM36</f>
        <v>0</v>
      </c>
      <c r="BN61" s="40" t="n">
        <f aca="false">BN24+BN35+BN36</f>
        <v>0</v>
      </c>
      <c r="BO61" s="40" t="n">
        <f aca="false">BO24+BO35+BO36</f>
        <v>0</v>
      </c>
      <c r="BP61" s="40" t="n">
        <f aca="false">BP24+BP35+BP36</f>
        <v>0</v>
      </c>
      <c r="BQ61" s="40" t="n">
        <f aca="false">BQ24+BQ35+BQ36</f>
        <v>0</v>
      </c>
      <c r="BR61" s="40" t="n">
        <f aca="false">BR24+BR35+BR36</f>
        <v>0</v>
      </c>
      <c r="BS61" s="40" t="n">
        <f aca="false">BS24+BS35+BS36</f>
        <v>0</v>
      </c>
      <c r="BT61" s="40" t="n">
        <f aca="false">BT24+BT35+BT36</f>
        <v>0</v>
      </c>
      <c r="BU61" s="40" t="n">
        <f aca="false">BU24+BU35+BU36</f>
        <v>0</v>
      </c>
      <c r="BV61" s="40" t="n">
        <f aca="false">BV24+BV35+BV36</f>
        <v>0</v>
      </c>
      <c r="BW61" s="40" t="n">
        <f aca="false">BW24+BW35+BW36</f>
        <v>0</v>
      </c>
      <c r="BX61" s="40" t="n">
        <f aca="false">BX24+BX35+BX36</f>
        <v>0</v>
      </c>
      <c r="BY61" s="40" t="n">
        <f aca="false">BY24+BY35+BY36</f>
        <v>0</v>
      </c>
      <c r="BZ61" s="40" t="n">
        <f aca="false">BZ24+BZ35+BZ36</f>
        <v>0</v>
      </c>
      <c r="CA61" s="40" t="n">
        <f aca="false">CA24+CA35+CA36</f>
        <v>0</v>
      </c>
      <c r="CB61" s="40" t="n">
        <f aca="false">CB24+CB35+CB36</f>
        <v>0</v>
      </c>
      <c r="CC61" s="40" t="n">
        <f aca="false">CC24+CC35+CC36</f>
        <v>0</v>
      </c>
      <c r="CD61" s="40" t="n">
        <f aca="false">CD24+CD35+CD36</f>
        <v>0</v>
      </c>
      <c r="CE61" s="40" t="n">
        <f aca="false">CE24+CE35+CE36</f>
        <v>0</v>
      </c>
      <c r="CF61" s="40" t="n">
        <f aca="false">CF24+CF35+CF36</f>
        <v>0</v>
      </c>
      <c r="CG61" s="40" t="n">
        <f aca="false">CG24+CG35+CG36</f>
        <v>0</v>
      </c>
      <c r="CH61" s="40" t="n">
        <f aca="false">CH24+CH35+CH36</f>
        <v>0</v>
      </c>
      <c r="CI61" s="40" t="n">
        <f aca="false">CI24+CI35+CI36</f>
        <v>0</v>
      </c>
      <c r="CJ61" s="40" t="n">
        <f aca="false">CJ24+CJ35+CJ36</f>
        <v>0</v>
      </c>
      <c r="CK61" s="40" t="n">
        <f aca="false">CK24+CK35+CK36</f>
        <v>0</v>
      </c>
      <c r="CL61" s="40" t="n">
        <f aca="false">CL24+CL35+CL36</f>
        <v>0</v>
      </c>
      <c r="CM61" s="40" t="n">
        <f aca="false">CM24+CM35+CM36</f>
        <v>0</v>
      </c>
      <c r="CN61" s="40" t="n">
        <f aca="false">CN24+CN35+CN36</f>
        <v>0</v>
      </c>
      <c r="CO61" s="40" t="n">
        <f aca="false">CO24+CO35+CO36</f>
        <v>0</v>
      </c>
      <c r="CP61" s="40" t="n">
        <f aca="false">CP24+CP35+CP36</f>
        <v>0</v>
      </c>
      <c r="CQ61" s="40" t="n">
        <f aca="false">CQ24+CQ35+CQ36</f>
        <v>0</v>
      </c>
      <c r="CR61" s="40" t="n">
        <f aca="false">CR24+CR35+CR36</f>
        <v>0</v>
      </c>
      <c r="CS61" s="40" t="n">
        <f aca="false">CS24+CS35+CS36</f>
        <v>0</v>
      </c>
      <c r="CT61" s="40" t="n">
        <f aca="false">CT24+CT35+CT36</f>
        <v>0</v>
      </c>
      <c r="CU61" s="40" t="n">
        <f aca="false">CU24+CU35+CU36</f>
        <v>0</v>
      </c>
    </row>
    <row r="62" customFormat="false" ht="15" hidden="false" customHeight="false" outlineLevel="0" collapsed="false">
      <c r="A62" s="35" t="s">
        <v>147</v>
      </c>
      <c r="B62" s="26" t="n">
        <f aca="false">SUM(C62:CU62)</f>
        <v>259149552.310327</v>
      </c>
      <c r="C62" s="40" t="n">
        <f aca="false">IF(AND(MONTH(C10)=12,C$5&gt;0),MAX(0,SUM(C60:C60)-SUM(C61:C61))*Zakat,0)</f>
        <v>0</v>
      </c>
      <c r="D62" s="40" t="n">
        <f aca="false">IF(AND(MONTH(D10)=12,D$5&gt;0),MAX(0,SUM(C60:D60)-SUM(C61:D61))*Zakat,0)</f>
        <v>0</v>
      </c>
      <c r="E62" s="40" t="n">
        <f aca="false">IF(AND(MONTH(E10)=12,E$5&gt;0),MAX(0,SUM(C60:E60)-SUM(C61:E61))*Zakat,0)</f>
        <v>0</v>
      </c>
      <c r="F62" s="40" t="n">
        <f aca="false">IF(AND(MONTH(F10)=12,F$5&gt;0),MAX(0,SUM(C60:F60)-SUM(C61:F61))*Zakat,0)</f>
        <v>0</v>
      </c>
      <c r="G62" s="40" t="n">
        <f aca="false">IF(AND(MONTH(G10)=12,G$5&gt;0),MAX(0,SUM(C60:G60)-SUM(C61:G61))*Zakat,0)</f>
        <v>0</v>
      </c>
      <c r="H62" s="40" t="n">
        <f aca="false">IF(AND(MONTH(H10)=12,H$5&gt;0),MAX(0,SUM(C60:H60)-SUM(C61:H61))*Zakat,0)</f>
        <v>0</v>
      </c>
      <c r="I62" s="40" t="n">
        <f aca="false">IF(AND(MONTH(I10)=12,I$5&gt;0),MAX(0,SUM(C60:I60)-SUM(C61:I61))*Zakat,0)</f>
        <v>0</v>
      </c>
      <c r="J62" s="40" t="n">
        <f aca="false">IF(AND(MONTH(J10)=12,J$5&gt;0),MAX(0,SUM(C60:J60)-SUM(C61:J61))*Zakat,0)</f>
        <v>0</v>
      </c>
      <c r="K62" s="40" t="n">
        <f aca="false">IF(AND(MONTH(K10)=12,K$5&gt;0),MAX(0,SUM(C60:K60)-SUM(C61:K61))*Zakat,0)</f>
        <v>0</v>
      </c>
      <c r="L62" s="40" t="n">
        <f aca="false">IF(AND(MONTH(L10)=12,L$5&gt;0),MAX(0,SUM(C60:L60)-SUM(C61:L61))*Zakat,0)</f>
        <v>0</v>
      </c>
      <c r="M62" s="40" t="n">
        <f aca="false">IF(AND(MONTH(M10)=12,M$5&gt;0),MAX(0,SUM(C60:M60)-SUM(C61:M61))*Zakat,0)</f>
        <v>0</v>
      </c>
      <c r="N62" s="40" t="n">
        <f aca="false">IF(AND(MONTH(N10)=12,N$5&gt;0),MAX(0,SUM(C60:N60)-SUM(C61:N61))*Zakat,0)</f>
        <v>0</v>
      </c>
      <c r="O62" s="40" t="n">
        <f aca="false">IF(AND(MONTH(O10)=12,O$5&gt;0),MAX(0,SUM(D60:O60)-SUM(D61:O61))*Zakat,0)</f>
        <v>0</v>
      </c>
      <c r="P62" s="40" t="n">
        <f aca="false">IF(AND(MONTH(P10)=12,P$5&gt;0),MAX(0,SUM(E60:P60)-SUM(E61:P61))*Zakat,0)</f>
        <v>0</v>
      </c>
      <c r="Q62" s="40" t="n">
        <f aca="false">IF(AND(MONTH(Q10)=12,Q$5&gt;0),MAX(0,SUM(F60:Q60)-SUM(F61:Q61))*Zakat,0)</f>
        <v>0</v>
      </c>
      <c r="R62" s="40" t="n">
        <f aca="false">IF(AND(MONTH(R10)=12,R$5&gt;0),MAX(0,SUM(G60:R60)-SUM(G61:R61))*Zakat,0)</f>
        <v>0</v>
      </c>
      <c r="S62" s="40" t="n">
        <f aca="false">IF(AND(MONTH(S10)=12,S$5&gt;0),MAX(0,SUM(H60:S60)-SUM(H61:S61))*Zakat,0)</f>
        <v>0</v>
      </c>
      <c r="T62" s="40" t="n">
        <f aca="false">IF(AND(MONTH(T10)=12,T$5&gt;0),MAX(0,SUM(I60:T60)-SUM(I61:T61))*Zakat,0)</f>
        <v>0</v>
      </c>
      <c r="U62" s="40" t="n">
        <f aca="false">IF(AND(MONTH(U10)=12,U$5&gt;0),MAX(0,SUM(J60:U60)-SUM(J61:U61))*Zakat,0)</f>
        <v>0</v>
      </c>
      <c r="V62" s="40" t="n">
        <f aca="false">IF(AND(MONTH(V10)=12,V$5&gt;0),MAX(0,SUM(K60:V60)-SUM(K61:V61))*Zakat,0)</f>
        <v>0</v>
      </c>
      <c r="W62" s="40" t="n">
        <f aca="false">IF(AND(MONTH(W10)=12,W$5&gt;0),MAX(0,SUM(L60:W60)-SUM(L61:W61))*Zakat,0)</f>
        <v>0</v>
      </c>
      <c r="X62" s="40" t="n">
        <f aca="false">IF(AND(MONTH(X10)=12,X$5&gt;0),MAX(0,SUM(M60:X60)-SUM(M61:X61))*Zakat,0)</f>
        <v>0</v>
      </c>
      <c r="Y62" s="40" t="n">
        <f aca="false">IF(AND(MONTH(Y10)=12,Y$5&gt;0),MAX(0,SUM(N60:Y60)-SUM(N61:Y61))*Zakat,0)</f>
        <v>0</v>
      </c>
      <c r="Z62" s="40" t="n">
        <f aca="false">IF(AND(MONTH(Z10)=12,Z$5&gt;0),MAX(0,SUM(O60:Z60)-SUM(O61:Z61))*Zakat,0)</f>
        <v>0</v>
      </c>
      <c r="AA62" s="40" t="n">
        <f aca="false">IF(AND(MONTH(AA10)=12,AA$5&gt;0),MAX(0,SUM(P60:AA60)-SUM(P61:AA61))*Zakat,0)</f>
        <v>0</v>
      </c>
      <c r="AB62" s="40" t="n">
        <f aca="false">IF(AND(MONTH(AB10)=12,AB$5&gt;0),MAX(0,SUM(Q60:AB60)-SUM(Q61:AB61))*Zakat,0)</f>
        <v>0</v>
      </c>
      <c r="AC62" s="40" t="n">
        <f aca="false">IF(AND(MONTH(AC10)=12,AC$5&gt;0),MAX(0,SUM(R60:AC60)-SUM(R61:AC61))*Zakat,0)</f>
        <v>0</v>
      </c>
      <c r="AD62" s="40" t="n">
        <f aca="false">IF(AND(MONTH(AD10)=12,AD$5&gt;0),MAX(0,SUM(S60:AD60)-SUM(S61:AD61))*Zakat,0)</f>
        <v>0</v>
      </c>
      <c r="AE62" s="40" t="n">
        <f aca="false">IF(AND(MONTH(AE10)=12,AE$5&gt;0),MAX(0,SUM(T60:AE60)-SUM(T61:AE61))*Zakat,0)</f>
        <v>0</v>
      </c>
      <c r="AF62" s="40" t="n">
        <f aca="false">IF(AND(MONTH(AF10)=12,AF$5&gt;0),MAX(0,SUM(U60:AF60)-SUM(U61:AF61))*Zakat,0)</f>
        <v>0</v>
      </c>
      <c r="AG62" s="40" t="n">
        <f aca="false">IF(AND(MONTH(AG10)=12,AG$5&gt;0),MAX(0,SUM(V60:AG60)-SUM(V61:AG61))*Zakat,0)</f>
        <v>0</v>
      </c>
      <c r="AH62" s="40" t="n">
        <f aca="false">IF(AND(MONTH(AH10)=12,AH$5&gt;0),MAX(0,SUM(W60:AH60)-SUM(W61:AH61))*Zakat,0)</f>
        <v>0</v>
      </c>
      <c r="AI62" s="40" t="n">
        <f aca="false">IF(AND(MONTH(AI10)=12,AI$5&gt;0),MAX(0,SUM(X60:AI60)-SUM(X61:AI61))*Zakat,0)</f>
        <v>0</v>
      </c>
      <c r="AJ62" s="40" t="n">
        <f aca="false">IF(AND(MONTH(AJ10)=12,AJ$5&gt;0),MAX(0,SUM(Y60:AJ60)-SUM(Y61:AJ61))*Zakat,0)</f>
        <v>0</v>
      </c>
      <c r="AK62" s="40" t="n">
        <f aca="false">IF(AND(MONTH(AK10)=12,AK$5&gt;0),MAX(0,SUM(Z60:AK60)-SUM(Z61:AK61))*Zakat,0)</f>
        <v>0</v>
      </c>
      <c r="AL62" s="40" t="n">
        <f aca="false">IF(AND(MONTH(AL10)=12,AL$5&gt;0),MAX(0,SUM(AA60:AL60)-SUM(AA61:AL61))*Zakat,0)</f>
        <v>0</v>
      </c>
      <c r="AM62" s="40" t="n">
        <f aca="false">IF(AND(MONTH(AM10)=12,AM$5&gt;0),MAX(0,SUM(AB60:AM60)-SUM(AB61:AM61))*Zakat,0)</f>
        <v>8649785.07286282</v>
      </c>
      <c r="AN62" s="40" t="n">
        <f aca="false">IF(AND(MONTH(AN10)=12,AN$5&gt;0),MAX(0,SUM(AC60:AN60)-SUM(AC61:AN61))*Zakat,0)</f>
        <v>0</v>
      </c>
      <c r="AO62" s="40" t="n">
        <f aca="false">IF(AND(MONTH(AO10)=12,AO$5&gt;0),MAX(0,SUM(AD60:AO60)-SUM(AD61:AO61))*Zakat,0)</f>
        <v>0</v>
      </c>
      <c r="AP62" s="40" t="n">
        <f aca="false">IF(AND(MONTH(AP10)=12,AP$5&gt;0),MAX(0,SUM(AE60:AP60)-SUM(AE61:AP61))*Zakat,0)</f>
        <v>0</v>
      </c>
      <c r="AQ62" s="40" t="n">
        <f aca="false">IF(AND(MONTH(AQ10)=12,AQ$5&gt;0),MAX(0,SUM(AF60:AQ60)-SUM(AF61:AQ61))*Zakat,0)</f>
        <v>0</v>
      </c>
      <c r="AR62" s="40" t="n">
        <f aca="false">IF(AND(MONTH(AR10)=12,AR$5&gt;0),MAX(0,SUM(AG60:AR60)-SUM(AG61:AR61))*Zakat,0)</f>
        <v>0</v>
      </c>
      <c r="AS62" s="40" t="n">
        <f aca="false">IF(AND(MONTH(AS10)=12,AS$5&gt;0),MAX(0,SUM(AH60:AS60)-SUM(AH61:AS61))*Zakat,0)</f>
        <v>0</v>
      </c>
      <c r="AT62" s="40" t="n">
        <f aca="false">IF(AND(MONTH(AT10)=12,AT$5&gt;0),MAX(0,SUM(AI60:AT60)-SUM(AI61:AT61))*Zakat,0)</f>
        <v>0</v>
      </c>
      <c r="AU62" s="40" t="n">
        <f aca="false">IF(AND(MONTH(AU10)=12,AU$5&gt;0),MAX(0,SUM(AJ60:AU60)-SUM(AJ61:AU61))*Zakat,0)</f>
        <v>0</v>
      </c>
      <c r="AV62" s="40" t="n">
        <f aca="false">IF(AND(MONTH(AV10)=12,AV$5&gt;0),MAX(0,SUM(AK60:AV60)-SUM(AK61:AV61))*Zakat,0)</f>
        <v>0</v>
      </c>
      <c r="AW62" s="40" t="n">
        <f aca="false">IF(AND(MONTH(AW10)=12,AW$5&gt;0),MAX(0,SUM(AL60:AW60)-SUM(AL61:AW61))*Zakat,0)</f>
        <v>0</v>
      </c>
      <c r="AX62" s="40" t="n">
        <f aca="false">IF(AND(MONTH(AX10)=12,AX$5&gt;0),MAX(0,SUM(AM60:AX60)-SUM(AM61:AX61))*Zakat,0)</f>
        <v>0</v>
      </c>
      <c r="AY62" s="40" t="n">
        <f aca="false">IF(AND(MONTH(AY10)=12,AY$5&gt;0),MAX(0,SUM(AN60:AY60)-SUM(AN61:AY61))*Zakat,0)</f>
        <v>9474242.76231971</v>
      </c>
      <c r="AZ62" s="40" t="n">
        <f aca="false">IF(AND(MONTH(AZ10)=12,AZ$5&gt;0),MAX(0,SUM(AO60:AZ60)-SUM(AO61:AZ61))*Zakat,0)</f>
        <v>0</v>
      </c>
      <c r="BA62" s="40" t="n">
        <f aca="false">IF(AND(MONTH(BA10)=12,BA$5&gt;0),MAX(0,SUM(AP60:BA60)-SUM(AP61:BA61))*Zakat,0)</f>
        <v>0</v>
      </c>
      <c r="BB62" s="40" t="n">
        <f aca="false">IF(AND(MONTH(BB10)=12,BB$5&gt;0),MAX(0,SUM(AQ60:BB60)-SUM(AQ61:BB61))*Zakat,0)</f>
        <v>0</v>
      </c>
      <c r="BC62" s="40" t="n">
        <f aca="false">IF(AND(MONTH(BC10)=12,BC$5&gt;0),MAX(0,SUM(AR60:BC60)-SUM(AR61:BC61))*Zakat,0)</f>
        <v>0</v>
      </c>
      <c r="BD62" s="40" t="n">
        <f aca="false">IF(AND(MONTH(BD10)=12,BD$5&gt;0),MAX(0,SUM(AS60:BD60)-SUM(AS61:BD61))*Zakat,0)</f>
        <v>0</v>
      </c>
      <c r="BE62" s="40" t="n">
        <f aca="false">IF(AND(MONTH(BE10)=12,BE$5&gt;0),MAX(0,SUM(AT60:BE60)-SUM(AT61:BE61))*Zakat,0)</f>
        <v>0</v>
      </c>
      <c r="BF62" s="40" t="n">
        <f aca="false">IF(AND(MONTH(BF10)=12,BF$5&gt;0),MAX(0,SUM(AU60:BF60)-SUM(AU61:BF61))*Zakat,0)</f>
        <v>0</v>
      </c>
      <c r="BG62" s="40" t="n">
        <f aca="false">IF(AND(MONTH(BG10)=12,BG$5&gt;0),MAX(0,SUM(AV60:BG60)-SUM(AV61:BG61))*Zakat,0)</f>
        <v>0</v>
      </c>
      <c r="BH62" s="40" t="n">
        <f aca="false">IF(AND(MONTH(BH10)=12,BH$5&gt;0),MAX(0,SUM(AW60:BH60)-SUM(AW61:BH61))*Zakat,0)</f>
        <v>0</v>
      </c>
      <c r="BI62" s="40" t="n">
        <f aca="false">IF(AND(MONTH(BI10)=12,BI$5&gt;0),MAX(0,SUM(AX60:BI60)-SUM(AX61:BI61))*Zakat,0)</f>
        <v>0</v>
      </c>
      <c r="BJ62" s="40" t="n">
        <f aca="false">IF(AND(MONTH(BJ10)=12,BJ$5&gt;0),MAX(0,SUM(AY60:BJ60)-SUM(AY61:BJ61))*Zakat,0)</f>
        <v>0</v>
      </c>
      <c r="BK62" s="40" t="n">
        <f aca="false">IF(AND(MONTH(BK10)=12,BK$5&gt;0),MAX(0,SUM(AZ60:BK60)-SUM(AZ61:BK61))*Zakat,0)</f>
        <v>14915534.1879766</v>
      </c>
      <c r="BL62" s="40" t="n">
        <f aca="false">IF(AND(MONTH(BL10)=12,BL$5&gt;0),MAX(0,SUM(BA60:BL60)-SUM(BA61:BL61))*Zakat,0)</f>
        <v>0</v>
      </c>
      <c r="BM62" s="40" t="n">
        <f aca="false">IF(AND(MONTH(BM10)=12,BM$5&gt;0),MAX(0,SUM(BB60:BM60)-SUM(BB61:BM61))*Zakat,0)</f>
        <v>0</v>
      </c>
      <c r="BN62" s="40" t="n">
        <f aca="false">IF(AND(MONTH(BN10)=12,BN$5&gt;0),MAX(0,SUM(BC60:BN60)-SUM(BC61:BN61))*Zakat,0)</f>
        <v>0</v>
      </c>
      <c r="BO62" s="40" t="n">
        <f aca="false">IF(AND(MONTH(BO10)=12,BO$5&gt;0),MAX(0,SUM(BD60:BO60)-SUM(BD61:BO61))*Zakat,0)</f>
        <v>0</v>
      </c>
      <c r="BP62" s="40" t="n">
        <f aca="false">IF(AND(MONTH(BP10)=12,BP$5&gt;0),MAX(0,SUM(BE60:BP60)-SUM(BE61:BP61))*Zakat,0)</f>
        <v>0</v>
      </c>
      <c r="BQ62" s="40" t="n">
        <f aca="false">IF(AND(MONTH(BQ10)=12,BQ$5&gt;0),MAX(0,SUM(BF60:BQ60)-SUM(BF61:BQ61))*Zakat,0)</f>
        <v>0</v>
      </c>
      <c r="BR62" s="40" t="n">
        <f aca="false">IF(AND(MONTH(BR10)=12,BR$5&gt;0),MAX(0,SUM(BG60:BR60)-SUM(BG61:BR61))*Zakat,0)</f>
        <v>0</v>
      </c>
      <c r="BS62" s="40" t="n">
        <f aca="false">IF(AND(MONTH(BS10)=12,BS$5&gt;0),MAX(0,SUM(BH60:BS60)-SUM(BH61:BS61))*Zakat,0)</f>
        <v>0</v>
      </c>
      <c r="BT62" s="40" t="n">
        <f aca="false">IF(AND(MONTH(BT10)=12,BT$5&gt;0),MAX(0,SUM(BI60:BT60)-SUM(BI61:BT61))*Zakat,0)</f>
        <v>0</v>
      </c>
      <c r="BU62" s="40" t="n">
        <f aca="false">IF(AND(MONTH(BU10)=12,BU$5&gt;0),MAX(0,SUM(BJ60:BU60)-SUM(BJ61:BU61))*Zakat,0)</f>
        <v>0</v>
      </c>
      <c r="BV62" s="40" t="n">
        <f aca="false">IF(AND(MONTH(BV10)=12,BV$5&gt;0),MAX(0,SUM(BK60:BV60)-SUM(BK61:BV61))*Zakat,0)</f>
        <v>0</v>
      </c>
      <c r="BW62" s="40" t="n">
        <f aca="false">IF(AND(MONTH(BW10)=12,BW$5&gt;0),MAX(0,SUM(BL60:BW60)-SUM(BL61:BW61))*Zakat,0)</f>
        <v>226109990.287168</v>
      </c>
      <c r="BX62" s="40" t="n">
        <f aca="false">IF(AND(MONTH(BX10)=12,BX$5&gt;0),MAX(0,SUM(BM60:BX60)-SUM(BM61:BX61))*Zakat,0)</f>
        <v>0</v>
      </c>
      <c r="BY62" s="40" t="n">
        <f aca="false">IF(AND(MONTH(BY10)=12,BY$5&gt;0),MAX(0,SUM(BN60:BY60)-SUM(BN61:BY61))*Zakat,0)</f>
        <v>0</v>
      </c>
      <c r="BZ62" s="40" t="n">
        <f aca="false">IF(AND(MONTH(BZ10)=12,BZ$5&gt;0),MAX(0,SUM(BO60:BZ60)-SUM(BO61:BZ61))*Zakat,0)</f>
        <v>0</v>
      </c>
      <c r="CA62" s="40" t="n">
        <f aca="false">IF(AND(MONTH(CA10)=12,CA$5&gt;0),MAX(0,SUM(BP60:CA60)-SUM(BP61:CA61))*Zakat,0)</f>
        <v>0</v>
      </c>
      <c r="CB62" s="40" t="n">
        <f aca="false">IF(AND(MONTH(CB10)=12,CB$5&gt;0),MAX(0,SUM(BQ60:CB60)-SUM(BQ61:CB61))*Zakat,0)</f>
        <v>0</v>
      </c>
      <c r="CC62" s="40" t="n">
        <f aca="false">IF(AND(MONTH(CC10)=12,CC$5&gt;0),MAX(0,SUM(BR60:CC60)-SUM(BR61:CC61))*Zakat,0)</f>
        <v>0</v>
      </c>
      <c r="CD62" s="40" t="n">
        <f aca="false">IF(AND(MONTH(CD10)=12,CD$5&gt;0),MAX(0,SUM(BS60:CD60)-SUM(BS61:CD61))*Zakat,0)</f>
        <v>0</v>
      </c>
      <c r="CE62" s="40" t="n">
        <f aca="false">IF(AND(MONTH(CE10)=12,CE$5&gt;0),MAX(0,SUM(BT60:CE60)-SUM(BT61:CE61))*Zakat,0)</f>
        <v>0</v>
      </c>
      <c r="CF62" s="40" t="n">
        <f aca="false">IF(AND(MONTH(CF10)=12,CF$5&gt;0),MAX(0,SUM(BU60:CF60)-SUM(BU61:CF61))*Zakat,0)</f>
        <v>0</v>
      </c>
      <c r="CG62" s="40" t="n">
        <f aca="false">IF(AND(MONTH(CG10)=12,CG$5&gt;0),MAX(0,SUM(BV60:CG60)-SUM(BV61:CG61))*Zakat,0)</f>
        <v>0</v>
      </c>
      <c r="CH62" s="40" t="n">
        <f aca="false">IF(AND(MONTH(CH10)=12,CH$5&gt;0),MAX(0,SUM(BW60:CH60)-SUM(BW61:CH61))*Zakat,0)</f>
        <v>0</v>
      </c>
      <c r="CI62" s="40" t="n">
        <f aca="false">IF(AND(MONTH(CI10)=12,CI$5&gt;0),MAX(0,SUM(BX60:CI60)-SUM(BX61:CI61))*Zakat,0)</f>
        <v>0</v>
      </c>
      <c r="CJ62" s="40" t="n">
        <f aca="false">IF(AND(MONTH(CJ10)=12,CJ$5&gt;0),MAX(0,SUM(BY60:CJ60)-SUM(BY61:CJ61))*Zakat,0)</f>
        <v>0</v>
      </c>
      <c r="CK62" s="40" t="n">
        <f aca="false">IF(AND(MONTH(CK10)=12,CK$5&gt;0),MAX(0,SUM(BZ60:CK60)-SUM(BZ61:CK61))*Zakat,0)</f>
        <v>0</v>
      </c>
      <c r="CL62" s="40" t="n">
        <f aca="false">IF(AND(MONTH(CL10)=12,CL$5&gt;0),MAX(0,SUM(CA60:CL60)-SUM(CA61:CL61))*Zakat,0)</f>
        <v>0</v>
      </c>
      <c r="CM62" s="40" t="n">
        <f aca="false">IF(AND(MONTH(CM10)=12,CM$5&gt;0),MAX(0,SUM(CB60:CM60)-SUM(CB61:CM61))*Zakat,0)</f>
        <v>0</v>
      </c>
      <c r="CN62" s="40" t="n">
        <f aca="false">IF(AND(MONTH(CN10)=12,CN$5&gt;0),MAX(0,SUM(CC60:CN60)-SUM(CC61:CN61))*Zakat,0)</f>
        <v>0</v>
      </c>
      <c r="CO62" s="40" t="n">
        <f aca="false">IF(AND(MONTH(CO10)=12,CO$5&gt;0),MAX(0,SUM(CD60:CO60)-SUM(CD61:CO61))*Zakat,0)</f>
        <v>0</v>
      </c>
      <c r="CP62" s="40" t="n">
        <f aca="false">IF(AND(MONTH(CP10)=12,CP$5&gt;0),MAX(0,SUM(CE60:CP60)-SUM(CE61:CP61))*Zakat,0)</f>
        <v>0</v>
      </c>
      <c r="CQ62" s="40" t="n">
        <f aca="false">IF(AND(MONTH(CQ10)=12,CQ$5&gt;0),MAX(0,SUM(CF60:CQ60)-SUM(CF61:CQ61))*Zakat,0)</f>
        <v>0</v>
      </c>
      <c r="CR62" s="40" t="n">
        <f aca="false">IF(AND(MONTH(CR10)=12,CR$5&gt;0),MAX(0,SUM(CG60:CR60)-SUM(CG61:CR61))*Zakat,0)</f>
        <v>0</v>
      </c>
      <c r="CS62" s="40" t="n">
        <f aca="false">IF(AND(MONTH(CS10)=12,CS$5&gt;0),MAX(0,SUM(CH60:CS60)-SUM(CH61:CS61))*Zakat,0)</f>
        <v>0</v>
      </c>
      <c r="CT62" s="40" t="n">
        <f aca="false">IF(AND(MONTH(CT10)=12,CT$5&gt;0),MAX(0,SUM(CI60:CT60)-SUM(CI61:CT61))*Zakat,0)</f>
        <v>0</v>
      </c>
      <c r="CU62" s="40" t="n">
        <f aca="false">IF(AND(MONTH(CU10)=12,CU$5&gt;0),MAX(0,SUM(CJ60:CU60)-SUM(CJ61:CU61))*Zakat,0)</f>
        <v>0</v>
      </c>
    </row>
    <row r="63" customFormat="false" ht="15" hidden="false" customHeight="false" outlineLevel="0" collapsed="false">
      <c r="A63" s="15" t="s">
        <v>148</v>
      </c>
      <c r="B63" s="26" t="n">
        <f aca="false">SUM(C63:CU63)</f>
        <v>8685313973.4318</v>
      </c>
      <c r="C63" s="26" t="n">
        <f aca="false">C60-C61-C62</f>
        <v>-682500000</v>
      </c>
      <c r="D63" s="26" t="n">
        <f aca="false">D60-D61-D62</f>
        <v>-3695649.90286474</v>
      </c>
      <c r="E63" s="26" t="n">
        <f aca="false">E60-E61-E62</f>
        <v>-11046459.3948938</v>
      </c>
      <c r="F63" s="26" t="n">
        <f aca="false">F60-F61-F62</f>
        <v>-18977154.2222098</v>
      </c>
      <c r="G63" s="26" t="n">
        <f aca="false">G60-G61-G62</f>
        <v>-25843957.5556137</v>
      </c>
      <c r="H63" s="26" t="n">
        <f aca="false">H60-H61-H62</f>
        <v>-32310890.459827</v>
      </c>
      <c r="I63" s="26" t="n">
        <f aca="false">I60-I61-I62</f>
        <v>-38254895.459553</v>
      </c>
      <c r="J63" s="26" t="n">
        <f aca="false">J60-J61-J62</f>
        <v>-43548819.7666526</v>
      </c>
      <c r="K63" s="26" t="n">
        <f aca="false">K60-K61-K62</f>
        <v>-48066111.2785111</v>
      </c>
      <c r="L63" s="26" t="n">
        <f aca="false">L60-L61-L62</f>
        <v>-51685897.1404336</v>
      </c>
      <c r="M63" s="26" t="n">
        <f aca="false">M60-M61-M62</f>
        <v>-54298220.3803826</v>
      </c>
      <c r="N63" s="26" t="n">
        <f aca="false">N60-N61-N62</f>
        <v>-55809197.7638685</v>
      </c>
      <c r="O63" s="26" t="n">
        <f aca="false">O60-O61-O62</f>
        <v>-56145860.216079</v>
      </c>
      <c r="P63" s="26" t="n">
        <f aca="false">P60-P61-P62</f>
        <v>-55260446.079813</v>
      </c>
      <c r="Q63" s="26" t="n">
        <f aca="false">Q60-Q61-Q62</f>
        <v>-53133936.8220544</v>
      </c>
      <c r="R63" s="26" t="n">
        <f aca="false">R60-R61-R62</f>
        <v>-49778653.8291445</v>
      </c>
      <c r="S63" s="26" t="n">
        <f aca="false">S60-S61-S62</f>
        <v>-45239772.509235</v>
      </c>
      <c r="T63" s="26" t="n">
        <f aca="false">T60-T61-T62</f>
        <v>-39595654.6133941</v>
      </c>
      <c r="U63" s="26" t="n">
        <f aca="false">U60-U61-U62</f>
        <v>-32956949.8885203</v>
      </c>
      <c r="V63" s="26" t="n">
        <f aca="false">V60-V61-V62</f>
        <v>-25464472.3553222</v>
      </c>
      <c r="W63" s="26" t="n">
        <f aca="false">W60-W61-W62</f>
        <v>-17285913.6771416</v>
      </c>
      <c r="X63" s="26" t="n">
        <f aca="false">X60-X61-X62</f>
        <v>-8611516.86285322</v>
      </c>
      <c r="Y63" s="26" t="n">
        <f aca="false">Y60-Y61-Y62</f>
        <v>351097.173412837</v>
      </c>
      <c r="Z63" s="26" t="n">
        <f aca="false">Z60-Z61-Z62</f>
        <v>9382663.01502211</v>
      </c>
      <c r="AA63" s="26" t="n">
        <f aca="false">AA60-AA61-AA62</f>
        <v>18258103.3189738</v>
      </c>
      <c r="AB63" s="26" t="n">
        <f aca="false">AB60-AB61-AB62</f>
        <v>26751566.8375044</v>
      </c>
      <c r="AC63" s="26" t="n">
        <f aca="false">AC60-AC61-AC62</f>
        <v>34638395.549643</v>
      </c>
      <c r="AD63" s="26" t="n">
        <f aca="false">AD60-AD61-AD62</f>
        <v>41686222.9124005</v>
      </c>
      <c r="AE63" s="26" t="n">
        <f aca="false">AE60-AE61-AE62</f>
        <v>47598422.5405713</v>
      </c>
      <c r="AF63" s="26" t="n">
        <f aca="false">AF60-AF61-AF62</f>
        <v>51641507.092584</v>
      </c>
      <c r="AG63" s="26" t="n">
        <f aca="false">AG60-AG61-AG62</f>
        <v>47408451.738256</v>
      </c>
      <c r="AH63" s="26" t="n">
        <f aca="false">AH60-AH61-AH62</f>
        <v>31847394.5499553</v>
      </c>
      <c r="AI63" s="26" t="n">
        <f aca="false">AI60-AI61-AI62</f>
        <v>31887699.8853998</v>
      </c>
      <c r="AJ63" s="26" t="n">
        <f aca="false">AJ60-AJ61-AJ62</f>
        <v>1176481.08921723</v>
      </c>
      <c r="AK63" s="26" t="n">
        <f aca="false">AK60-AK61-AK62</f>
        <v>1256386.97174992</v>
      </c>
      <c r="AL63" s="26" t="n">
        <f aca="false">AL60-AL61-AL62</f>
        <v>13740946.5857192</v>
      </c>
      <c r="AM63" s="26" t="n">
        <f aca="false">AM60-AM61-AM62</f>
        <v>7708142.08864943</v>
      </c>
      <c r="AN63" s="26" t="n">
        <f aca="false">AN60-AN61-AN62</f>
        <v>18945678.4262749</v>
      </c>
      <c r="AO63" s="26" t="n">
        <f aca="false">AO60-AO61-AO62</f>
        <v>21408569.8770493</v>
      </c>
      <c r="AP63" s="26" t="n">
        <f aca="false">AP60-AP61-AP62</f>
        <v>24159221.7506325</v>
      </c>
      <c r="AQ63" s="26" t="n">
        <f aca="false">AQ60-AQ61-AQ62</f>
        <v>4261714.36383215</v>
      </c>
      <c r="AR63" s="26" t="n">
        <f aca="false">AR60-AR61-AR62</f>
        <v>29423798.4299734</v>
      </c>
      <c r="AS63" s="26" t="n">
        <f aca="false">AS60-AS61-AS62</f>
        <v>32024086.3369586</v>
      </c>
      <c r="AT63" s="26" t="n">
        <f aca="false">AT60-AT61-AT62</f>
        <v>34739785.3749431</v>
      </c>
      <c r="AU63" s="26" t="n">
        <f aca="false">AU60-AU61-AU62</f>
        <v>37417176.1588135</v>
      </c>
      <c r="AV63" s="26" t="n">
        <f aca="false">AV60-AV61-AV62</f>
        <v>40052178.4195422</v>
      </c>
      <c r="AW63" s="26" t="n">
        <f aca="false">AW60-AW61-AW62</f>
        <v>42810990.6347855</v>
      </c>
      <c r="AX63" s="26" t="n">
        <f aca="false">AX60-AX61-AX62</f>
        <v>45469342.1916807</v>
      </c>
      <c r="AY63" s="26" t="n">
        <f aca="false">AY60-AY61-AY62</f>
        <v>38782925.7659829</v>
      </c>
      <c r="AZ63" s="26" t="n">
        <f aca="false">AZ60-AZ61-AZ62</f>
        <v>48415294.0299796</v>
      </c>
      <c r="BA63" s="26" t="n">
        <f aca="false">BA60-BA61-BA62</f>
        <v>54746685.1653392</v>
      </c>
      <c r="BB63" s="26" t="n">
        <f aca="false">BB60-BB61-BB62</f>
        <v>48733005.7810345</v>
      </c>
      <c r="BC63" s="26" t="n">
        <f aca="false">BC60-BC61-BC62</f>
        <v>48827351.2538202</v>
      </c>
      <c r="BD63" s="26" t="n">
        <f aca="false">BD60-BD61-BD62</f>
        <v>49052674.8001766</v>
      </c>
      <c r="BE63" s="26" t="n">
        <f aca="false">BE60-BE61-BE62</f>
        <v>49145126.5184761</v>
      </c>
      <c r="BF63" s="26" t="n">
        <f aca="false">BF60-BF61-BF62</f>
        <v>49334620.0457343</v>
      </c>
      <c r="BG63" s="26" t="n">
        <f aca="false">BG60-BG61-BG62</f>
        <v>49456292.5278812</v>
      </c>
      <c r="BH63" s="26" t="n">
        <f aca="false">BH60-BH61-BH62</f>
        <v>49509639.4493895</v>
      </c>
      <c r="BI63" s="26" t="n">
        <f aca="false">BI60-BI61-BI62</f>
        <v>49700538.4637407</v>
      </c>
      <c r="BJ63" s="26" t="n">
        <f aca="false">BJ60-BJ61-BJ62</f>
        <v>49754148.8455308</v>
      </c>
      <c r="BK63" s="26" t="n">
        <f aca="false">BK60-BK61-BK62</f>
        <v>35030456.4499835</v>
      </c>
      <c r="BL63" s="26" t="n">
        <f aca="false">BL60-BL61-BL62</f>
        <v>50069170.9249183</v>
      </c>
      <c r="BM63" s="26" t="n">
        <f aca="false">BM60-BM61-BM62</f>
        <v>50053702.8698216</v>
      </c>
      <c r="BN63" s="26" t="n">
        <f aca="false">BN60-BN61-BN62</f>
        <v>50316443.6355318</v>
      </c>
      <c r="BO63" s="26" t="n">
        <f aca="false">BO60-BO61-BO62</f>
        <v>50370718.3745387</v>
      </c>
      <c r="BP63" s="26" t="n">
        <f aca="false">BP60-BP61-BP62</f>
        <v>50564937.5326018</v>
      </c>
      <c r="BQ63" s="26" t="n">
        <f aca="false">BQ60-BQ61-BQ62</f>
        <v>50619480.3140304</v>
      </c>
      <c r="BR63" s="26" t="n">
        <f aca="false">BR60-BR61-BR62</f>
        <v>50814658.6471064</v>
      </c>
      <c r="BS63" s="26" t="n">
        <f aca="false">BS60-BS61-BS62</f>
        <v>50939981.3037176</v>
      </c>
      <c r="BT63" s="26" t="n">
        <f aca="false">BT60-BT61-BT62</f>
        <v>50994928.6328711</v>
      </c>
      <c r="BU63" s="26" t="n">
        <f aca="false">BU60-BU61-BU62</f>
        <v>51191554.617653</v>
      </c>
      <c r="BV63" s="26" t="n">
        <f aca="false">BV60-BV61-BV62</f>
        <v>51246773.3108968</v>
      </c>
      <c r="BW63" s="26" t="n">
        <f aca="false">BW60-BW61-BW62</f>
        <v>8261107271.03587</v>
      </c>
      <c r="BX63" s="26" t="n">
        <f aca="false">BX60-BX61-BX62</f>
        <v>0</v>
      </c>
      <c r="BY63" s="26" t="n">
        <f aca="false">BY60-BY61-BY62</f>
        <v>0</v>
      </c>
      <c r="BZ63" s="26" t="n">
        <f aca="false">BZ60-BZ61-BZ62</f>
        <v>0</v>
      </c>
      <c r="CA63" s="26" t="n">
        <f aca="false">CA60-CA61-CA62</f>
        <v>0</v>
      </c>
      <c r="CB63" s="26" t="n">
        <f aca="false">CB60-CB61-CB62</f>
        <v>0</v>
      </c>
      <c r="CC63" s="26" t="n">
        <f aca="false">CC60-CC61-CC62</f>
        <v>0</v>
      </c>
      <c r="CD63" s="26" t="n">
        <f aca="false">CD60-CD61-CD62</f>
        <v>0</v>
      </c>
      <c r="CE63" s="26" t="n">
        <f aca="false">CE60-CE61-CE62</f>
        <v>0</v>
      </c>
      <c r="CF63" s="26" t="n">
        <f aca="false">CF60-CF61-CF62</f>
        <v>0</v>
      </c>
      <c r="CG63" s="26" t="n">
        <f aca="false">CG60-CG61-CG62</f>
        <v>0</v>
      </c>
      <c r="CH63" s="26" t="n">
        <f aca="false">CH60-CH61-CH62</f>
        <v>0</v>
      </c>
      <c r="CI63" s="26" t="n">
        <f aca="false">CI60-CI61-CI62</f>
        <v>0</v>
      </c>
      <c r="CJ63" s="26" t="n">
        <f aca="false">CJ60-CJ61-CJ62</f>
        <v>0</v>
      </c>
      <c r="CK63" s="26" t="n">
        <f aca="false">CK60-CK61-CK62</f>
        <v>0</v>
      </c>
      <c r="CL63" s="26" t="n">
        <f aca="false">CL60-CL61-CL62</f>
        <v>0</v>
      </c>
      <c r="CM63" s="26" t="n">
        <f aca="false">CM60-CM61-CM62</f>
        <v>0</v>
      </c>
      <c r="CN63" s="26" t="n">
        <f aca="false">CN60-CN61-CN62</f>
        <v>0</v>
      </c>
      <c r="CO63" s="26" t="n">
        <f aca="false">CO60-CO61-CO62</f>
        <v>0</v>
      </c>
      <c r="CP63" s="26" t="n">
        <f aca="false">CP60-CP61-CP62</f>
        <v>0</v>
      </c>
      <c r="CQ63" s="26" t="n">
        <f aca="false">CQ60-CQ61-CQ62</f>
        <v>0</v>
      </c>
      <c r="CR63" s="26" t="n">
        <f aca="false">CR60-CR61-CR62</f>
        <v>0</v>
      </c>
      <c r="CS63" s="26" t="n">
        <f aca="false">CS60-CS61-CS62</f>
        <v>0</v>
      </c>
      <c r="CT63" s="26" t="n">
        <f aca="false">CT60-CT61-CT62</f>
        <v>0</v>
      </c>
      <c r="CU63" s="26" t="n">
        <f aca="false">CU60-CU61-CU62</f>
        <v>0</v>
      </c>
    </row>
    <row r="65" customFormat="false" ht="15" hidden="false" customHeight="false" outlineLevel="0" collapsed="false">
      <c r="A65" s="19" t="s">
        <v>149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customFormat="false" ht="15" hidden="false" customHeight="false" outlineLevel="0" collapsed="false">
      <c r="A66" s="35" t="s">
        <v>150</v>
      </c>
      <c r="B66" s="26" t="n">
        <f aca="false">SUM(C66:CU66)</f>
        <v>912621757.543711</v>
      </c>
      <c r="C66" s="40" t="n">
        <f aca="false">Financing!C13</f>
        <v>0</v>
      </c>
      <c r="D66" s="40" t="n">
        <f aca="false">Financing!D13</f>
        <v>0</v>
      </c>
      <c r="E66" s="40" t="n">
        <f aca="false">Financing!E13</f>
        <v>0</v>
      </c>
      <c r="F66" s="40" t="n">
        <f aca="false">Financing!F13</f>
        <v>0</v>
      </c>
      <c r="G66" s="40" t="n">
        <f aca="false">Financing!G13</f>
        <v>0</v>
      </c>
      <c r="H66" s="40" t="n">
        <f aca="false">Financing!H13</f>
        <v>0</v>
      </c>
      <c r="I66" s="40" t="n">
        <f aca="false">Financing!I13</f>
        <v>0</v>
      </c>
      <c r="J66" s="40" t="n">
        <f aca="false">Financing!J13</f>
        <v>0</v>
      </c>
      <c r="K66" s="40" t="n">
        <f aca="false">Financing!K13</f>
        <v>0</v>
      </c>
      <c r="L66" s="40" t="n">
        <f aca="false">Financing!L13</f>
        <v>0</v>
      </c>
      <c r="M66" s="40" t="n">
        <f aca="false">Financing!M13</f>
        <v>0</v>
      </c>
      <c r="N66" s="40" t="n">
        <f aca="false">Financing!N13</f>
        <v>0</v>
      </c>
      <c r="O66" s="40" t="n">
        <f aca="false">Financing!O13</f>
        <v>33225744.6673598</v>
      </c>
      <c r="P66" s="40" t="n">
        <f aca="false">Financing!P13</f>
        <v>68207862.0963576</v>
      </c>
      <c r="Q66" s="40" t="n">
        <f aca="false">Financing!Q13</f>
        <v>69744599.7363074</v>
      </c>
      <c r="R66" s="40" t="n">
        <f aca="false">Financing!R13</f>
        <v>70517200.9465506</v>
      </c>
      <c r="S66" s="40" t="n">
        <f aca="false">Financing!S13</f>
        <v>70517200.9465511</v>
      </c>
      <c r="T66" s="40" t="n">
        <f aca="false">Financing!T13</f>
        <v>69744599.7363076</v>
      </c>
      <c r="U66" s="40" t="n">
        <f aca="false">Financing!U13</f>
        <v>68207862.0963574</v>
      </c>
      <c r="V66" s="40" t="n">
        <f aca="false">Financing!V13</f>
        <v>65923824.8458667</v>
      </c>
      <c r="W66" s="40" t="n">
        <f aca="false">Financing!W13</f>
        <v>62917512.3749175</v>
      </c>
      <c r="X66" s="40" t="n">
        <f aca="false">Financing!X13</f>
        <v>59221862.4720528</v>
      </c>
      <c r="Y66" s="40" t="n">
        <f aca="false">Financing!Y13</f>
        <v>54877365.4509726</v>
      </c>
      <c r="Z66" s="40" t="n">
        <f aca="false">Financing!Z13</f>
        <v>49931620.5301852</v>
      </c>
      <c r="AA66" s="40" t="n">
        <f aca="false">Financing!AA13</f>
        <v>44438814.3260052</v>
      </c>
      <c r="AB66" s="40" t="n">
        <f aca="false">Financing!AB13</f>
        <v>38459127.1726499</v>
      </c>
      <c r="AC66" s="40" t="n">
        <f aca="false">Financing!AC13</f>
        <v>32058073.773901</v>
      </c>
      <c r="AD66" s="40" t="n">
        <f aca="false">Financing!AD13</f>
        <v>25305785.4103026</v>
      </c>
      <c r="AE66" s="40" t="n">
        <f aca="false">Financing!AE13</f>
        <v>18276241.5661721</v>
      </c>
      <c r="AF66" s="40" t="n">
        <f aca="false">Financing!AF13</f>
        <v>11046459.3948939</v>
      </c>
      <c r="AG66" s="40" t="n">
        <f aca="false">Financing!AG13</f>
        <v>0</v>
      </c>
      <c r="AH66" s="40" t="n">
        <f aca="false">Financing!AH13</f>
        <v>0</v>
      </c>
      <c r="AI66" s="40" t="n">
        <f aca="false">Financing!AI13</f>
        <v>0</v>
      </c>
      <c r="AJ66" s="40" t="n">
        <f aca="false">Financing!AJ13</f>
        <v>0</v>
      </c>
      <c r="AK66" s="40" t="n">
        <f aca="false">Financing!AK13</f>
        <v>0</v>
      </c>
      <c r="AL66" s="40" t="n">
        <f aca="false">Financing!AL13</f>
        <v>0</v>
      </c>
      <c r="AM66" s="40" t="n">
        <f aca="false">Financing!AM13</f>
        <v>0</v>
      </c>
      <c r="AN66" s="40" t="n">
        <f aca="false">Financing!AN13</f>
        <v>0</v>
      </c>
      <c r="AO66" s="40" t="n">
        <f aca="false">Financing!AO13</f>
        <v>0</v>
      </c>
      <c r="AP66" s="40" t="n">
        <f aca="false">Financing!AP13</f>
        <v>0</v>
      </c>
      <c r="AQ66" s="40" t="n">
        <f aca="false">Financing!AQ13</f>
        <v>0</v>
      </c>
      <c r="AR66" s="40" t="n">
        <f aca="false">Financing!AR13</f>
        <v>0</v>
      </c>
      <c r="AS66" s="40" t="n">
        <f aca="false">Financing!AS13</f>
        <v>0</v>
      </c>
      <c r="AT66" s="40" t="n">
        <f aca="false">Financing!AT13</f>
        <v>0</v>
      </c>
      <c r="AU66" s="40" t="n">
        <f aca="false">Financing!AU13</f>
        <v>0</v>
      </c>
      <c r="AV66" s="40" t="n">
        <f aca="false">Financing!AV13</f>
        <v>0</v>
      </c>
      <c r="AW66" s="40" t="n">
        <f aca="false">Financing!AW13</f>
        <v>0</v>
      </c>
      <c r="AX66" s="40" t="n">
        <f aca="false">Financing!AX13</f>
        <v>0</v>
      </c>
      <c r="AY66" s="40" t="n">
        <f aca="false">Financing!AY13</f>
        <v>0</v>
      </c>
      <c r="AZ66" s="40" t="n">
        <f aca="false">Financing!AZ13</f>
        <v>0</v>
      </c>
      <c r="BA66" s="40" t="n">
        <f aca="false">Financing!BA13</f>
        <v>0</v>
      </c>
      <c r="BB66" s="40" t="n">
        <f aca="false">Financing!BB13</f>
        <v>0</v>
      </c>
      <c r="BC66" s="40" t="n">
        <f aca="false">Financing!BC13</f>
        <v>0</v>
      </c>
      <c r="BD66" s="40" t="n">
        <f aca="false">Financing!BD13</f>
        <v>0</v>
      </c>
      <c r="BE66" s="40" t="n">
        <f aca="false">Financing!BE13</f>
        <v>0</v>
      </c>
      <c r="BF66" s="40" t="n">
        <f aca="false">Financing!BF13</f>
        <v>0</v>
      </c>
      <c r="BG66" s="40" t="n">
        <f aca="false">Financing!BG13</f>
        <v>0</v>
      </c>
      <c r="BH66" s="40" t="n">
        <f aca="false">Financing!BH13</f>
        <v>0</v>
      </c>
      <c r="BI66" s="40" t="n">
        <f aca="false">Financing!BI13</f>
        <v>0</v>
      </c>
      <c r="BJ66" s="40" t="n">
        <f aca="false">Financing!BJ13</f>
        <v>0</v>
      </c>
      <c r="BK66" s="40" t="n">
        <f aca="false">Financing!BK13</f>
        <v>0</v>
      </c>
      <c r="BL66" s="40" t="n">
        <f aca="false">Financing!BL13</f>
        <v>0</v>
      </c>
      <c r="BM66" s="40" t="n">
        <f aca="false">Financing!BM13</f>
        <v>0</v>
      </c>
      <c r="BN66" s="40" t="n">
        <f aca="false">Financing!BN13</f>
        <v>0</v>
      </c>
      <c r="BO66" s="40" t="n">
        <f aca="false">Financing!BO13</f>
        <v>0</v>
      </c>
      <c r="BP66" s="40" t="n">
        <f aca="false">Financing!BP13</f>
        <v>0</v>
      </c>
      <c r="BQ66" s="40" t="n">
        <f aca="false">Financing!BQ13</f>
        <v>0</v>
      </c>
      <c r="BR66" s="40" t="n">
        <f aca="false">Financing!BR13</f>
        <v>0</v>
      </c>
      <c r="BS66" s="40" t="n">
        <f aca="false">Financing!BS13</f>
        <v>0</v>
      </c>
      <c r="BT66" s="40" t="n">
        <f aca="false">Financing!BT13</f>
        <v>0</v>
      </c>
      <c r="BU66" s="40" t="n">
        <f aca="false">Financing!BU13</f>
        <v>0</v>
      </c>
      <c r="BV66" s="40" t="n">
        <f aca="false">Financing!BV13</f>
        <v>0</v>
      </c>
      <c r="BW66" s="40" t="n">
        <f aca="false">Financing!BW13</f>
        <v>0</v>
      </c>
      <c r="BX66" s="40" t="n">
        <f aca="false">Financing!BX13</f>
        <v>0</v>
      </c>
      <c r="BY66" s="40" t="n">
        <f aca="false">Financing!BY13</f>
        <v>0</v>
      </c>
      <c r="BZ66" s="40" t="n">
        <f aca="false">Financing!BZ13</f>
        <v>0</v>
      </c>
      <c r="CA66" s="40" t="n">
        <f aca="false">Financing!CA13</f>
        <v>0</v>
      </c>
      <c r="CB66" s="40" t="n">
        <f aca="false">Financing!CB13</f>
        <v>0</v>
      </c>
      <c r="CC66" s="40" t="n">
        <f aca="false">Financing!CC13</f>
        <v>0</v>
      </c>
      <c r="CD66" s="40" t="n">
        <f aca="false">Financing!CD13</f>
        <v>0</v>
      </c>
      <c r="CE66" s="40" t="n">
        <f aca="false">Financing!CE13</f>
        <v>0</v>
      </c>
      <c r="CF66" s="40" t="n">
        <f aca="false">Financing!CF13</f>
        <v>0</v>
      </c>
      <c r="CG66" s="40" t="n">
        <f aca="false">Financing!CG13</f>
        <v>0</v>
      </c>
      <c r="CH66" s="40" t="n">
        <f aca="false">Financing!CH13</f>
        <v>0</v>
      </c>
      <c r="CI66" s="40" t="n">
        <f aca="false">Financing!CI13</f>
        <v>0</v>
      </c>
      <c r="CJ66" s="40" t="n">
        <f aca="false">Financing!CJ13</f>
        <v>0</v>
      </c>
      <c r="CK66" s="40" t="n">
        <f aca="false">Financing!CK13</f>
        <v>0</v>
      </c>
      <c r="CL66" s="40" t="n">
        <f aca="false">Financing!CL13</f>
        <v>0</v>
      </c>
      <c r="CM66" s="40" t="n">
        <f aca="false">Financing!CM13</f>
        <v>0</v>
      </c>
      <c r="CN66" s="40" t="n">
        <f aca="false">Financing!CN13</f>
        <v>0</v>
      </c>
      <c r="CO66" s="40" t="n">
        <f aca="false">Financing!CO13</f>
        <v>0</v>
      </c>
      <c r="CP66" s="40" t="n">
        <f aca="false">Financing!CP13</f>
        <v>0</v>
      </c>
      <c r="CQ66" s="40" t="n">
        <f aca="false">Financing!CQ13</f>
        <v>0</v>
      </c>
      <c r="CR66" s="40" t="n">
        <f aca="false">Financing!CR13</f>
        <v>0</v>
      </c>
      <c r="CS66" s="40" t="n">
        <f aca="false">Financing!CS13</f>
        <v>0</v>
      </c>
      <c r="CT66" s="40" t="n">
        <f aca="false">Financing!CT13</f>
        <v>0</v>
      </c>
      <c r="CU66" s="40" t="n">
        <f aca="false">Financing!CU13</f>
        <v>0</v>
      </c>
    </row>
    <row r="67" customFormat="false" ht="15" hidden="false" customHeight="false" outlineLevel="0" collapsed="false">
      <c r="A67" s="35" t="s">
        <v>151</v>
      </c>
      <c r="B67" s="26" t="n">
        <f aca="false">SUM(C67:CU67)</f>
        <v>275827229.394001</v>
      </c>
      <c r="C67" s="40" t="n">
        <f aca="false">Financing!C17</f>
        <v>0</v>
      </c>
      <c r="D67" s="40" t="n">
        <f aca="false">Financing!D17</f>
        <v>0</v>
      </c>
      <c r="E67" s="40" t="n">
        <f aca="false">Financing!E17</f>
        <v>0</v>
      </c>
      <c r="F67" s="40" t="n">
        <f aca="false">Financing!F17</f>
        <v>0</v>
      </c>
      <c r="G67" s="40" t="n">
        <f aca="false">Financing!G17</f>
        <v>0</v>
      </c>
      <c r="H67" s="40" t="n">
        <f aca="false">Financing!H17</f>
        <v>0</v>
      </c>
      <c r="I67" s="40" t="n">
        <f aca="false">Financing!I17</f>
        <v>0</v>
      </c>
      <c r="J67" s="40" t="n">
        <f aca="false">Financing!J17</f>
        <v>0</v>
      </c>
      <c r="K67" s="40" t="n">
        <f aca="false">Financing!K17</f>
        <v>0</v>
      </c>
      <c r="L67" s="40" t="n">
        <f aca="false">Financing!L17</f>
        <v>0</v>
      </c>
      <c r="M67" s="40" t="n">
        <f aca="false">Financing!M17</f>
        <v>0</v>
      </c>
      <c r="N67" s="40" t="n">
        <f aca="false">Financing!N17</f>
        <v>0</v>
      </c>
      <c r="O67" s="40" t="n">
        <f aca="false">Financing!O17</f>
        <v>6844663.18157783</v>
      </c>
      <c r="P67" s="40" t="n">
        <f aca="false">Financing!P17</f>
        <v>0</v>
      </c>
      <c r="Q67" s="40" t="n">
        <f aca="false">Financing!Q17</f>
        <v>0</v>
      </c>
      <c r="R67" s="40" t="n">
        <f aca="false">Financing!R17</f>
        <v>0</v>
      </c>
      <c r="S67" s="40" t="n">
        <f aca="false">Financing!S17</f>
        <v>0</v>
      </c>
      <c r="T67" s="40" t="n">
        <f aca="false">Financing!T17</f>
        <v>0</v>
      </c>
      <c r="U67" s="40" t="n">
        <f aca="false">Financing!U17</f>
        <v>0</v>
      </c>
      <c r="V67" s="40" t="n">
        <f aca="false">Financing!V17</f>
        <v>0</v>
      </c>
      <c r="W67" s="40" t="n">
        <f aca="false">Financing!W17</f>
        <v>0</v>
      </c>
      <c r="X67" s="40" t="n">
        <f aca="false">Financing!X17</f>
        <v>0</v>
      </c>
      <c r="Y67" s="40" t="n">
        <f aca="false">Financing!Y17</f>
        <v>0</v>
      </c>
      <c r="Z67" s="40" t="n">
        <f aca="false">Financing!Z17</f>
        <v>0</v>
      </c>
      <c r="AA67" s="40" t="n">
        <f aca="false">Financing!AA17</f>
        <v>0</v>
      </c>
      <c r="AB67" s="40" t="n">
        <f aca="false">Financing!AB17</f>
        <v>0</v>
      </c>
      <c r="AC67" s="40" t="n">
        <f aca="false">Financing!AC17</f>
        <v>0</v>
      </c>
      <c r="AD67" s="40" t="n">
        <f aca="false">Financing!AD17</f>
        <v>0</v>
      </c>
      <c r="AE67" s="40" t="n">
        <f aca="false">Financing!AE17</f>
        <v>0</v>
      </c>
      <c r="AF67" s="40" t="n">
        <f aca="false">Financing!AF17</f>
        <v>0</v>
      </c>
      <c r="AG67" s="40" t="n">
        <f aca="false">Financing!AG17</f>
        <v>0</v>
      </c>
      <c r="AH67" s="40" t="n">
        <f aca="false">Financing!AH17</f>
        <v>6723954.55925461</v>
      </c>
      <c r="AI67" s="40" t="n">
        <f aca="false">Financing!AI17</f>
        <v>6708363.93756324</v>
      </c>
      <c r="AJ67" s="40" t="n">
        <f aca="false">Financing!AJ17</f>
        <v>6692773.31587187</v>
      </c>
      <c r="AK67" s="40" t="n">
        <f aca="false">Financing!AK17</f>
        <v>6677182.6941805</v>
      </c>
      <c r="AL67" s="40" t="n">
        <f aca="false">Financing!AL17</f>
        <v>6661592.07248913</v>
      </c>
      <c r="AM67" s="40" t="n">
        <f aca="false">Financing!AM17</f>
        <v>6646001.45079775</v>
      </c>
      <c r="AN67" s="40" t="n">
        <f aca="false">Financing!AN17</f>
        <v>6630410.82910638</v>
      </c>
      <c r="AO67" s="40" t="n">
        <f aca="false">Financing!AO17</f>
        <v>6614820.20741501</v>
      </c>
      <c r="AP67" s="40" t="n">
        <f aca="false">Financing!AP17</f>
        <v>6599229.58572364</v>
      </c>
      <c r="AQ67" s="40" t="n">
        <f aca="false">Financing!AQ17</f>
        <v>6583638.96403227</v>
      </c>
      <c r="AR67" s="40" t="n">
        <f aca="false">Financing!AR17</f>
        <v>6568048.3423409</v>
      </c>
      <c r="AS67" s="40" t="n">
        <f aca="false">Financing!AS17</f>
        <v>6552457.72064952</v>
      </c>
      <c r="AT67" s="40" t="n">
        <f aca="false">Financing!AT17</f>
        <v>6536867.09895815</v>
      </c>
      <c r="AU67" s="40" t="n">
        <f aca="false">Financing!AU17</f>
        <v>6521276.47726678</v>
      </c>
      <c r="AV67" s="40" t="n">
        <f aca="false">Financing!AV17</f>
        <v>6505685.85557541</v>
      </c>
      <c r="AW67" s="40" t="n">
        <f aca="false">Financing!AW17</f>
        <v>6490095.23388404</v>
      </c>
      <c r="AX67" s="40" t="n">
        <f aca="false">Financing!AX17</f>
        <v>6474504.61219267</v>
      </c>
      <c r="AY67" s="40" t="n">
        <f aca="false">Financing!AY17</f>
        <v>6458913.99050129</v>
      </c>
      <c r="AZ67" s="40" t="n">
        <f aca="false">Financing!AZ17</f>
        <v>6443323.36880992</v>
      </c>
      <c r="BA67" s="40" t="n">
        <f aca="false">Financing!BA17</f>
        <v>6427732.74711855</v>
      </c>
      <c r="BB67" s="40" t="n">
        <f aca="false">Financing!BB17</f>
        <v>6412142.12542718</v>
      </c>
      <c r="BC67" s="40" t="n">
        <f aca="false">Financing!BC17</f>
        <v>6396551.50373581</v>
      </c>
      <c r="BD67" s="40" t="n">
        <f aca="false">Financing!BD17</f>
        <v>6380960.88204444</v>
      </c>
      <c r="BE67" s="40" t="n">
        <f aca="false">Financing!BE17</f>
        <v>6365370.26035306</v>
      </c>
      <c r="BF67" s="40" t="n">
        <f aca="false">Financing!BF17</f>
        <v>6349779.63866169</v>
      </c>
      <c r="BG67" s="40" t="n">
        <f aca="false">Financing!BG17</f>
        <v>6334189.01697032</v>
      </c>
      <c r="BH67" s="40" t="n">
        <f aca="false">Financing!BH17</f>
        <v>6318598.39527895</v>
      </c>
      <c r="BI67" s="40" t="n">
        <f aca="false">Financing!BI17</f>
        <v>6303007.77358758</v>
      </c>
      <c r="BJ67" s="40" t="n">
        <f aca="false">Financing!BJ17</f>
        <v>6287417.15189621</v>
      </c>
      <c r="BK67" s="40" t="n">
        <f aca="false">Financing!BK17</f>
        <v>6271826.53020483</v>
      </c>
      <c r="BL67" s="40" t="n">
        <f aca="false">Financing!BL17</f>
        <v>6256235.90851346</v>
      </c>
      <c r="BM67" s="40" t="n">
        <f aca="false">Financing!BM17</f>
        <v>6240645.28682209</v>
      </c>
      <c r="BN67" s="40" t="n">
        <f aca="false">Financing!BN17</f>
        <v>6225054.66513072</v>
      </c>
      <c r="BO67" s="40" t="n">
        <f aca="false">Financing!BO17</f>
        <v>6209464.04343935</v>
      </c>
      <c r="BP67" s="40" t="n">
        <f aca="false">Financing!BP17</f>
        <v>6193873.42174798</v>
      </c>
      <c r="BQ67" s="40" t="n">
        <f aca="false">Financing!BQ17</f>
        <v>6178282.8000566</v>
      </c>
      <c r="BR67" s="40" t="n">
        <f aca="false">Financing!BR17</f>
        <v>6162692.17836523</v>
      </c>
      <c r="BS67" s="40" t="n">
        <f aca="false">Financing!BS17</f>
        <v>6147101.55667386</v>
      </c>
      <c r="BT67" s="40" t="n">
        <f aca="false">Financing!BT17</f>
        <v>6131510.93498249</v>
      </c>
      <c r="BU67" s="40" t="n">
        <f aca="false">Financing!BU17</f>
        <v>6115920.31329112</v>
      </c>
      <c r="BV67" s="40" t="n">
        <f aca="false">Financing!BV17</f>
        <v>6100329.69159975</v>
      </c>
      <c r="BW67" s="40" t="n">
        <f aca="false">Financing!BW17</f>
        <v>6084739.06990837</v>
      </c>
      <c r="BX67" s="40" t="n">
        <f aca="false">Financing!BX17</f>
        <v>0</v>
      </c>
      <c r="BY67" s="40" t="n">
        <f aca="false">Financing!BY17</f>
        <v>0</v>
      </c>
      <c r="BZ67" s="40" t="n">
        <f aca="false">Financing!BZ17</f>
        <v>0</v>
      </c>
      <c r="CA67" s="40" t="n">
        <f aca="false">Financing!CA17</f>
        <v>0</v>
      </c>
      <c r="CB67" s="40" t="n">
        <f aca="false">Financing!CB17</f>
        <v>0</v>
      </c>
      <c r="CC67" s="40" t="n">
        <f aca="false">Financing!CC17</f>
        <v>0</v>
      </c>
      <c r="CD67" s="40" t="n">
        <f aca="false">Financing!CD17</f>
        <v>0</v>
      </c>
      <c r="CE67" s="40" t="n">
        <f aca="false">Financing!CE17</f>
        <v>0</v>
      </c>
      <c r="CF67" s="40" t="n">
        <f aca="false">Financing!CF17</f>
        <v>0</v>
      </c>
      <c r="CG67" s="40" t="n">
        <f aca="false">Financing!CG17</f>
        <v>0</v>
      </c>
      <c r="CH67" s="40" t="n">
        <f aca="false">Financing!CH17</f>
        <v>0</v>
      </c>
      <c r="CI67" s="40" t="n">
        <f aca="false">Financing!CI17</f>
        <v>0</v>
      </c>
      <c r="CJ67" s="40" t="n">
        <f aca="false">Financing!CJ17</f>
        <v>0</v>
      </c>
      <c r="CK67" s="40" t="n">
        <f aca="false">Financing!CK17</f>
        <v>0</v>
      </c>
      <c r="CL67" s="40" t="n">
        <f aca="false">Financing!CL17</f>
        <v>0</v>
      </c>
      <c r="CM67" s="40" t="n">
        <f aca="false">Financing!CM17</f>
        <v>0</v>
      </c>
      <c r="CN67" s="40" t="n">
        <f aca="false">Financing!CN17</f>
        <v>0</v>
      </c>
      <c r="CO67" s="40" t="n">
        <f aca="false">Financing!CO17</f>
        <v>0</v>
      </c>
      <c r="CP67" s="40" t="n">
        <f aca="false">Financing!CP17</f>
        <v>0</v>
      </c>
      <c r="CQ67" s="40" t="n">
        <f aca="false">Financing!CQ17</f>
        <v>0</v>
      </c>
      <c r="CR67" s="40" t="n">
        <f aca="false">Financing!CR17</f>
        <v>0</v>
      </c>
      <c r="CS67" s="40" t="n">
        <f aca="false">Financing!CS17</f>
        <v>0</v>
      </c>
      <c r="CT67" s="40" t="n">
        <f aca="false">Financing!CT17</f>
        <v>0</v>
      </c>
      <c r="CU67" s="40" t="n">
        <f aca="false">Financing!CU17</f>
        <v>0</v>
      </c>
    </row>
    <row r="68" customFormat="false" ht="15" hidden="false" customHeight="false" outlineLevel="0" collapsed="false">
      <c r="A68" s="35" t="s">
        <v>152</v>
      </c>
      <c r="B68" s="26" t="n">
        <f aca="false">SUM(C68:CU68)</f>
        <v>983993350.134822</v>
      </c>
      <c r="C68" s="40" t="n">
        <f aca="false">Financing!C18</f>
        <v>0</v>
      </c>
      <c r="D68" s="40" t="n">
        <f aca="false">Financing!D18</f>
        <v>0</v>
      </c>
      <c r="E68" s="40" t="n">
        <f aca="false">Financing!E18</f>
        <v>0</v>
      </c>
      <c r="F68" s="40" t="n">
        <f aca="false">Financing!F18</f>
        <v>0</v>
      </c>
      <c r="G68" s="40" t="n">
        <f aca="false">Financing!G18</f>
        <v>0</v>
      </c>
      <c r="H68" s="40" t="n">
        <f aca="false">Financing!H18</f>
        <v>0</v>
      </c>
      <c r="I68" s="40" t="n">
        <f aca="false">Financing!I18</f>
        <v>0</v>
      </c>
      <c r="J68" s="40" t="n">
        <f aca="false">Financing!J18</f>
        <v>0</v>
      </c>
      <c r="K68" s="40" t="n">
        <f aca="false">Financing!K18</f>
        <v>0</v>
      </c>
      <c r="L68" s="40" t="n">
        <f aca="false">Financing!L18</f>
        <v>0</v>
      </c>
      <c r="M68" s="40" t="n">
        <f aca="false">Financing!M18</f>
        <v>0</v>
      </c>
      <c r="N68" s="40" t="n">
        <f aca="false">Financing!N18</f>
        <v>0</v>
      </c>
      <c r="O68" s="40" t="n">
        <f aca="false">Financing!O18</f>
        <v>0</v>
      </c>
      <c r="P68" s="40" t="n">
        <f aca="false">Financing!P18</f>
        <v>0</v>
      </c>
      <c r="Q68" s="40" t="n">
        <f aca="false">Financing!Q18</f>
        <v>0</v>
      </c>
      <c r="R68" s="40" t="n">
        <f aca="false">Financing!R18</f>
        <v>0</v>
      </c>
      <c r="S68" s="40" t="n">
        <f aca="false">Financing!S18</f>
        <v>0</v>
      </c>
      <c r="T68" s="40" t="n">
        <f aca="false">Financing!T18</f>
        <v>0</v>
      </c>
      <c r="U68" s="40" t="n">
        <f aca="false">Financing!U18</f>
        <v>0</v>
      </c>
      <c r="V68" s="40" t="n">
        <f aca="false">Financing!V18</f>
        <v>0</v>
      </c>
      <c r="W68" s="40" t="n">
        <f aca="false">Financing!W18</f>
        <v>0</v>
      </c>
      <c r="X68" s="40" t="n">
        <f aca="false">Financing!X18</f>
        <v>0</v>
      </c>
      <c r="Y68" s="40" t="n">
        <f aca="false">Financing!Y18</f>
        <v>0</v>
      </c>
      <c r="Z68" s="40" t="n">
        <f aca="false">Financing!Z18</f>
        <v>0</v>
      </c>
      <c r="AA68" s="40" t="n">
        <f aca="false">Financing!AA18</f>
        <v>0</v>
      </c>
      <c r="AB68" s="40" t="n">
        <f aca="false">Financing!AB18</f>
        <v>0</v>
      </c>
      <c r="AC68" s="40" t="n">
        <f aca="false">Financing!AC18</f>
        <v>0</v>
      </c>
      <c r="AD68" s="40" t="n">
        <f aca="false">Financing!AD18</f>
        <v>0</v>
      </c>
      <c r="AE68" s="40" t="n">
        <f aca="false">Financing!AE18</f>
        <v>0</v>
      </c>
      <c r="AF68" s="40" t="n">
        <f aca="false">Financing!AF18</f>
        <v>0</v>
      </c>
      <c r="AG68" s="40" t="n">
        <f aca="false">Financing!AG18</f>
        <v>0</v>
      </c>
      <c r="AH68" s="40" t="n">
        <f aca="false">Financing!AH18</f>
        <v>2281554.39385928</v>
      </c>
      <c r="AI68" s="40" t="n">
        <f aca="false">Financing!AI18</f>
        <v>2281554.39385928</v>
      </c>
      <c r="AJ68" s="40" t="n">
        <f aca="false">Financing!AJ18</f>
        <v>2281554.39385928</v>
      </c>
      <c r="AK68" s="40" t="n">
        <f aca="false">Financing!AK18</f>
        <v>2281554.39385928</v>
      </c>
      <c r="AL68" s="40" t="n">
        <f aca="false">Financing!AL18</f>
        <v>2281554.39385928</v>
      </c>
      <c r="AM68" s="40" t="n">
        <f aca="false">Financing!AM18</f>
        <v>2281554.39385928</v>
      </c>
      <c r="AN68" s="40" t="n">
        <f aca="false">Financing!AN18</f>
        <v>2281554.39385928</v>
      </c>
      <c r="AO68" s="40" t="n">
        <f aca="false">Financing!AO18</f>
        <v>2281554.39385928</v>
      </c>
      <c r="AP68" s="40" t="n">
        <f aca="false">Financing!AP18</f>
        <v>2281554.39385928</v>
      </c>
      <c r="AQ68" s="40" t="n">
        <f aca="false">Financing!AQ18</f>
        <v>2281554.39385928</v>
      </c>
      <c r="AR68" s="40" t="n">
        <f aca="false">Financing!AR18</f>
        <v>2281554.39385928</v>
      </c>
      <c r="AS68" s="40" t="n">
        <f aca="false">Financing!AS18</f>
        <v>2281554.39385928</v>
      </c>
      <c r="AT68" s="40" t="n">
        <f aca="false">Financing!AT18</f>
        <v>2281554.39385928</v>
      </c>
      <c r="AU68" s="40" t="n">
        <f aca="false">Financing!AU18</f>
        <v>2281554.39385928</v>
      </c>
      <c r="AV68" s="40" t="n">
        <f aca="false">Financing!AV18</f>
        <v>2281554.39385928</v>
      </c>
      <c r="AW68" s="40" t="n">
        <f aca="false">Financing!AW18</f>
        <v>2281554.39385928</v>
      </c>
      <c r="AX68" s="40" t="n">
        <f aca="false">Financing!AX18</f>
        <v>2281554.39385928</v>
      </c>
      <c r="AY68" s="40" t="n">
        <f aca="false">Financing!AY18</f>
        <v>2281554.39385928</v>
      </c>
      <c r="AZ68" s="40" t="n">
        <f aca="false">Financing!AZ18</f>
        <v>2281554.39385928</v>
      </c>
      <c r="BA68" s="40" t="n">
        <f aca="false">Financing!BA18</f>
        <v>2281554.39385928</v>
      </c>
      <c r="BB68" s="40" t="n">
        <f aca="false">Financing!BB18</f>
        <v>2281554.39385928</v>
      </c>
      <c r="BC68" s="40" t="n">
        <f aca="false">Financing!BC18</f>
        <v>2281554.39385928</v>
      </c>
      <c r="BD68" s="40" t="n">
        <f aca="false">Financing!BD18</f>
        <v>2281554.39385928</v>
      </c>
      <c r="BE68" s="40" t="n">
        <f aca="false">Financing!BE18</f>
        <v>2281554.39385928</v>
      </c>
      <c r="BF68" s="40" t="n">
        <f aca="false">Financing!BF18</f>
        <v>2281554.39385928</v>
      </c>
      <c r="BG68" s="40" t="n">
        <f aca="false">Financing!BG18</f>
        <v>2281554.39385928</v>
      </c>
      <c r="BH68" s="40" t="n">
        <f aca="false">Financing!BH18</f>
        <v>2281554.39385928</v>
      </c>
      <c r="BI68" s="40" t="n">
        <f aca="false">Financing!BI18</f>
        <v>2281554.39385928</v>
      </c>
      <c r="BJ68" s="40" t="n">
        <f aca="false">Financing!BJ18</f>
        <v>2281554.39385928</v>
      </c>
      <c r="BK68" s="40" t="n">
        <f aca="false">Financing!BK18</f>
        <v>2281554.39385928</v>
      </c>
      <c r="BL68" s="40" t="n">
        <f aca="false">Financing!BL18</f>
        <v>2281554.39385928</v>
      </c>
      <c r="BM68" s="40" t="n">
        <f aca="false">Financing!BM18</f>
        <v>2281554.39385928</v>
      </c>
      <c r="BN68" s="40" t="n">
        <f aca="false">Financing!BN18</f>
        <v>2281554.39385928</v>
      </c>
      <c r="BO68" s="40" t="n">
        <f aca="false">Financing!BO18</f>
        <v>2281554.39385928</v>
      </c>
      <c r="BP68" s="40" t="n">
        <f aca="false">Financing!BP18</f>
        <v>2281554.39385928</v>
      </c>
      <c r="BQ68" s="40" t="n">
        <f aca="false">Financing!BQ18</f>
        <v>2281554.39385928</v>
      </c>
      <c r="BR68" s="40" t="n">
        <f aca="false">Financing!BR18</f>
        <v>2281554.39385928</v>
      </c>
      <c r="BS68" s="40" t="n">
        <f aca="false">Financing!BS18</f>
        <v>2281554.39385928</v>
      </c>
      <c r="BT68" s="40" t="n">
        <f aca="false">Financing!BT18</f>
        <v>2281554.39385928</v>
      </c>
      <c r="BU68" s="40" t="n">
        <f aca="false">Financing!BU18</f>
        <v>2281554.39385928</v>
      </c>
      <c r="BV68" s="40" t="n">
        <f aca="false">Financing!BV18</f>
        <v>2281554.39385928</v>
      </c>
      <c r="BW68" s="40" t="n">
        <f aca="false">Financing!BW18</f>
        <v>890449619.986591</v>
      </c>
      <c r="BX68" s="40" t="n">
        <f aca="false">Financing!BX18</f>
        <v>0</v>
      </c>
      <c r="BY68" s="40" t="n">
        <f aca="false">Financing!BY18</f>
        <v>0</v>
      </c>
      <c r="BZ68" s="40" t="n">
        <f aca="false">Financing!BZ18</f>
        <v>0</v>
      </c>
      <c r="CA68" s="40" t="n">
        <f aca="false">Financing!CA18</f>
        <v>0</v>
      </c>
      <c r="CB68" s="40" t="n">
        <f aca="false">Financing!CB18</f>
        <v>0</v>
      </c>
      <c r="CC68" s="40" t="n">
        <f aca="false">Financing!CC18</f>
        <v>0</v>
      </c>
      <c r="CD68" s="40" t="n">
        <f aca="false">Financing!CD18</f>
        <v>0</v>
      </c>
      <c r="CE68" s="40" t="n">
        <f aca="false">Financing!CE18</f>
        <v>0</v>
      </c>
      <c r="CF68" s="40" t="n">
        <f aca="false">Financing!CF18</f>
        <v>0</v>
      </c>
      <c r="CG68" s="40" t="n">
        <f aca="false">Financing!CG18</f>
        <v>0</v>
      </c>
      <c r="CH68" s="40" t="n">
        <f aca="false">Financing!CH18</f>
        <v>0</v>
      </c>
      <c r="CI68" s="40" t="n">
        <f aca="false">Financing!CI18</f>
        <v>0</v>
      </c>
      <c r="CJ68" s="40" t="n">
        <f aca="false">Financing!CJ18</f>
        <v>0</v>
      </c>
      <c r="CK68" s="40" t="n">
        <f aca="false">Financing!CK18</f>
        <v>0</v>
      </c>
      <c r="CL68" s="40" t="n">
        <f aca="false">Financing!CL18</f>
        <v>0</v>
      </c>
      <c r="CM68" s="40" t="n">
        <f aca="false">Financing!CM18</f>
        <v>0</v>
      </c>
      <c r="CN68" s="40" t="n">
        <f aca="false">Financing!CN18</f>
        <v>0</v>
      </c>
      <c r="CO68" s="40" t="n">
        <f aca="false">Financing!CO18</f>
        <v>0</v>
      </c>
      <c r="CP68" s="40" t="n">
        <f aca="false">Financing!CP18</f>
        <v>0</v>
      </c>
      <c r="CQ68" s="40" t="n">
        <f aca="false">Financing!CQ18</f>
        <v>0</v>
      </c>
      <c r="CR68" s="40" t="n">
        <f aca="false">Financing!CR18</f>
        <v>0</v>
      </c>
      <c r="CS68" s="40" t="n">
        <f aca="false">Financing!CS18</f>
        <v>0</v>
      </c>
      <c r="CT68" s="40" t="n">
        <f aca="false">Financing!CT18</f>
        <v>0</v>
      </c>
      <c r="CU68" s="40" t="n">
        <f aca="false">Financing!CU18</f>
        <v>0</v>
      </c>
    </row>
    <row r="69" customFormat="false" ht="15" hidden="false" customHeight="false" outlineLevel="0" collapsed="false">
      <c r="A69" s="15" t="s">
        <v>153</v>
      </c>
      <c r="B69" s="26" t="n">
        <f aca="false">SUM(C69:CU69)</f>
        <v>8338115151.44669</v>
      </c>
      <c r="C69" s="26" t="n">
        <f aca="false">C63+C66-C67-C68</f>
        <v>-682500000</v>
      </c>
      <c r="D69" s="26" t="n">
        <f aca="false">D63+D66-D67-D68</f>
        <v>-3695649.90286474</v>
      </c>
      <c r="E69" s="26" t="n">
        <f aca="false">E63+E66-E67-E68</f>
        <v>-11046459.3948938</v>
      </c>
      <c r="F69" s="26" t="n">
        <f aca="false">F63+F66-F67-F68</f>
        <v>-18977154.2222098</v>
      </c>
      <c r="G69" s="26" t="n">
        <f aca="false">G63+G66-G67-G68</f>
        <v>-25843957.5556137</v>
      </c>
      <c r="H69" s="26" t="n">
        <f aca="false">H63+H66-H67-H68</f>
        <v>-32310890.459827</v>
      </c>
      <c r="I69" s="26" t="n">
        <f aca="false">I63+I66-I67-I68</f>
        <v>-38254895.459553</v>
      </c>
      <c r="J69" s="26" t="n">
        <f aca="false">J63+J66-J67-J68</f>
        <v>-43548819.7666526</v>
      </c>
      <c r="K69" s="26" t="n">
        <f aca="false">K63+K66-K67-K68</f>
        <v>-48066111.2785111</v>
      </c>
      <c r="L69" s="26" t="n">
        <f aca="false">L63+L66-L67-L68</f>
        <v>-51685897.1404336</v>
      </c>
      <c r="M69" s="26" t="n">
        <f aca="false">M63+M66-M67-M68</f>
        <v>-54298220.3803826</v>
      </c>
      <c r="N69" s="26" t="n">
        <f aca="false">N63+N66-N67-N68</f>
        <v>-55809197.7638685</v>
      </c>
      <c r="O69" s="26" t="n">
        <f aca="false">O63+O66-O67-O68</f>
        <v>-29764778.730297</v>
      </c>
      <c r="P69" s="26" t="n">
        <f aca="false">P63+P66-P67-P68</f>
        <v>12947416.0165446</v>
      </c>
      <c r="Q69" s="26" t="n">
        <f aca="false">Q63+Q66-Q67-Q68</f>
        <v>16610662.914253</v>
      </c>
      <c r="R69" s="26" t="n">
        <f aca="false">R63+R66-R67-R68</f>
        <v>20738547.1174061</v>
      </c>
      <c r="S69" s="26" t="n">
        <f aca="false">S63+S66-S67-S68</f>
        <v>25277428.4373161</v>
      </c>
      <c r="T69" s="26" t="n">
        <f aca="false">T63+T66-T67-T68</f>
        <v>30148945.1229135</v>
      </c>
      <c r="U69" s="26" t="n">
        <f aca="false">U63+U66-U67-U68</f>
        <v>35250912.207837</v>
      </c>
      <c r="V69" s="26" t="n">
        <f aca="false">V63+V66-V67-V68</f>
        <v>40459352.4905445</v>
      </c>
      <c r="W69" s="26" t="n">
        <f aca="false">W63+W66-W67-W68</f>
        <v>45631598.6977759</v>
      </c>
      <c r="X69" s="26" t="n">
        <f aca="false">X63+X66-X67-X68</f>
        <v>50610345.6091996</v>
      </c>
      <c r="Y69" s="26" t="n">
        <f aca="false">Y63+Y66-Y67-Y68</f>
        <v>55228462.6243854</v>
      </c>
      <c r="Z69" s="26" t="n">
        <f aca="false">Z63+Z66-Z67-Z68</f>
        <v>59314283.5452073</v>
      </c>
      <c r="AA69" s="26" t="n">
        <f aca="false">AA63+AA66-AA67-AA68</f>
        <v>62696917.6449791</v>
      </c>
      <c r="AB69" s="26" t="n">
        <f aca="false">AB63+AB66-AB67-AB68</f>
        <v>65210694.0101542</v>
      </c>
      <c r="AC69" s="26" t="n">
        <f aca="false">AC63+AC66-AC67-AC68</f>
        <v>66696469.3235439</v>
      </c>
      <c r="AD69" s="26" t="n">
        <f aca="false">AD63+AD66-AD67-AD68</f>
        <v>66992008.3227031</v>
      </c>
      <c r="AE69" s="26" t="n">
        <f aca="false">AE63+AE66-AE67-AE68</f>
        <v>65874664.1067434</v>
      </c>
      <c r="AF69" s="26" t="n">
        <f aca="false">AF63+AF66-AF67-AF68</f>
        <v>62687966.4874778</v>
      </c>
      <c r="AG69" s="26" t="n">
        <f aca="false">AG63+AG66-AG67-AG68</f>
        <v>47408451.738256</v>
      </c>
      <c r="AH69" s="26" t="n">
        <f aca="false">AH63+AH66-AH67-AH68</f>
        <v>22841885.5968414</v>
      </c>
      <c r="AI69" s="26" t="n">
        <f aca="false">AI63+AI66-AI67-AI68</f>
        <v>22897781.5539773</v>
      </c>
      <c r="AJ69" s="26" t="n">
        <f aca="false">AJ63+AJ66-AJ67-AJ68</f>
        <v>-7797846.62051392</v>
      </c>
      <c r="AK69" s="26" t="n">
        <f aca="false">AK63+AK66-AK67-AK68</f>
        <v>-7702350.11628985</v>
      </c>
      <c r="AL69" s="26" t="n">
        <f aca="false">AL63+AL66-AL67-AL68</f>
        <v>4797800.11937077</v>
      </c>
      <c r="AM69" s="26" t="n">
        <f aca="false">AM63+AM66-AM67-AM68</f>
        <v>-1219413.7560076</v>
      </c>
      <c r="AN69" s="26" t="n">
        <f aca="false">AN63+AN66-AN67-AN68</f>
        <v>10033713.2033093</v>
      </c>
      <c r="AO69" s="26" t="n">
        <f aca="false">AO63+AO66-AO67-AO68</f>
        <v>12512195.275775</v>
      </c>
      <c r="AP69" s="26" t="n">
        <f aca="false">AP63+AP66-AP67-AP68</f>
        <v>15278437.7710496</v>
      </c>
      <c r="AQ69" s="26" t="n">
        <f aca="false">AQ63+AQ66-AQ67-AQ68</f>
        <v>-4603478.9940594</v>
      </c>
      <c r="AR69" s="26" t="n">
        <f aca="false">AR63+AR66-AR67-AR68</f>
        <v>20574195.6937732</v>
      </c>
      <c r="AS69" s="26" t="n">
        <f aca="false">AS63+AS66-AS67-AS68</f>
        <v>23190074.2224498</v>
      </c>
      <c r="AT69" s="26" t="n">
        <f aca="false">AT63+AT66-AT67-AT68</f>
        <v>25921363.8821257</v>
      </c>
      <c r="AU69" s="26" t="n">
        <f aca="false">AU63+AU66-AU67-AU68</f>
        <v>28614345.2876874</v>
      </c>
      <c r="AV69" s="26" t="n">
        <f aca="false">AV63+AV66-AV67-AV68</f>
        <v>31264938.1701075</v>
      </c>
      <c r="AW69" s="26" t="n">
        <f aca="false">AW63+AW66-AW67-AW68</f>
        <v>34039341.0070422</v>
      </c>
      <c r="AX69" s="26" t="n">
        <f aca="false">AX63+AX66-AX67-AX68</f>
        <v>36713283.1856288</v>
      </c>
      <c r="AY69" s="26" t="n">
        <f aca="false">AY63+AY66-AY67-AY68</f>
        <v>30042457.3816223</v>
      </c>
      <c r="AZ69" s="26" t="n">
        <f aca="false">AZ63+AZ66-AZ67-AZ68</f>
        <v>39690416.2673104</v>
      </c>
      <c r="BA69" s="26" t="n">
        <f aca="false">BA63+BA66-BA67-BA68</f>
        <v>46037398.0243614</v>
      </c>
      <c r="BB69" s="26" t="n">
        <f aca="false">BB63+BB66-BB67-BB68</f>
        <v>40039309.261748</v>
      </c>
      <c r="BC69" s="26" t="n">
        <f aca="false">BC63+BC66-BC67-BC68</f>
        <v>40149245.3562251</v>
      </c>
      <c r="BD69" s="26" t="n">
        <f aca="false">BD63+BD66-BD67-BD68</f>
        <v>40390159.5242729</v>
      </c>
      <c r="BE69" s="26" t="n">
        <f aca="false">BE63+BE66-BE67-BE68</f>
        <v>40498201.8642638</v>
      </c>
      <c r="BF69" s="26" t="n">
        <f aca="false">BF63+BF66-BF67-BF68</f>
        <v>40703286.0132134</v>
      </c>
      <c r="BG69" s="26" t="n">
        <f aca="false">BG63+BG66-BG67-BG68</f>
        <v>40840549.1170516</v>
      </c>
      <c r="BH69" s="26" t="n">
        <f aca="false">BH63+BH66-BH67-BH68</f>
        <v>40909486.6602512</v>
      </c>
      <c r="BI69" s="26" t="n">
        <f aca="false">BI63+BI66-BI67-BI68</f>
        <v>41115976.2962939</v>
      </c>
      <c r="BJ69" s="26" t="n">
        <f aca="false">BJ63+BJ66-BJ67-BJ68</f>
        <v>41185177.2997754</v>
      </c>
      <c r="BK69" s="26" t="n">
        <f aca="false">BK63+BK66-BK67-BK68</f>
        <v>26477075.5259194</v>
      </c>
      <c r="BL69" s="26" t="n">
        <f aca="false">BL63+BL66-BL67-BL68</f>
        <v>41531380.6225455</v>
      </c>
      <c r="BM69" s="26" t="n">
        <f aca="false">BM63+BM66-BM67-BM68</f>
        <v>41531503.1891402</v>
      </c>
      <c r="BN69" s="26" t="n">
        <f aca="false">BN63+BN66-BN67-BN68</f>
        <v>41809834.5765418</v>
      </c>
      <c r="BO69" s="26" t="n">
        <f aca="false">BO63+BO66-BO67-BO68</f>
        <v>41879699.9372401</v>
      </c>
      <c r="BP69" s="26" t="n">
        <f aca="false">BP63+BP66-BP67-BP68</f>
        <v>42089509.7169945</v>
      </c>
      <c r="BQ69" s="26" t="n">
        <f aca="false">BQ63+BQ66-BQ67-BQ68</f>
        <v>42159643.1201146</v>
      </c>
      <c r="BR69" s="26" t="n">
        <f aca="false">BR63+BR66-BR67-BR68</f>
        <v>42370412.0748819</v>
      </c>
      <c r="BS69" s="26" t="n">
        <f aca="false">BS63+BS66-BS67-BS68</f>
        <v>42511325.3531845</v>
      </c>
      <c r="BT69" s="26" t="n">
        <f aca="false">BT63+BT66-BT67-BT68</f>
        <v>42581863.3040294</v>
      </c>
      <c r="BU69" s="26" t="n">
        <f aca="false">BU63+BU66-BU67-BU68</f>
        <v>42794079.9105026</v>
      </c>
      <c r="BV69" s="26" t="n">
        <f aca="false">BV63+BV66-BV67-BV68</f>
        <v>42864889.2254377</v>
      </c>
      <c r="BW69" s="26" t="n">
        <f aca="false">BW63+BW66-BW67-BW68</f>
        <v>7364572911.97937</v>
      </c>
      <c r="BX69" s="26" t="n">
        <f aca="false">BX63+BX66-BX67-BX68</f>
        <v>0</v>
      </c>
      <c r="BY69" s="26" t="n">
        <f aca="false">BY63+BY66-BY67-BY68</f>
        <v>0</v>
      </c>
      <c r="BZ69" s="26" t="n">
        <f aca="false">BZ63+BZ66-BZ67-BZ68</f>
        <v>0</v>
      </c>
      <c r="CA69" s="26" t="n">
        <f aca="false">CA63+CA66-CA67-CA68</f>
        <v>0</v>
      </c>
      <c r="CB69" s="26" t="n">
        <f aca="false">CB63+CB66-CB67-CB68</f>
        <v>0</v>
      </c>
      <c r="CC69" s="26" t="n">
        <f aca="false">CC63+CC66-CC67-CC68</f>
        <v>0</v>
      </c>
      <c r="CD69" s="26" t="n">
        <f aca="false">CD63+CD66-CD67-CD68</f>
        <v>0</v>
      </c>
      <c r="CE69" s="26" t="n">
        <f aca="false">CE63+CE66-CE67-CE68</f>
        <v>0</v>
      </c>
      <c r="CF69" s="26" t="n">
        <f aca="false">CF63+CF66-CF67-CF68</f>
        <v>0</v>
      </c>
      <c r="CG69" s="26" t="n">
        <f aca="false">CG63+CG66-CG67-CG68</f>
        <v>0</v>
      </c>
      <c r="CH69" s="26" t="n">
        <f aca="false">CH63+CH66-CH67-CH68</f>
        <v>0</v>
      </c>
      <c r="CI69" s="26" t="n">
        <f aca="false">CI63+CI66-CI67-CI68</f>
        <v>0</v>
      </c>
      <c r="CJ69" s="26" t="n">
        <f aca="false">CJ63+CJ66-CJ67-CJ68</f>
        <v>0</v>
      </c>
      <c r="CK69" s="26" t="n">
        <f aca="false">CK63+CK66-CK67-CK68</f>
        <v>0</v>
      </c>
      <c r="CL69" s="26" t="n">
        <f aca="false">CL63+CL66-CL67-CL68</f>
        <v>0</v>
      </c>
      <c r="CM69" s="26" t="n">
        <f aca="false">CM63+CM66-CM67-CM68</f>
        <v>0</v>
      </c>
      <c r="CN69" s="26" t="n">
        <f aca="false">CN63+CN66-CN67-CN68</f>
        <v>0</v>
      </c>
      <c r="CO69" s="26" t="n">
        <f aca="false">CO63+CO66-CO67-CO68</f>
        <v>0</v>
      </c>
      <c r="CP69" s="26" t="n">
        <f aca="false">CP63+CP66-CP67-CP68</f>
        <v>0</v>
      </c>
      <c r="CQ69" s="26" t="n">
        <f aca="false">CQ63+CQ66-CQ67-CQ68</f>
        <v>0</v>
      </c>
      <c r="CR69" s="26" t="n">
        <f aca="false">CR63+CR66-CR67-CR68</f>
        <v>0</v>
      </c>
      <c r="CS69" s="26" t="n">
        <f aca="false">CS63+CS66-CS67-CS68</f>
        <v>0</v>
      </c>
      <c r="CT69" s="26" t="n">
        <f aca="false">CT63+CT66-CT67-CT68</f>
        <v>0</v>
      </c>
      <c r="CU69" s="26" t="n">
        <f aca="false">CU63+CU66-CU67-CU68</f>
        <v>0</v>
      </c>
    </row>
    <row r="70" customFormat="false" ht="15" hidden="false" customHeight="false" outlineLevel="0" collapsed="false">
      <c r="A70" s="44" t="s">
        <v>154</v>
      </c>
      <c r="C70" s="40" t="n">
        <f aca="false">SUM($C69:C69)</f>
        <v>-682500000</v>
      </c>
      <c r="D70" s="40" t="n">
        <f aca="false">SUM($C69:D69)</f>
        <v>-686195649.902865</v>
      </c>
      <c r="E70" s="40" t="n">
        <f aca="false">SUM($C69:E69)</f>
        <v>-697242109.297759</v>
      </c>
      <c r="F70" s="40" t="n">
        <f aca="false">SUM($C69:F69)</f>
        <v>-716219263.519968</v>
      </c>
      <c r="G70" s="40" t="n">
        <f aca="false">SUM($C69:G69)</f>
        <v>-742063221.075582</v>
      </c>
      <c r="H70" s="40" t="n">
        <f aca="false">SUM($C69:H69)</f>
        <v>-774374111.535409</v>
      </c>
      <c r="I70" s="40" t="n">
        <f aca="false">SUM($C69:I69)</f>
        <v>-812629006.994962</v>
      </c>
      <c r="J70" s="40" t="n">
        <f aca="false">SUM($C69:J69)</f>
        <v>-856177826.761615</v>
      </c>
      <c r="K70" s="40" t="n">
        <f aca="false">SUM($C69:K69)</f>
        <v>-904243938.040126</v>
      </c>
      <c r="L70" s="40" t="n">
        <f aca="false">SUM($C69:L69)</f>
        <v>-955929835.180559</v>
      </c>
      <c r="M70" s="40" t="n">
        <f aca="false">SUM($C69:M69)</f>
        <v>-1010228055.56094</v>
      </c>
      <c r="N70" s="40" t="n">
        <f aca="false">SUM($C69:N69)</f>
        <v>-1066037253.32481</v>
      </c>
      <c r="O70" s="40" t="n">
        <f aca="false">SUM($C69:O69)</f>
        <v>-1095802032.05511</v>
      </c>
      <c r="P70" s="40" t="n">
        <f aca="false">SUM($C69:P69)</f>
        <v>-1082854616.03856</v>
      </c>
      <c r="Q70" s="40" t="n">
        <f aca="false">SUM($C69:Q69)</f>
        <v>-1066243953.12431</v>
      </c>
      <c r="R70" s="40" t="n">
        <f aca="false">SUM($C69:R69)</f>
        <v>-1045505406.0069</v>
      </c>
      <c r="S70" s="40" t="n">
        <f aca="false">SUM($C69:S69)</f>
        <v>-1020227977.56959</v>
      </c>
      <c r="T70" s="40" t="n">
        <f aca="false">SUM($C69:T69)</f>
        <v>-990079032.446674</v>
      </c>
      <c r="U70" s="40" t="n">
        <f aca="false">SUM($C69:U69)</f>
        <v>-954828120.238837</v>
      </c>
      <c r="V70" s="40" t="n">
        <f aca="false">SUM($C69:V69)</f>
        <v>-914368767.748293</v>
      </c>
      <c r="W70" s="40" t="n">
        <f aca="false">SUM($C69:W69)</f>
        <v>-868737169.050517</v>
      </c>
      <c r="X70" s="40" t="n">
        <f aca="false">SUM($C69:X69)</f>
        <v>-818126823.441317</v>
      </c>
      <c r="Y70" s="40" t="n">
        <f aca="false">SUM($C69:Y69)</f>
        <v>-762898360.816932</v>
      </c>
      <c r="Z70" s="40" t="n">
        <f aca="false">SUM($C69:Z69)</f>
        <v>-703584077.271724</v>
      </c>
      <c r="AA70" s="40" t="n">
        <f aca="false">SUM($C69:AA69)</f>
        <v>-640887159.626746</v>
      </c>
      <c r="AB70" s="40" t="n">
        <f aca="false">SUM($C69:AB69)</f>
        <v>-575676465.616591</v>
      </c>
      <c r="AC70" s="40" t="n">
        <f aca="false">SUM($C69:AC69)</f>
        <v>-508979996.293047</v>
      </c>
      <c r="AD70" s="40" t="n">
        <f aca="false">SUM($C69:AD69)</f>
        <v>-441987987.970344</v>
      </c>
      <c r="AE70" s="40" t="n">
        <f aca="false">SUM($C69:AE69)</f>
        <v>-376113323.863601</v>
      </c>
      <c r="AF70" s="40" t="n">
        <f aca="false">SUM($C69:AF69)</f>
        <v>-313425357.376123</v>
      </c>
      <c r="AG70" s="40" t="n">
        <f aca="false">SUM($C69:AG69)</f>
        <v>-266016905.637867</v>
      </c>
      <c r="AH70" s="40" t="n">
        <f aca="false">SUM($C69:AH69)</f>
        <v>-243175020.041026</v>
      </c>
      <c r="AI70" s="40" t="n">
        <f aca="false">SUM($C69:AI69)</f>
        <v>-220277238.487048</v>
      </c>
      <c r="AJ70" s="40" t="n">
        <f aca="false">SUM($C69:AJ69)</f>
        <v>-228075085.107562</v>
      </c>
      <c r="AK70" s="40" t="n">
        <f aca="false">SUM($C69:AK69)</f>
        <v>-235777435.223852</v>
      </c>
      <c r="AL70" s="40" t="n">
        <f aca="false">SUM($C69:AL69)</f>
        <v>-230979635.104481</v>
      </c>
      <c r="AM70" s="40" t="n">
        <f aca="false">SUM($C69:AM69)</f>
        <v>-232199048.860489</v>
      </c>
      <c r="AN70" s="40" t="n">
        <f aca="false">SUM($C69:AN69)</f>
        <v>-222165335.65718</v>
      </c>
      <c r="AO70" s="40" t="n">
        <f aca="false">SUM($C69:AO69)</f>
        <v>-209653140.381405</v>
      </c>
      <c r="AP70" s="40" t="n">
        <f aca="false">SUM($C69:AP69)</f>
        <v>-194374702.610355</v>
      </c>
      <c r="AQ70" s="40" t="n">
        <f aca="false">SUM($C69:AQ69)</f>
        <v>-198978181.604414</v>
      </c>
      <c r="AR70" s="40" t="n">
        <f aca="false">SUM($C69:AR69)</f>
        <v>-178403985.910641</v>
      </c>
      <c r="AS70" s="40" t="n">
        <f aca="false">SUM($C69:AS69)</f>
        <v>-155213911.688191</v>
      </c>
      <c r="AT70" s="40" t="n">
        <f aca="false">SUM($C69:AT69)</f>
        <v>-129292547.806066</v>
      </c>
      <c r="AU70" s="40" t="n">
        <f aca="false">SUM($C69:AU69)</f>
        <v>-100678202.518378</v>
      </c>
      <c r="AV70" s="40" t="n">
        <f aca="false">SUM($C69:AV69)</f>
        <v>-69413264.3482708</v>
      </c>
      <c r="AW70" s="40" t="n">
        <f aca="false">SUM($C69:AW69)</f>
        <v>-35373923.3412287</v>
      </c>
      <c r="AX70" s="40" t="n">
        <f aca="false">SUM($C69:AX69)</f>
        <v>1339359.84440015</v>
      </c>
      <c r="AY70" s="40" t="n">
        <f aca="false">SUM($C69:AY69)</f>
        <v>31381817.2260225</v>
      </c>
      <c r="AZ70" s="40" t="n">
        <f aca="false">SUM($C69:AZ69)</f>
        <v>71072233.4933329</v>
      </c>
      <c r="BA70" s="40" t="n">
        <f aca="false">SUM($C69:BA69)</f>
        <v>117109631.517694</v>
      </c>
      <c r="BB70" s="40" t="n">
        <f aca="false">SUM($C69:BB69)</f>
        <v>157148940.779442</v>
      </c>
      <c r="BC70" s="40" t="n">
        <f aca="false">SUM($C69:BC69)</f>
        <v>197298186.135667</v>
      </c>
      <c r="BD70" s="40" t="n">
        <f aca="false">SUM($C69:BD69)</f>
        <v>237688345.65994</v>
      </c>
      <c r="BE70" s="40" t="n">
        <f aca="false">SUM($C69:BE69)</f>
        <v>278186547.524204</v>
      </c>
      <c r="BF70" s="40" t="n">
        <f aca="false">SUM($C69:BF69)</f>
        <v>318889833.537418</v>
      </c>
      <c r="BG70" s="40" t="n">
        <f aca="false">SUM($C69:BG69)</f>
        <v>359730382.654469</v>
      </c>
      <c r="BH70" s="40" t="n">
        <f aca="false">SUM($C69:BH69)</f>
        <v>400639869.31472</v>
      </c>
      <c r="BI70" s="40" t="n">
        <f aca="false">SUM($C69:BI69)</f>
        <v>441755845.611014</v>
      </c>
      <c r="BJ70" s="40" t="n">
        <f aca="false">SUM($C69:BJ69)</f>
        <v>482941022.91079</v>
      </c>
      <c r="BK70" s="40" t="n">
        <f aca="false">SUM($C69:BK69)</f>
        <v>509418098.436709</v>
      </c>
      <c r="BL70" s="40" t="n">
        <f aca="false">SUM($C69:BL69)</f>
        <v>550949479.059255</v>
      </c>
      <c r="BM70" s="40" t="n">
        <f aca="false">SUM($C69:BM69)</f>
        <v>592480982.248395</v>
      </c>
      <c r="BN70" s="40" t="n">
        <f aca="false">SUM($C69:BN69)</f>
        <v>634290816.824937</v>
      </c>
      <c r="BO70" s="40" t="n">
        <f aca="false">SUM($C69:BO69)</f>
        <v>676170516.762177</v>
      </c>
      <c r="BP70" s="40" t="n">
        <f aca="false">SUM($C69:BP69)</f>
        <v>718260026.479171</v>
      </c>
      <c r="BQ70" s="40" t="n">
        <f aca="false">SUM($C69:BQ69)</f>
        <v>760419669.599286</v>
      </c>
      <c r="BR70" s="40" t="n">
        <f aca="false">SUM($C69:BR69)</f>
        <v>802790081.674168</v>
      </c>
      <c r="BS70" s="40" t="n">
        <f aca="false">SUM($C69:BS69)</f>
        <v>845301407.027352</v>
      </c>
      <c r="BT70" s="40" t="n">
        <f aca="false">SUM($C69:BT69)</f>
        <v>887883270.331381</v>
      </c>
      <c r="BU70" s="40" t="n">
        <f aca="false">SUM($C69:BU69)</f>
        <v>930677350.241884</v>
      </c>
      <c r="BV70" s="40" t="n">
        <f aca="false">SUM($C69:BV69)</f>
        <v>973542239.467322</v>
      </c>
      <c r="BW70" s="40" t="n">
        <f aca="false">SUM($C69:BW69)</f>
        <v>8338115151.44669</v>
      </c>
      <c r="BX70" s="40" t="n">
        <f aca="false">SUM($C69:BX69)</f>
        <v>8338115151.44669</v>
      </c>
      <c r="BY70" s="40" t="n">
        <f aca="false">SUM($C69:BY69)</f>
        <v>8338115151.44669</v>
      </c>
      <c r="BZ70" s="40" t="n">
        <f aca="false">SUM($C69:BZ69)</f>
        <v>8338115151.44669</v>
      </c>
      <c r="CA70" s="40" t="n">
        <f aca="false">SUM($C69:CA69)</f>
        <v>8338115151.44669</v>
      </c>
      <c r="CB70" s="40" t="n">
        <f aca="false">SUM($C69:CB69)</f>
        <v>8338115151.44669</v>
      </c>
      <c r="CC70" s="40" t="n">
        <f aca="false">SUM($C69:CC69)</f>
        <v>8338115151.44669</v>
      </c>
      <c r="CD70" s="40" t="n">
        <f aca="false">SUM($C69:CD69)</f>
        <v>8338115151.44669</v>
      </c>
      <c r="CE70" s="40" t="n">
        <f aca="false">SUM($C69:CE69)</f>
        <v>8338115151.44669</v>
      </c>
      <c r="CF70" s="40" t="n">
        <f aca="false">SUM($C69:CF69)</f>
        <v>8338115151.44669</v>
      </c>
      <c r="CG70" s="40" t="n">
        <f aca="false">SUM($C69:CG69)</f>
        <v>8338115151.44669</v>
      </c>
      <c r="CH70" s="40" t="n">
        <f aca="false">SUM($C69:CH69)</f>
        <v>8338115151.44669</v>
      </c>
      <c r="CI70" s="40" t="n">
        <f aca="false">SUM($C69:CI69)</f>
        <v>8338115151.44669</v>
      </c>
      <c r="CJ70" s="40" t="n">
        <f aca="false">SUM($C69:CJ69)</f>
        <v>8338115151.44669</v>
      </c>
      <c r="CK70" s="40" t="n">
        <f aca="false">SUM($C69:CK69)</f>
        <v>8338115151.44669</v>
      </c>
      <c r="CL70" s="40" t="n">
        <f aca="false">SUM($C69:CL69)</f>
        <v>8338115151.44669</v>
      </c>
      <c r="CM70" s="40" t="n">
        <f aca="false">SUM($C69:CM69)</f>
        <v>8338115151.44669</v>
      </c>
      <c r="CN70" s="40" t="n">
        <f aca="false">SUM($C69:CN69)</f>
        <v>8338115151.44669</v>
      </c>
      <c r="CO70" s="40" t="n">
        <f aca="false">SUM($C69:CO69)</f>
        <v>8338115151.44669</v>
      </c>
      <c r="CP70" s="40" t="n">
        <f aca="false">SUM($C69:CP69)</f>
        <v>8338115151.44669</v>
      </c>
      <c r="CQ70" s="40" t="n">
        <f aca="false">SUM($C69:CQ69)</f>
        <v>8338115151.44669</v>
      </c>
      <c r="CR70" s="40" t="n">
        <f aca="false">SUM($C69:CR69)</f>
        <v>8338115151.44669</v>
      </c>
      <c r="CS70" s="40" t="n">
        <f aca="false">SUM($C69:CS69)</f>
        <v>8338115151.44669</v>
      </c>
      <c r="CT70" s="40" t="n">
        <f aca="false">SUM($C69:CT69)</f>
        <v>8338115151.44669</v>
      </c>
      <c r="CU70" s="40" t="n">
        <f aca="false">SUM($C69:CU69)</f>
        <v>8338115151.44669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7" t="n">
        <v>0</v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  <c r="I5" s="17" t="n">
        <v>6</v>
      </c>
      <c r="J5" s="17" t="n">
        <v>7</v>
      </c>
      <c r="K5" s="17" t="n">
        <v>8</v>
      </c>
      <c r="L5" s="17" t="n">
        <v>9</v>
      </c>
      <c r="M5" s="17" t="n">
        <v>10</v>
      </c>
      <c r="N5" s="17" t="n">
        <v>11</v>
      </c>
      <c r="O5" s="17" t="n">
        <v>12</v>
      </c>
      <c r="P5" s="17" t="n">
        <v>13</v>
      </c>
      <c r="Q5" s="17" t="n">
        <v>14</v>
      </c>
      <c r="R5" s="17" t="n">
        <v>15</v>
      </c>
      <c r="S5" s="17" t="n">
        <v>16</v>
      </c>
      <c r="T5" s="17" t="n">
        <v>17</v>
      </c>
      <c r="U5" s="17" t="n">
        <v>18</v>
      </c>
      <c r="V5" s="17" t="n">
        <v>19</v>
      </c>
      <c r="W5" s="17" t="n">
        <v>20</v>
      </c>
      <c r="X5" s="17" t="n">
        <v>21</v>
      </c>
      <c r="Y5" s="17" t="n">
        <v>22</v>
      </c>
      <c r="Z5" s="17" t="n">
        <v>23</v>
      </c>
      <c r="AA5" s="17" t="n">
        <v>24</v>
      </c>
      <c r="AB5" s="17" t="n">
        <v>25</v>
      </c>
      <c r="AC5" s="17" t="n">
        <v>26</v>
      </c>
      <c r="AD5" s="17" t="n">
        <v>27</v>
      </c>
      <c r="AE5" s="17" t="n">
        <v>28</v>
      </c>
      <c r="AF5" s="17" t="n">
        <v>29</v>
      </c>
      <c r="AG5" s="17" t="n">
        <v>30</v>
      </c>
      <c r="AH5" s="17" t="n">
        <v>31</v>
      </c>
      <c r="AI5" s="17" t="n">
        <v>32</v>
      </c>
      <c r="AJ5" s="17" t="n">
        <v>33</v>
      </c>
      <c r="AK5" s="17" t="n">
        <v>34</v>
      </c>
      <c r="AL5" s="17" t="n">
        <v>35</v>
      </c>
      <c r="AM5" s="17" t="n">
        <v>36</v>
      </c>
      <c r="AN5" s="17" t="n">
        <v>37</v>
      </c>
      <c r="AO5" s="17" t="n">
        <v>38</v>
      </c>
      <c r="AP5" s="17" t="n">
        <v>39</v>
      </c>
      <c r="AQ5" s="17" t="n">
        <v>40</v>
      </c>
      <c r="AR5" s="17" t="n">
        <v>41</v>
      </c>
      <c r="AS5" s="17" t="n">
        <v>42</v>
      </c>
      <c r="AT5" s="17" t="n">
        <v>43</v>
      </c>
      <c r="AU5" s="17" t="n">
        <v>44</v>
      </c>
      <c r="AV5" s="17" t="n">
        <v>45</v>
      </c>
      <c r="AW5" s="17" t="n">
        <v>46</v>
      </c>
      <c r="AX5" s="17" t="n">
        <v>47</v>
      </c>
      <c r="AY5" s="17" t="n">
        <v>48</v>
      </c>
      <c r="AZ5" s="17" t="n">
        <v>49</v>
      </c>
      <c r="BA5" s="17" t="n">
        <v>50</v>
      </c>
      <c r="BB5" s="17" t="n">
        <v>51</v>
      </c>
      <c r="BC5" s="17" t="n">
        <v>52</v>
      </c>
      <c r="BD5" s="17" t="n">
        <v>53</v>
      </c>
      <c r="BE5" s="17" t="n">
        <v>54</v>
      </c>
      <c r="BF5" s="17" t="n">
        <v>55</v>
      </c>
      <c r="BG5" s="17" t="n">
        <v>56</v>
      </c>
      <c r="BH5" s="17" t="n">
        <v>57</v>
      </c>
      <c r="BI5" s="17" t="n">
        <v>58</v>
      </c>
      <c r="BJ5" s="17" t="n">
        <v>59</v>
      </c>
      <c r="BK5" s="17" t="n">
        <v>60</v>
      </c>
      <c r="BL5" s="17" t="n">
        <v>61</v>
      </c>
      <c r="BM5" s="17" t="n">
        <v>62</v>
      </c>
      <c r="BN5" s="17" t="n">
        <v>63</v>
      </c>
      <c r="BO5" s="17" t="n">
        <v>64</v>
      </c>
      <c r="BP5" s="17" t="n">
        <v>65</v>
      </c>
      <c r="BQ5" s="17" t="n">
        <v>66</v>
      </c>
      <c r="BR5" s="17" t="n">
        <v>67</v>
      </c>
      <c r="BS5" s="17" t="n">
        <v>68</v>
      </c>
      <c r="BT5" s="17" t="n">
        <v>69</v>
      </c>
      <c r="BU5" s="17" t="n">
        <v>70</v>
      </c>
      <c r="BV5" s="17" t="n">
        <v>71</v>
      </c>
      <c r="BW5" s="17" t="n">
        <v>72</v>
      </c>
      <c r="BX5" s="17" t="n">
        <v>73</v>
      </c>
      <c r="BY5" s="17" t="n">
        <v>74</v>
      </c>
      <c r="BZ5" s="17" t="n">
        <v>75</v>
      </c>
      <c r="CA5" s="17" t="n">
        <v>76</v>
      </c>
      <c r="CB5" s="17" t="n">
        <v>77</v>
      </c>
      <c r="CC5" s="17" t="n">
        <v>78</v>
      </c>
      <c r="CD5" s="17" t="n">
        <v>79</v>
      </c>
      <c r="CE5" s="17" t="n">
        <v>80</v>
      </c>
      <c r="CF5" s="17" t="n">
        <v>81</v>
      </c>
      <c r="CG5" s="17" t="n">
        <v>82</v>
      </c>
      <c r="CH5" s="17" t="n">
        <v>83</v>
      </c>
      <c r="CI5" s="17" t="n">
        <v>84</v>
      </c>
      <c r="CJ5" s="17" t="n">
        <v>85</v>
      </c>
      <c r="CK5" s="17" t="n">
        <v>86</v>
      </c>
      <c r="CL5" s="17" t="n">
        <v>87</v>
      </c>
      <c r="CM5" s="17" t="n">
        <v>88</v>
      </c>
      <c r="CN5" s="17" t="n">
        <v>89</v>
      </c>
      <c r="CO5" s="17" t="n">
        <v>90</v>
      </c>
      <c r="CP5" s="17" t="n">
        <v>91</v>
      </c>
      <c r="CQ5" s="17" t="n">
        <v>92</v>
      </c>
      <c r="CR5" s="17" t="n">
        <v>93</v>
      </c>
      <c r="CS5" s="17" t="n">
        <v>94</v>
      </c>
      <c r="CT5" s="17" t="n">
        <v>95</v>
      </c>
      <c r="CU5" s="17" t="n">
        <v>96</v>
      </c>
    </row>
    <row r="7" customFormat="false" ht="15" hidden="false" customHeight="false" outlineLevel="0" collapsed="false">
      <c r="A7" s="0" t="s">
        <v>157</v>
      </c>
      <c r="B7" s="40" t="n">
        <f aca="false">LTC*'Cash Flow'!B24</f>
        <v>912621757.543711</v>
      </c>
    </row>
    <row r="8" customFormat="false" ht="15" hidden="false" customHeight="false" outlineLevel="0" collapsed="false">
      <c r="A8" s="0" t="s">
        <v>158</v>
      </c>
      <c r="B8" s="38" t="n">
        <f aca="false">SAIBOR+Margin/10000</f>
        <v>0.082</v>
      </c>
    </row>
    <row r="9" customFormat="false" ht="15" hidden="false" customHeight="false" outlineLevel="0" collapsed="false">
      <c r="A9" s="0" t="s">
        <v>159</v>
      </c>
      <c r="B9" s="40" t="n">
        <f aca="false">'Cash Flow'!B24-B7</f>
        <v>1115426592.55342</v>
      </c>
    </row>
    <row r="11" customFormat="false" ht="15" hidden="false" customHeight="false" outlineLevel="0" collapsed="false">
      <c r="A11" s="35" t="s">
        <v>160</v>
      </c>
      <c r="C11" s="40" t="n">
        <f aca="false">'Cash Flow'!C24</f>
        <v>682500000</v>
      </c>
      <c r="D11" s="40" t="n">
        <f aca="false">'Cash Flow'!D24</f>
        <v>3695649.90286474</v>
      </c>
      <c r="E11" s="40" t="n">
        <f aca="false">'Cash Flow'!E24</f>
        <v>11046459.3948938</v>
      </c>
      <c r="F11" s="40" t="n">
        <f aca="false">'Cash Flow'!F24</f>
        <v>18276241.5661724</v>
      </c>
      <c r="G11" s="40" t="n">
        <f aca="false">'Cash Flow'!G24</f>
        <v>25305785.4103024</v>
      </c>
      <c r="H11" s="40" t="n">
        <f aca="false">'Cash Flow'!H24</f>
        <v>32058073.7739011</v>
      </c>
      <c r="I11" s="40" t="n">
        <f aca="false">'Cash Flow'!I24</f>
        <v>38459127.1726498</v>
      </c>
      <c r="J11" s="40" t="n">
        <f aca="false">'Cash Flow'!J24</f>
        <v>44438814.3260051</v>
      </c>
      <c r="K11" s="40" t="n">
        <f aca="false">'Cash Flow'!K24</f>
        <v>49931620.530185</v>
      </c>
      <c r="L11" s="40" t="n">
        <f aca="false">'Cash Flow'!L24</f>
        <v>54877365.4509729</v>
      </c>
      <c r="M11" s="40" t="n">
        <f aca="false">'Cash Flow'!M24</f>
        <v>59221862.4720527</v>
      </c>
      <c r="N11" s="40" t="n">
        <f aca="false">'Cash Flow'!N24</f>
        <v>62917512.3749175</v>
      </c>
      <c r="O11" s="40" t="n">
        <f aca="false">'Cash Flow'!O24</f>
        <v>65923824.8458668</v>
      </c>
      <c r="P11" s="40" t="n">
        <f aca="false">'Cash Flow'!P24</f>
        <v>68207862.0963575</v>
      </c>
      <c r="Q11" s="40" t="n">
        <f aca="false">'Cash Flow'!Q24</f>
        <v>69744599.7363074</v>
      </c>
      <c r="R11" s="40" t="n">
        <f aca="false">'Cash Flow'!R24</f>
        <v>70517200.9465507</v>
      </c>
      <c r="S11" s="40" t="n">
        <f aca="false">'Cash Flow'!S24</f>
        <v>70517200.946551</v>
      </c>
      <c r="T11" s="40" t="n">
        <f aca="false">'Cash Flow'!T24</f>
        <v>69744599.7363077</v>
      </c>
      <c r="U11" s="40" t="n">
        <f aca="false">'Cash Flow'!U24</f>
        <v>68207862.0963573</v>
      </c>
      <c r="V11" s="40" t="n">
        <f aca="false">'Cash Flow'!V24</f>
        <v>65923824.8458667</v>
      </c>
      <c r="W11" s="40" t="n">
        <f aca="false">'Cash Flow'!W24</f>
        <v>62917512.3749174</v>
      </c>
      <c r="X11" s="40" t="n">
        <f aca="false">'Cash Flow'!X24</f>
        <v>59221862.4720528</v>
      </c>
      <c r="Y11" s="40" t="n">
        <f aca="false">'Cash Flow'!Y24</f>
        <v>54877365.4509727</v>
      </c>
      <c r="Z11" s="40" t="n">
        <f aca="false">'Cash Flow'!Z24</f>
        <v>49931620.5301852</v>
      </c>
      <c r="AA11" s="40" t="n">
        <f aca="false">'Cash Flow'!AA24</f>
        <v>44438814.3260053</v>
      </c>
      <c r="AB11" s="40" t="n">
        <f aca="false">'Cash Flow'!AB24</f>
        <v>38459127.1726499</v>
      </c>
      <c r="AC11" s="40" t="n">
        <f aca="false">'Cash Flow'!AC24</f>
        <v>32058073.7739011</v>
      </c>
      <c r="AD11" s="40" t="n">
        <f aca="false">'Cash Flow'!AD24</f>
        <v>25305785.4103024</v>
      </c>
      <c r="AE11" s="40" t="n">
        <f aca="false">'Cash Flow'!AE24</f>
        <v>18276241.5661723</v>
      </c>
      <c r="AF11" s="40" t="n">
        <f aca="false">'Cash Flow'!AF24</f>
        <v>11046459.394894</v>
      </c>
      <c r="AG11" s="40" t="n">
        <f aca="false">'Cash Flow'!AG24</f>
        <v>3695649.90286459</v>
      </c>
      <c r="AH11" s="40" t="n">
        <f aca="false">'Cash Flow'!AH24</f>
        <v>0</v>
      </c>
      <c r="AI11" s="40" t="n">
        <f aca="false">'Cash Flow'!AI24</f>
        <v>0</v>
      </c>
      <c r="AJ11" s="40" t="n">
        <f aca="false">'Cash Flow'!AJ24</f>
        <v>0</v>
      </c>
      <c r="AK11" s="40" t="n">
        <f aca="false">'Cash Flow'!AK24</f>
        <v>0</v>
      </c>
      <c r="AL11" s="40" t="n">
        <f aca="false">'Cash Flow'!AL24</f>
        <v>0</v>
      </c>
      <c r="AM11" s="40" t="n">
        <f aca="false">'Cash Flow'!AM24</f>
        <v>0</v>
      </c>
      <c r="AN11" s="40" t="n">
        <f aca="false">'Cash Flow'!AN24</f>
        <v>0</v>
      </c>
      <c r="AO11" s="40" t="n">
        <f aca="false">'Cash Flow'!AO24</f>
        <v>0</v>
      </c>
      <c r="AP11" s="40" t="n">
        <f aca="false">'Cash Flow'!AP24</f>
        <v>0</v>
      </c>
      <c r="AQ11" s="40" t="n">
        <f aca="false">'Cash Flow'!AQ24</f>
        <v>0</v>
      </c>
      <c r="AR11" s="40" t="n">
        <f aca="false">'Cash Flow'!AR24</f>
        <v>0</v>
      </c>
      <c r="AS11" s="40" t="n">
        <f aca="false">'Cash Flow'!AS24</f>
        <v>0</v>
      </c>
      <c r="AT11" s="40" t="n">
        <f aca="false">'Cash Flow'!AT24</f>
        <v>0</v>
      </c>
      <c r="AU11" s="40" t="n">
        <f aca="false">'Cash Flow'!AU24</f>
        <v>0</v>
      </c>
      <c r="AV11" s="40" t="n">
        <f aca="false">'Cash Flow'!AV24</f>
        <v>0</v>
      </c>
      <c r="AW11" s="40" t="n">
        <f aca="false">'Cash Flow'!AW24</f>
        <v>0</v>
      </c>
      <c r="AX11" s="40" t="n">
        <f aca="false">'Cash Flow'!AX24</f>
        <v>0</v>
      </c>
      <c r="AY11" s="40" t="n">
        <f aca="false">'Cash Flow'!AY24</f>
        <v>0</v>
      </c>
      <c r="AZ11" s="40" t="n">
        <f aca="false">'Cash Flow'!AZ24</f>
        <v>0</v>
      </c>
      <c r="BA11" s="40" t="n">
        <f aca="false">'Cash Flow'!BA24</f>
        <v>0</v>
      </c>
      <c r="BB11" s="40" t="n">
        <f aca="false">'Cash Flow'!BB24</f>
        <v>0</v>
      </c>
      <c r="BC11" s="40" t="n">
        <f aca="false">'Cash Flow'!BC24</f>
        <v>0</v>
      </c>
      <c r="BD11" s="40" t="n">
        <f aca="false">'Cash Flow'!BD24</f>
        <v>0</v>
      </c>
      <c r="BE11" s="40" t="n">
        <f aca="false">'Cash Flow'!BE24</f>
        <v>0</v>
      </c>
      <c r="BF11" s="40" t="n">
        <f aca="false">'Cash Flow'!BF24</f>
        <v>0</v>
      </c>
      <c r="BG11" s="40" t="n">
        <f aca="false">'Cash Flow'!BG24</f>
        <v>0</v>
      </c>
      <c r="BH11" s="40" t="n">
        <f aca="false">'Cash Flow'!BH24</f>
        <v>0</v>
      </c>
      <c r="BI11" s="40" t="n">
        <f aca="false">'Cash Flow'!BI24</f>
        <v>0</v>
      </c>
      <c r="BJ11" s="40" t="n">
        <f aca="false">'Cash Flow'!BJ24</f>
        <v>0</v>
      </c>
      <c r="BK11" s="40" t="n">
        <f aca="false">'Cash Flow'!BK24</f>
        <v>0</v>
      </c>
      <c r="BL11" s="40" t="n">
        <f aca="false">'Cash Flow'!BL24</f>
        <v>0</v>
      </c>
      <c r="BM11" s="40" t="n">
        <f aca="false">'Cash Flow'!BM24</f>
        <v>0</v>
      </c>
      <c r="BN11" s="40" t="n">
        <f aca="false">'Cash Flow'!BN24</f>
        <v>0</v>
      </c>
      <c r="BO11" s="40" t="n">
        <f aca="false">'Cash Flow'!BO24</f>
        <v>0</v>
      </c>
      <c r="BP11" s="40" t="n">
        <f aca="false">'Cash Flow'!BP24</f>
        <v>0</v>
      </c>
      <c r="BQ11" s="40" t="n">
        <f aca="false">'Cash Flow'!BQ24</f>
        <v>0</v>
      </c>
      <c r="BR11" s="40" t="n">
        <f aca="false">'Cash Flow'!BR24</f>
        <v>0</v>
      </c>
      <c r="BS11" s="40" t="n">
        <f aca="false">'Cash Flow'!BS24</f>
        <v>0</v>
      </c>
      <c r="BT11" s="40" t="n">
        <f aca="false">'Cash Flow'!BT24</f>
        <v>0</v>
      </c>
      <c r="BU11" s="40" t="n">
        <f aca="false">'Cash Flow'!BU24</f>
        <v>0</v>
      </c>
      <c r="BV11" s="40" t="n">
        <f aca="false">'Cash Flow'!BV24</f>
        <v>0</v>
      </c>
      <c r="BW11" s="40" t="n">
        <f aca="false">'Cash Flow'!BW24</f>
        <v>0</v>
      </c>
      <c r="BX11" s="40" t="n">
        <f aca="false">'Cash Flow'!BX24</f>
        <v>0</v>
      </c>
      <c r="BY11" s="40" t="n">
        <f aca="false">'Cash Flow'!BY24</f>
        <v>0</v>
      </c>
      <c r="BZ11" s="40" t="n">
        <f aca="false">'Cash Flow'!BZ24</f>
        <v>0</v>
      </c>
      <c r="CA11" s="40" t="n">
        <f aca="false">'Cash Flow'!CA24</f>
        <v>0</v>
      </c>
      <c r="CB11" s="40" t="n">
        <f aca="false">'Cash Flow'!CB24</f>
        <v>0</v>
      </c>
      <c r="CC11" s="40" t="n">
        <f aca="false">'Cash Flow'!CC24</f>
        <v>0</v>
      </c>
      <c r="CD11" s="40" t="n">
        <f aca="false">'Cash Flow'!CD24</f>
        <v>0</v>
      </c>
      <c r="CE11" s="40" t="n">
        <f aca="false">'Cash Flow'!CE24</f>
        <v>0</v>
      </c>
      <c r="CF11" s="40" t="n">
        <f aca="false">'Cash Flow'!CF24</f>
        <v>0</v>
      </c>
      <c r="CG11" s="40" t="n">
        <f aca="false">'Cash Flow'!CG24</f>
        <v>0</v>
      </c>
      <c r="CH11" s="40" t="n">
        <f aca="false">'Cash Flow'!CH24</f>
        <v>0</v>
      </c>
      <c r="CI11" s="40" t="n">
        <f aca="false">'Cash Flow'!CI24</f>
        <v>0</v>
      </c>
      <c r="CJ11" s="40" t="n">
        <f aca="false">'Cash Flow'!CJ24</f>
        <v>0</v>
      </c>
      <c r="CK11" s="40" t="n">
        <f aca="false">'Cash Flow'!CK24</f>
        <v>0</v>
      </c>
      <c r="CL11" s="40" t="n">
        <f aca="false">'Cash Flow'!CL24</f>
        <v>0</v>
      </c>
      <c r="CM11" s="40" t="n">
        <f aca="false">'Cash Flow'!CM24</f>
        <v>0</v>
      </c>
      <c r="CN11" s="40" t="n">
        <f aca="false">'Cash Flow'!CN24</f>
        <v>0</v>
      </c>
      <c r="CO11" s="40" t="n">
        <f aca="false">'Cash Flow'!CO24</f>
        <v>0</v>
      </c>
      <c r="CP11" s="40" t="n">
        <f aca="false">'Cash Flow'!CP24</f>
        <v>0</v>
      </c>
      <c r="CQ11" s="40" t="n">
        <f aca="false">'Cash Flow'!CQ24</f>
        <v>0</v>
      </c>
      <c r="CR11" s="40" t="n">
        <f aca="false">'Cash Flow'!CR24</f>
        <v>0</v>
      </c>
      <c r="CS11" s="40" t="n">
        <f aca="false">'Cash Flow'!CS24</f>
        <v>0</v>
      </c>
      <c r="CT11" s="40" t="n">
        <f aca="false">'Cash Flow'!CT24</f>
        <v>0</v>
      </c>
      <c r="CU11" s="40" t="n">
        <f aca="false">'Cash Flow'!CU24</f>
        <v>0</v>
      </c>
    </row>
    <row r="12" customFormat="false" ht="15" hidden="false" customHeight="false" outlineLevel="0" collapsed="false">
      <c r="A12" s="35" t="s">
        <v>161</v>
      </c>
      <c r="C12" s="40" t="n">
        <f aca="false">SUM($C11:C11)</f>
        <v>682500000</v>
      </c>
      <c r="D12" s="40" t="n">
        <f aca="false">SUM($C11:D11)</f>
        <v>686195649.902865</v>
      </c>
      <c r="E12" s="40" t="n">
        <f aca="false">SUM($C11:E11)</f>
        <v>697242109.297759</v>
      </c>
      <c r="F12" s="40" t="n">
        <f aca="false">SUM($C11:F11)</f>
        <v>715518350.863931</v>
      </c>
      <c r="G12" s="40" t="n">
        <f aca="false">SUM($C11:G11)</f>
        <v>740824136.274233</v>
      </c>
      <c r="H12" s="40" t="n">
        <f aca="false">SUM($C11:H11)</f>
        <v>772882210.048134</v>
      </c>
      <c r="I12" s="40" t="n">
        <f aca="false">SUM($C11:I11)</f>
        <v>811341337.220784</v>
      </c>
      <c r="J12" s="40" t="n">
        <f aca="false">SUM($C11:J11)</f>
        <v>855780151.546789</v>
      </c>
      <c r="K12" s="40" t="n">
        <f aca="false">SUM($C11:K11)</f>
        <v>905711772.076974</v>
      </c>
      <c r="L12" s="40" t="n">
        <f aca="false">SUM($C11:L11)</f>
        <v>960589137.527947</v>
      </c>
      <c r="M12" s="40" t="n">
        <f aca="false">SUM($C11:M11)</f>
        <v>1019811000</v>
      </c>
      <c r="N12" s="40" t="n">
        <f aca="false">SUM($C11:N11)</f>
        <v>1082728512.37492</v>
      </c>
      <c r="O12" s="40" t="n">
        <f aca="false">SUM($C11:O11)</f>
        <v>1148652337.22078</v>
      </c>
      <c r="P12" s="40" t="n">
        <f aca="false">SUM($C11:P11)</f>
        <v>1216860199.31714</v>
      </c>
      <c r="Q12" s="40" t="n">
        <f aca="false">SUM($C11:Q11)</f>
        <v>1286604799.05345</v>
      </c>
      <c r="R12" s="40" t="n">
        <f aca="false">SUM($C11:R11)</f>
        <v>1357122000</v>
      </c>
      <c r="S12" s="40" t="n">
        <f aca="false">SUM($C11:S11)</f>
        <v>1427639200.94655</v>
      </c>
      <c r="T12" s="40" t="n">
        <f aca="false">SUM($C11:T11)</f>
        <v>1497383800.68286</v>
      </c>
      <c r="U12" s="40" t="n">
        <f aca="false">SUM($C11:U11)</f>
        <v>1565591662.77922</v>
      </c>
      <c r="V12" s="40" t="n">
        <f aca="false">SUM($C11:V11)</f>
        <v>1631515487.62508</v>
      </c>
      <c r="W12" s="40" t="n">
        <f aca="false">SUM($C11:W11)</f>
        <v>1694433000</v>
      </c>
      <c r="X12" s="40" t="n">
        <f aca="false">SUM($C11:X11)</f>
        <v>1753654862.47205</v>
      </c>
      <c r="Y12" s="40" t="n">
        <f aca="false">SUM($C11:Y11)</f>
        <v>1808532227.92303</v>
      </c>
      <c r="Z12" s="40" t="n">
        <f aca="false">SUM($C11:Z11)</f>
        <v>1858463848.45321</v>
      </c>
      <c r="AA12" s="40" t="n">
        <f aca="false">SUM($C11:AA11)</f>
        <v>1902902662.77922</v>
      </c>
      <c r="AB12" s="40" t="n">
        <f aca="false">SUM($C11:AB11)</f>
        <v>1941361789.95187</v>
      </c>
      <c r="AC12" s="40" t="n">
        <f aca="false">SUM($C11:AC11)</f>
        <v>1973419863.72577</v>
      </c>
      <c r="AD12" s="40" t="n">
        <f aca="false">SUM($C11:AD11)</f>
        <v>1998725649.13607</v>
      </c>
      <c r="AE12" s="40" t="n">
        <f aca="false">SUM($C11:AE11)</f>
        <v>2017001890.70224</v>
      </c>
      <c r="AF12" s="40" t="n">
        <f aca="false">SUM($C11:AF11)</f>
        <v>2028048350.09714</v>
      </c>
      <c r="AG12" s="40" t="n">
        <f aca="false">SUM($C11:AG11)</f>
        <v>2031744000</v>
      </c>
      <c r="AH12" s="40" t="n">
        <f aca="false">SUM($C11:AH11)</f>
        <v>2031744000</v>
      </c>
      <c r="AI12" s="40" t="n">
        <f aca="false">SUM($C11:AI11)</f>
        <v>2031744000</v>
      </c>
      <c r="AJ12" s="40" t="n">
        <f aca="false">SUM($C11:AJ11)</f>
        <v>2031744000</v>
      </c>
      <c r="AK12" s="40" t="n">
        <f aca="false">SUM($C11:AK11)</f>
        <v>2031744000</v>
      </c>
      <c r="AL12" s="40" t="n">
        <f aca="false">SUM($C11:AL11)</f>
        <v>2031744000</v>
      </c>
      <c r="AM12" s="40" t="n">
        <f aca="false">SUM($C11:AM11)</f>
        <v>2031744000</v>
      </c>
      <c r="AN12" s="40" t="n">
        <f aca="false">SUM($C11:AN11)</f>
        <v>2031744000</v>
      </c>
      <c r="AO12" s="40" t="n">
        <f aca="false">SUM($C11:AO11)</f>
        <v>2031744000</v>
      </c>
      <c r="AP12" s="40" t="n">
        <f aca="false">SUM($C11:AP11)</f>
        <v>2031744000</v>
      </c>
      <c r="AQ12" s="40" t="n">
        <f aca="false">SUM($C11:AQ11)</f>
        <v>2031744000</v>
      </c>
      <c r="AR12" s="40" t="n">
        <f aca="false">SUM($C11:AR11)</f>
        <v>2031744000</v>
      </c>
      <c r="AS12" s="40" t="n">
        <f aca="false">SUM($C11:AS11)</f>
        <v>2031744000</v>
      </c>
      <c r="AT12" s="40" t="n">
        <f aca="false">SUM($C11:AT11)</f>
        <v>2031744000</v>
      </c>
      <c r="AU12" s="40" t="n">
        <f aca="false">SUM($C11:AU11)</f>
        <v>2031744000</v>
      </c>
      <c r="AV12" s="40" t="n">
        <f aca="false">SUM($C11:AV11)</f>
        <v>2031744000</v>
      </c>
      <c r="AW12" s="40" t="n">
        <f aca="false">SUM($C11:AW11)</f>
        <v>2031744000</v>
      </c>
      <c r="AX12" s="40" t="n">
        <f aca="false">SUM($C11:AX11)</f>
        <v>2031744000</v>
      </c>
      <c r="AY12" s="40" t="n">
        <f aca="false">SUM($C11:AY11)</f>
        <v>2031744000</v>
      </c>
      <c r="AZ12" s="40" t="n">
        <f aca="false">SUM($C11:AZ11)</f>
        <v>2031744000</v>
      </c>
      <c r="BA12" s="40" t="n">
        <f aca="false">SUM($C11:BA11)</f>
        <v>2031744000</v>
      </c>
      <c r="BB12" s="40" t="n">
        <f aca="false">SUM($C11:BB11)</f>
        <v>2031744000</v>
      </c>
      <c r="BC12" s="40" t="n">
        <f aca="false">SUM($C11:BC11)</f>
        <v>2031744000</v>
      </c>
      <c r="BD12" s="40" t="n">
        <f aca="false">SUM($C11:BD11)</f>
        <v>2031744000</v>
      </c>
      <c r="BE12" s="40" t="n">
        <f aca="false">SUM($C11:BE11)</f>
        <v>2031744000</v>
      </c>
      <c r="BF12" s="40" t="n">
        <f aca="false">SUM($C11:BF11)</f>
        <v>2031744000</v>
      </c>
      <c r="BG12" s="40" t="n">
        <f aca="false">SUM($C11:BG11)</f>
        <v>2031744000</v>
      </c>
      <c r="BH12" s="40" t="n">
        <f aca="false">SUM($C11:BH11)</f>
        <v>2031744000</v>
      </c>
      <c r="BI12" s="40" t="n">
        <f aca="false">SUM($C11:BI11)</f>
        <v>2031744000</v>
      </c>
      <c r="BJ12" s="40" t="n">
        <f aca="false">SUM($C11:BJ11)</f>
        <v>2031744000</v>
      </c>
      <c r="BK12" s="40" t="n">
        <f aca="false">SUM($C11:BK11)</f>
        <v>2031744000</v>
      </c>
      <c r="BL12" s="40" t="n">
        <f aca="false">SUM($C11:BL11)</f>
        <v>2031744000</v>
      </c>
      <c r="BM12" s="40" t="n">
        <f aca="false">SUM($C11:BM11)</f>
        <v>2031744000</v>
      </c>
      <c r="BN12" s="40" t="n">
        <f aca="false">SUM($C11:BN11)</f>
        <v>2031744000</v>
      </c>
      <c r="BO12" s="40" t="n">
        <f aca="false">SUM($C11:BO11)</f>
        <v>2031744000</v>
      </c>
      <c r="BP12" s="40" t="n">
        <f aca="false">SUM($C11:BP11)</f>
        <v>2031744000</v>
      </c>
      <c r="BQ12" s="40" t="n">
        <f aca="false">SUM($C11:BQ11)</f>
        <v>2031744000</v>
      </c>
      <c r="BR12" s="40" t="n">
        <f aca="false">SUM($C11:BR11)</f>
        <v>2031744000</v>
      </c>
      <c r="BS12" s="40" t="n">
        <f aca="false">SUM($C11:BS11)</f>
        <v>2031744000</v>
      </c>
      <c r="BT12" s="40" t="n">
        <f aca="false">SUM($C11:BT11)</f>
        <v>2031744000</v>
      </c>
      <c r="BU12" s="40" t="n">
        <f aca="false">SUM($C11:BU11)</f>
        <v>2031744000</v>
      </c>
      <c r="BV12" s="40" t="n">
        <f aca="false">SUM($C11:BV11)</f>
        <v>2031744000</v>
      </c>
      <c r="BW12" s="40" t="n">
        <f aca="false">SUM($C11:BW11)</f>
        <v>2031744000</v>
      </c>
      <c r="BX12" s="40" t="n">
        <f aca="false">SUM($C11:BX11)</f>
        <v>2031744000</v>
      </c>
      <c r="BY12" s="40" t="n">
        <f aca="false">SUM($C11:BY11)</f>
        <v>2031744000</v>
      </c>
      <c r="BZ12" s="40" t="n">
        <f aca="false">SUM($C11:BZ11)</f>
        <v>2031744000</v>
      </c>
      <c r="CA12" s="40" t="n">
        <f aca="false">SUM($C11:CA11)</f>
        <v>2031744000</v>
      </c>
      <c r="CB12" s="40" t="n">
        <f aca="false">SUM($C11:CB11)</f>
        <v>2031744000</v>
      </c>
      <c r="CC12" s="40" t="n">
        <f aca="false">SUM($C11:CC11)</f>
        <v>2031744000</v>
      </c>
      <c r="CD12" s="40" t="n">
        <f aca="false">SUM($C11:CD11)</f>
        <v>2031744000</v>
      </c>
      <c r="CE12" s="40" t="n">
        <f aca="false">SUM($C11:CE11)</f>
        <v>2031744000</v>
      </c>
      <c r="CF12" s="40" t="n">
        <f aca="false">SUM($C11:CF11)</f>
        <v>2031744000</v>
      </c>
      <c r="CG12" s="40" t="n">
        <f aca="false">SUM($C11:CG11)</f>
        <v>2031744000</v>
      </c>
      <c r="CH12" s="40" t="n">
        <f aca="false">SUM($C11:CH11)</f>
        <v>2031744000</v>
      </c>
      <c r="CI12" s="40" t="n">
        <f aca="false">SUM($C11:CI11)</f>
        <v>2031744000</v>
      </c>
      <c r="CJ12" s="40" t="n">
        <f aca="false">SUM($C11:CJ11)</f>
        <v>2031744000</v>
      </c>
      <c r="CK12" s="40" t="n">
        <f aca="false">SUM($C11:CK11)</f>
        <v>2031744000</v>
      </c>
      <c r="CL12" s="40" t="n">
        <f aca="false">SUM($C11:CL11)</f>
        <v>2031744000</v>
      </c>
      <c r="CM12" s="40" t="n">
        <f aca="false">SUM($C11:CM11)</f>
        <v>2031744000</v>
      </c>
      <c r="CN12" s="40" t="n">
        <f aca="false">SUM($C11:CN11)</f>
        <v>2031744000</v>
      </c>
      <c r="CO12" s="40" t="n">
        <f aca="false">SUM($C11:CO11)</f>
        <v>2031744000</v>
      </c>
      <c r="CP12" s="40" t="n">
        <f aca="false">SUM($C11:CP11)</f>
        <v>2031744000</v>
      </c>
      <c r="CQ12" s="40" t="n">
        <f aca="false">SUM($C11:CQ11)</f>
        <v>2031744000</v>
      </c>
      <c r="CR12" s="40" t="n">
        <f aca="false">SUM($C11:CR11)</f>
        <v>2031744000</v>
      </c>
      <c r="CS12" s="40" t="n">
        <f aca="false">SUM($C11:CS11)</f>
        <v>2031744000</v>
      </c>
      <c r="CT12" s="40" t="n">
        <f aca="false">SUM($C11:CT11)</f>
        <v>2031744000</v>
      </c>
      <c r="CU12" s="40" t="n">
        <f aca="false">SUM($C11:CU11)</f>
        <v>2031744000</v>
      </c>
    </row>
    <row r="13" customFormat="false" ht="15" hidden="false" customHeight="false" outlineLevel="0" collapsed="false">
      <c r="A13" s="15" t="s">
        <v>150</v>
      </c>
      <c r="B13" s="40" t="n">
        <f aca="false">SUM(C13:CU13)</f>
        <v>912621757.543711</v>
      </c>
      <c r="C13" s="40" t="n">
        <f aca="false">0</f>
        <v>0</v>
      </c>
      <c r="D13" s="40" t="n">
        <f aca="false">MAX(0,MIN($B$7-SUM($C13:C13),D12-$B$9-SUM($C13:C13)))</f>
        <v>0</v>
      </c>
      <c r="E13" s="40" t="n">
        <f aca="false">MAX(0,MIN($B$7-SUM($C13:D13),E12-$B$9-SUM($C13:D13)))</f>
        <v>0</v>
      </c>
      <c r="F13" s="40" t="n">
        <f aca="false">MAX(0,MIN($B$7-SUM($C13:E13),F12-$B$9-SUM($C13:E13)))</f>
        <v>0</v>
      </c>
      <c r="G13" s="40" t="n">
        <f aca="false">MAX(0,MIN($B$7-SUM($C13:F13),G12-$B$9-SUM($C13:F13)))</f>
        <v>0</v>
      </c>
      <c r="H13" s="40" t="n">
        <f aca="false">MAX(0,MIN($B$7-SUM($C13:G13),H12-$B$9-SUM($C13:G13)))</f>
        <v>0</v>
      </c>
      <c r="I13" s="40" t="n">
        <f aca="false">MAX(0,MIN($B$7-SUM($C13:H13),I12-$B$9-SUM($C13:H13)))</f>
        <v>0</v>
      </c>
      <c r="J13" s="40" t="n">
        <f aca="false">MAX(0,MIN($B$7-SUM($C13:I13),J12-$B$9-SUM($C13:I13)))</f>
        <v>0</v>
      </c>
      <c r="K13" s="40" t="n">
        <f aca="false">MAX(0,MIN($B$7-SUM($C13:J13),K12-$B$9-SUM($C13:J13)))</f>
        <v>0</v>
      </c>
      <c r="L13" s="40" t="n">
        <f aca="false">MAX(0,MIN($B$7-SUM($C13:K13),L12-$B$9-SUM($C13:K13)))</f>
        <v>0</v>
      </c>
      <c r="M13" s="40" t="n">
        <f aca="false">MAX(0,MIN($B$7-SUM($C13:L13),M12-$B$9-SUM($C13:L13)))</f>
        <v>0</v>
      </c>
      <c r="N13" s="40" t="n">
        <f aca="false">MAX(0,MIN($B$7-SUM($C13:M13),N12-$B$9-SUM($C13:M13)))</f>
        <v>0</v>
      </c>
      <c r="O13" s="40" t="n">
        <f aca="false">MAX(0,MIN($B$7-SUM($C13:N13),O12-$B$9-SUM($C13:N13)))</f>
        <v>33225744.6673598</v>
      </c>
      <c r="P13" s="40" t="n">
        <f aca="false">MAX(0,MIN($B$7-SUM($C13:O13),P12-$B$9-SUM($C13:O13)))</f>
        <v>68207862.0963576</v>
      </c>
      <c r="Q13" s="40" t="n">
        <f aca="false">MAX(0,MIN($B$7-SUM($C13:P13),Q12-$B$9-SUM($C13:P13)))</f>
        <v>69744599.7363074</v>
      </c>
      <c r="R13" s="40" t="n">
        <f aca="false">MAX(0,MIN($B$7-SUM($C13:Q13),R12-$B$9-SUM($C13:Q13)))</f>
        <v>70517200.9465506</v>
      </c>
      <c r="S13" s="40" t="n">
        <f aca="false">MAX(0,MIN($B$7-SUM($C13:R13),S12-$B$9-SUM($C13:R13)))</f>
        <v>70517200.9465511</v>
      </c>
      <c r="T13" s="40" t="n">
        <f aca="false">MAX(0,MIN($B$7-SUM($C13:S13),T12-$B$9-SUM($C13:S13)))</f>
        <v>69744599.7363076</v>
      </c>
      <c r="U13" s="40" t="n">
        <f aca="false">MAX(0,MIN($B$7-SUM($C13:T13),U12-$B$9-SUM($C13:T13)))</f>
        <v>68207862.0963574</v>
      </c>
      <c r="V13" s="40" t="n">
        <f aca="false">MAX(0,MIN($B$7-SUM($C13:U13),V12-$B$9-SUM($C13:U13)))</f>
        <v>65923824.8458667</v>
      </c>
      <c r="W13" s="40" t="n">
        <f aca="false">MAX(0,MIN($B$7-SUM($C13:V13),W12-$B$9-SUM($C13:V13)))</f>
        <v>62917512.3749175</v>
      </c>
      <c r="X13" s="40" t="n">
        <f aca="false">MAX(0,MIN($B$7-SUM($C13:W13),X12-$B$9-SUM($C13:W13)))</f>
        <v>59221862.4720528</v>
      </c>
      <c r="Y13" s="40" t="n">
        <f aca="false">MAX(0,MIN($B$7-SUM($C13:X13),Y12-$B$9-SUM($C13:X13)))</f>
        <v>54877365.4509726</v>
      </c>
      <c r="Z13" s="40" t="n">
        <f aca="false">MAX(0,MIN($B$7-SUM($C13:Y13),Z12-$B$9-SUM($C13:Y13)))</f>
        <v>49931620.5301852</v>
      </c>
      <c r="AA13" s="40" t="n">
        <f aca="false">MAX(0,MIN($B$7-SUM($C13:Z13),AA12-$B$9-SUM($C13:Z13)))</f>
        <v>44438814.3260052</v>
      </c>
      <c r="AB13" s="40" t="n">
        <f aca="false">MAX(0,MIN($B$7-SUM($C13:AA13),AB12-$B$9-SUM($C13:AA13)))</f>
        <v>38459127.1726499</v>
      </c>
      <c r="AC13" s="40" t="n">
        <f aca="false">MAX(0,MIN($B$7-SUM($C13:AB13),AC12-$B$9-SUM($C13:AB13)))</f>
        <v>32058073.773901</v>
      </c>
      <c r="AD13" s="40" t="n">
        <f aca="false">MAX(0,MIN($B$7-SUM($C13:AC13),AD12-$B$9-SUM($C13:AC13)))</f>
        <v>25305785.4103026</v>
      </c>
      <c r="AE13" s="40" t="n">
        <f aca="false">MAX(0,MIN($B$7-SUM($C13:AD13),AE12-$B$9-SUM($C13:AD13)))</f>
        <v>18276241.5661721</v>
      </c>
      <c r="AF13" s="40" t="n">
        <f aca="false">MAX(0,MIN($B$7-SUM($C13:AE13),AF12-$B$9-SUM($C13:AE13)))</f>
        <v>11046459.3948939</v>
      </c>
      <c r="AG13" s="40" t="n">
        <f aca="false">MAX(0,MIN($B$7-SUM($C13:AF13),AG12-$B$9-SUM($C13:AF13)))</f>
        <v>0</v>
      </c>
      <c r="AH13" s="40" t="n">
        <f aca="false">MAX(0,MIN($B$7-SUM($C13:AG13),AH12-$B$9-SUM($C13:AG13)))</f>
        <v>0</v>
      </c>
      <c r="AI13" s="40" t="n">
        <f aca="false">MAX(0,MIN($B$7-SUM($C13:AH13),AI12-$B$9-SUM($C13:AH13)))</f>
        <v>0</v>
      </c>
      <c r="AJ13" s="40" t="n">
        <f aca="false">MAX(0,MIN($B$7-SUM($C13:AI13),AJ12-$B$9-SUM($C13:AI13)))</f>
        <v>0</v>
      </c>
      <c r="AK13" s="40" t="n">
        <f aca="false">MAX(0,MIN($B$7-SUM($C13:AJ13),AK12-$B$9-SUM($C13:AJ13)))</f>
        <v>0</v>
      </c>
      <c r="AL13" s="40" t="n">
        <f aca="false">MAX(0,MIN($B$7-SUM($C13:AK13),AL12-$B$9-SUM($C13:AK13)))</f>
        <v>0</v>
      </c>
      <c r="AM13" s="40" t="n">
        <f aca="false">MAX(0,MIN($B$7-SUM($C13:AL13),AM12-$B$9-SUM($C13:AL13)))</f>
        <v>0</v>
      </c>
      <c r="AN13" s="40" t="n">
        <f aca="false">MAX(0,MIN($B$7-SUM($C13:AM13),AN12-$B$9-SUM($C13:AM13)))</f>
        <v>0</v>
      </c>
      <c r="AO13" s="40" t="n">
        <f aca="false">MAX(0,MIN($B$7-SUM($C13:AN13),AO12-$B$9-SUM($C13:AN13)))</f>
        <v>0</v>
      </c>
      <c r="AP13" s="40" t="n">
        <f aca="false">MAX(0,MIN($B$7-SUM($C13:AO13),AP12-$B$9-SUM($C13:AO13)))</f>
        <v>0</v>
      </c>
      <c r="AQ13" s="40" t="n">
        <f aca="false">MAX(0,MIN($B$7-SUM($C13:AP13),AQ12-$B$9-SUM($C13:AP13)))</f>
        <v>0</v>
      </c>
      <c r="AR13" s="40" t="n">
        <f aca="false">MAX(0,MIN($B$7-SUM($C13:AQ13),AR12-$B$9-SUM($C13:AQ13)))</f>
        <v>0</v>
      </c>
      <c r="AS13" s="40" t="n">
        <f aca="false">MAX(0,MIN($B$7-SUM($C13:AR13),AS12-$B$9-SUM($C13:AR13)))</f>
        <v>0</v>
      </c>
      <c r="AT13" s="40" t="n">
        <f aca="false">MAX(0,MIN($B$7-SUM($C13:AS13),AT12-$B$9-SUM($C13:AS13)))</f>
        <v>0</v>
      </c>
      <c r="AU13" s="40" t="n">
        <f aca="false">MAX(0,MIN($B$7-SUM($C13:AT13),AU12-$B$9-SUM($C13:AT13)))</f>
        <v>0</v>
      </c>
      <c r="AV13" s="40" t="n">
        <f aca="false">MAX(0,MIN($B$7-SUM($C13:AU13),AV12-$B$9-SUM($C13:AU13)))</f>
        <v>0</v>
      </c>
      <c r="AW13" s="40" t="n">
        <f aca="false">MAX(0,MIN($B$7-SUM($C13:AV13),AW12-$B$9-SUM($C13:AV13)))</f>
        <v>0</v>
      </c>
      <c r="AX13" s="40" t="n">
        <f aca="false">MAX(0,MIN($B$7-SUM($C13:AW13),AX12-$B$9-SUM($C13:AW13)))</f>
        <v>0</v>
      </c>
      <c r="AY13" s="40" t="n">
        <f aca="false">MAX(0,MIN($B$7-SUM($C13:AX13),AY12-$B$9-SUM($C13:AX13)))</f>
        <v>0</v>
      </c>
      <c r="AZ13" s="40" t="n">
        <f aca="false">MAX(0,MIN($B$7-SUM($C13:AY13),AZ12-$B$9-SUM($C13:AY13)))</f>
        <v>0</v>
      </c>
      <c r="BA13" s="40" t="n">
        <f aca="false">MAX(0,MIN($B$7-SUM($C13:AZ13),BA12-$B$9-SUM($C13:AZ13)))</f>
        <v>0</v>
      </c>
      <c r="BB13" s="40" t="n">
        <f aca="false">MAX(0,MIN($B$7-SUM($C13:BA13),BB12-$B$9-SUM($C13:BA13)))</f>
        <v>0</v>
      </c>
      <c r="BC13" s="40" t="n">
        <f aca="false">MAX(0,MIN($B$7-SUM($C13:BB13),BC12-$B$9-SUM($C13:BB13)))</f>
        <v>0</v>
      </c>
      <c r="BD13" s="40" t="n">
        <f aca="false">MAX(0,MIN($B$7-SUM($C13:BC13),BD12-$B$9-SUM($C13:BC13)))</f>
        <v>0</v>
      </c>
      <c r="BE13" s="40" t="n">
        <f aca="false">MAX(0,MIN($B$7-SUM($C13:BD13),BE12-$B$9-SUM($C13:BD13)))</f>
        <v>0</v>
      </c>
      <c r="BF13" s="40" t="n">
        <f aca="false">MAX(0,MIN($B$7-SUM($C13:BE13),BF12-$B$9-SUM($C13:BE13)))</f>
        <v>0</v>
      </c>
      <c r="BG13" s="40" t="n">
        <f aca="false">MAX(0,MIN($B$7-SUM($C13:BF13),BG12-$B$9-SUM($C13:BF13)))</f>
        <v>0</v>
      </c>
      <c r="BH13" s="40" t="n">
        <f aca="false">MAX(0,MIN($B$7-SUM($C13:BG13),BH12-$B$9-SUM($C13:BG13)))</f>
        <v>0</v>
      </c>
      <c r="BI13" s="40" t="n">
        <f aca="false">MAX(0,MIN($B$7-SUM($C13:BH13),BI12-$B$9-SUM($C13:BH13)))</f>
        <v>0</v>
      </c>
      <c r="BJ13" s="40" t="n">
        <f aca="false">MAX(0,MIN($B$7-SUM($C13:BI13),BJ12-$B$9-SUM($C13:BI13)))</f>
        <v>0</v>
      </c>
      <c r="BK13" s="40" t="n">
        <f aca="false">MAX(0,MIN($B$7-SUM($C13:BJ13),BK12-$B$9-SUM($C13:BJ13)))</f>
        <v>0</v>
      </c>
      <c r="BL13" s="40" t="n">
        <f aca="false">MAX(0,MIN($B$7-SUM($C13:BK13),BL12-$B$9-SUM($C13:BK13)))</f>
        <v>0</v>
      </c>
      <c r="BM13" s="40" t="n">
        <f aca="false">MAX(0,MIN($B$7-SUM($C13:BL13),BM12-$B$9-SUM($C13:BL13)))</f>
        <v>0</v>
      </c>
      <c r="BN13" s="40" t="n">
        <f aca="false">MAX(0,MIN($B$7-SUM($C13:BM13),BN12-$B$9-SUM($C13:BM13)))</f>
        <v>0</v>
      </c>
      <c r="BO13" s="40" t="n">
        <f aca="false">MAX(0,MIN($B$7-SUM($C13:BN13),BO12-$B$9-SUM($C13:BN13)))</f>
        <v>0</v>
      </c>
      <c r="BP13" s="40" t="n">
        <f aca="false">MAX(0,MIN($B$7-SUM($C13:BO13),BP12-$B$9-SUM($C13:BO13)))</f>
        <v>0</v>
      </c>
      <c r="BQ13" s="40" t="n">
        <f aca="false">MAX(0,MIN($B$7-SUM($C13:BP13),BQ12-$B$9-SUM($C13:BP13)))</f>
        <v>0</v>
      </c>
      <c r="BR13" s="40" t="n">
        <f aca="false">MAX(0,MIN($B$7-SUM($C13:BQ13),BR12-$B$9-SUM($C13:BQ13)))</f>
        <v>0</v>
      </c>
      <c r="BS13" s="40" t="n">
        <f aca="false">MAX(0,MIN($B$7-SUM($C13:BR13),BS12-$B$9-SUM($C13:BR13)))</f>
        <v>0</v>
      </c>
      <c r="BT13" s="40" t="n">
        <f aca="false">MAX(0,MIN($B$7-SUM($C13:BS13),BT12-$B$9-SUM($C13:BS13)))</f>
        <v>0</v>
      </c>
      <c r="BU13" s="40" t="n">
        <f aca="false">MAX(0,MIN($B$7-SUM($C13:BT13),BU12-$B$9-SUM($C13:BT13)))</f>
        <v>0</v>
      </c>
      <c r="BV13" s="40" t="n">
        <f aca="false">MAX(0,MIN($B$7-SUM($C13:BU13),BV12-$B$9-SUM($C13:BU13)))</f>
        <v>0</v>
      </c>
      <c r="BW13" s="40" t="n">
        <f aca="false">MAX(0,MIN($B$7-SUM($C13:BV13),BW12-$B$9-SUM($C13:BV13)))</f>
        <v>0</v>
      </c>
      <c r="BX13" s="40" t="n">
        <f aca="false">MAX(0,MIN($B$7-SUM($C13:BW13),BX12-$B$9-SUM($C13:BW13)))</f>
        <v>0</v>
      </c>
      <c r="BY13" s="40" t="n">
        <f aca="false">MAX(0,MIN($B$7-SUM($C13:BX13),BY12-$B$9-SUM($C13:BX13)))</f>
        <v>0</v>
      </c>
      <c r="BZ13" s="40" t="n">
        <f aca="false">MAX(0,MIN($B$7-SUM($C13:BY13),BZ12-$B$9-SUM($C13:BY13)))</f>
        <v>0</v>
      </c>
      <c r="CA13" s="40" t="n">
        <f aca="false">MAX(0,MIN($B$7-SUM($C13:BZ13),CA12-$B$9-SUM($C13:BZ13)))</f>
        <v>0</v>
      </c>
      <c r="CB13" s="40" t="n">
        <f aca="false">MAX(0,MIN($B$7-SUM($C13:CA13),CB12-$B$9-SUM($C13:CA13)))</f>
        <v>0</v>
      </c>
      <c r="CC13" s="40" t="n">
        <f aca="false">MAX(0,MIN($B$7-SUM($C13:CB13),CC12-$B$9-SUM($C13:CB13)))</f>
        <v>0</v>
      </c>
      <c r="CD13" s="40" t="n">
        <f aca="false">MAX(0,MIN($B$7-SUM($C13:CC13),CD12-$B$9-SUM($C13:CC13)))</f>
        <v>0</v>
      </c>
      <c r="CE13" s="40" t="n">
        <f aca="false">MAX(0,MIN($B$7-SUM($C13:CD13),CE12-$B$9-SUM($C13:CD13)))</f>
        <v>0</v>
      </c>
      <c r="CF13" s="40" t="n">
        <f aca="false">MAX(0,MIN($B$7-SUM($C13:CE13),CF12-$B$9-SUM($C13:CE13)))</f>
        <v>0</v>
      </c>
      <c r="CG13" s="40" t="n">
        <f aca="false">MAX(0,MIN($B$7-SUM($C13:CF13),CG12-$B$9-SUM($C13:CF13)))</f>
        <v>0</v>
      </c>
      <c r="CH13" s="40" t="n">
        <f aca="false">MAX(0,MIN($B$7-SUM($C13:CG13),CH12-$B$9-SUM($C13:CG13)))</f>
        <v>0</v>
      </c>
      <c r="CI13" s="40" t="n">
        <f aca="false">MAX(0,MIN($B$7-SUM($C13:CH13),CI12-$B$9-SUM($C13:CH13)))</f>
        <v>0</v>
      </c>
      <c r="CJ13" s="40" t="n">
        <f aca="false">MAX(0,MIN($B$7-SUM($C13:CI13),CJ12-$B$9-SUM($C13:CI13)))</f>
        <v>0</v>
      </c>
      <c r="CK13" s="40" t="n">
        <f aca="false">MAX(0,MIN($B$7-SUM($C13:CJ13),CK12-$B$9-SUM($C13:CJ13)))</f>
        <v>0</v>
      </c>
      <c r="CL13" s="40" t="n">
        <f aca="false">MAX(0,MIN($B$7-SUM($C13:CK13),CL12-$B$9-SUM($C13:CK13)))</f>
        <v>0</v>
      </c>
      <c r="CM13" s="40" t="n">
        <f aca="false">MAX(0,MIN($B$7-SUM($C13:CL13),CM12-$B$9-SUM($C13:CL13)))</f>
        <v>0</v>
      </c>
      <c r="CN13" s="40" t="n">
        <f aca="false">MAX(0,MIN($B$7-SUM($C13:CM13),CN12-$B$9-SUM($C13:CM13)))</f>
        <v>0</v>
      </c>
      <c r="CO13" s="40" t="n">
        <f aca="false">MAX(0,MIN($B$7-SUM($C13:CN13),CO12-$B$9-SUM($C13:CN13)))</f>
        <v>0</v>
      </c>
      <c r="CP13" s="40" t="n">
        <f aca="false">MAX(0,MIN($B$7-SUM($C13:CO13),CP12-$B$9-SUM($C13:CO13)))</f>
        <v>0</v>
      </c>
      <c r="CQ13" s="40" t="n">
        <f aca="false">MAX(0,MIN($B$7-SUM($C13:CP13),CQ12-$B$9-SUM($C13:CP13)))</f>
        <v>0</v>
      </c>
      <c r="CR13" s="40" t="n">
        <f aca="false">MAX(0,MIN($B$7-SUM($C13:CQ13),CR12-$B$9-SUM($C13:CQ13)))</f>
        <v>0</v>
      </c>
      <c r="CS13" s="40" t="n">
        <f aca="false">MAX(0,MIN($B$7-SUM($C13:CR13),CS12-$B$9-SUM($C13:CR13)))</f>
        <v>0</v>
      </c>
      <c r="CT13" s="40" t="n">
        <f aca="false">MAX(0,MIN($B$7-SUM($C13:CS13),CT12-$B$9-SUM($C13:CS13)))</f>
        <v>0</v>
      </c>
      <c r="CU13" s="40" t="n">
        <f aca="false">MAX(0,MIN($B$7-SUM($C13:CT13),CU12-$B$9-SUM($C13:CT13)))</f>
        <v>0</v>
      </c>
    </row>
    <row r="14" customFormat="false" ht="15" hidden="false" customHeight="false" outlineLevel="0" collapsed="false">
      <c r="A14" s="35" t="s">
        <v>162</v>
      </c>
      <c r="C14" s="40" t="n">
        <f aca="false">0</f>
        <v>0</v>
      </c>
      <c r="D14" s="40" t="n">
        <f aca="false">C19</f>
        <v>0</v>
      </c>
      <c r="E14" s="40" t="n">
        <f aca="false">D19</f>
        <v>0</v>
      </c>
      <c r="F14" s="40" t="n">
        <f aca="false">E19</f>
        <v>0</v>
      </c>
      <c r="G14" s="40" t="n">
        <f aca="false">F19</f>
        <v>0</v>
      </c>
      <c r="H14" s="40" t="n">
        <f aca="false">G19</f>
        <v>0</v>
      </c>
      <c r="I14" s="40" t="n">
        <f aca="false">H19</f>
        <v>0</v>
      </c>
      <c r="J14" s="40" t="n">
        <f aca="false">I19</f>
        <v>0</v>
      </c>
      <c r="K14" s="40" t="n">
        <f aca="false">J19</f>
        <v>0</v>
      </c>
      <c r="L14" s="40" t="n">
        <f aca="false">K19</f>
        <v>0</v>
      </c>
      <c r="M14" s="40" t="n">
        <f aca="false">L19</f>
        <v>0</v>
      </c>
      <c r="N14" s="40" t="n">
        <f aca="false">M19</f>
        <v>0</v>
      </c>
      <c r="O14" s="40" t="n">
        <f aca="false">N19</f>
        <v>0</v>
      </c>
      <c r="P14" s="40" t="n">
        <f aca="false">O19</f>
        <v>33225744.6673598</v>
      </c>
      <c r="Q14" s="40" t="n">
        <f aca="false">P19</f>
        <v>101660649.352278</v>
      </c>
      <c r="R14" s="40" t="n">
        <f aca="false">Q19</f>
        <v>172099930.192492</v>
      </c>
      <c r="S14" s="40" t="n">
        <f aca="false">R19</f>
        <v>243793147.328692</v>
      </c>
      <c r="T14" s="40" t="n">
        <f aca="false">S19</f>
        <v>315976268.115322</v>
      </c>
      <c r="U14" s="40" t="n">
        <f aca="false">T19</f>
        <v>387880039.017084</v>
      </c>
      <c r="V14" s="40" t="n">
        <f aca="false">U19</f>
        <v>458738414.713392</v>
      </c>
      <c r="W14" s="40" t="n">
        <f aca="false">V19</f>
        <v>527796952.0598</v>
      </c>
      <c r="X14" s="40" t="n">
        <f aca="false">W19</f>
        <v>594321076.940459</v>
      </c>
      <c r="Y14" s="40" t="n">
        <f aca="false">X19</f>
        <v>657604133.438272</v>
      </c>
      <c r="Z14" s="40" t="n">
        <f aca="false">Y19</f>
        <v>716975127.134406</v>
      </c>
      <c r="AA14" s="40" t="n">
        <f aca="false">Z19</f>
        <v>771806077.70001</v>
      </c>
      <c r="AB14" s="40" t="n">
        <f aca="false">AA19</f>
        <v>821518900.223632</v>
      </c>
      <c r="AC14" s="40" t="n">
        <f aca="false">AB19</f>
        <v>865591739.881143</v>
      </c>
      <c r="AD14" s="40" t="n">
        <f aca="false">AC19</f>
        <v>903564690.544232</v>
      </c>
      <c r="AE14" s="40" t="n">
        <f aca="false">AD19</f>
        <v>935044834.673253</v>
      </c>
      <c r="AF14" s="40" t="n">
        <f aca="false">AE19</f>
        <v>959710549.276359</v>
      </c>
      <c r="AG14" s="40" t="n">
        <f aca="false">AF19</f>
        <v>977315030.757975</v>
      </c>
      <c r="AH14" s="40" t="n">
        <f aca="false">AG19</f>
        <v>983993350.134821</v>
      </c>
      <c r="AI14" s="40" t="n">
        <f aca="false">AH19</f>
        <v>981711795.740962</v>
      </c>
      <c r="AJ14" s="40" t="n">
        <f aca="false">AI19</f>
        <v>979430241.347103</v>
      </c>
      <c r="AK14" s="40" t="n">
        <f aca="false">AJ19</f>
        <v>977148686.953243</v>
      </c>
      <c r="AL14" s="40" t="n">
        <f aca="false">AK19</f>
        <v>974867132.559384</v>
      </c>
      <c r="AM14" s="40" t="n">
        <f aca="false">AL19</f>
        <v>972585578.165525</v>
      </c>
      <c r="AN14" s="40" t="n">
        <f aca="false">AM19</f>
        <v>970304023.771666</v>
      </c>
      <c r="AO14" s="40" t="n">
        <f aca="false">AN19</f>
        <v>968022469.377806</v>
      </c>
      <c r="AP14" s="40" t="n">
        <f aca="false">AO19</f>
        <v>965740914.983947</v>
      </c>
      <c r="AQ14" s="40" t="n">
        <f aca="false">AP19</f>
        <v>963459360.590088</v>
      </c>
      <c r="AR14" s="40" t="n">
        <f aca="false">AQ19</f>
        <v>961177806.196229</v>
      </c>
      <c r="AS14" s="40" t="n">
        <f aca="false">AR19</f>
        <v>958896251.802369</v>
      </c>
      <c r="AT14" s="40" t="n">
        <f aca="false">AS19</f>
        <v>956614697.40851</v>
      </c>
      <c r="AU14" s="40" t="n">
        <f aca="false">AT19</f>
        <v>954333143.014651</v>
      </c>
      <c r="AV14" s="40" t="n">
        <f aca="false">AU19</f>
        <v>952051588.620791</v>
      </c>
      <c r="AW14" s="40" t="n">
        <f aca="false">AV19</f>
        <v>949770034.226932</v>
      </c>
      <c r="AX14" s="40" t="n">
        <f aca="false">AW19</f>
        <v>947488479.833073</v>
      </c>
      <c r="AY14" s="40" t="n">
        <f aca="false">AX19</f>
        <v>945206925.439214</v>
      </c>
      <c r="AZ14" s="40" t="n">
        <f aca="false">AY19</f>
        <v>942925371.045354</v>
      </c>
      <c r="BA14" s="40" t="n">
        <f aca="false">AZ19</f>
        <v>940643816.651495</v>
      </c>
      <c r="BB14" s="40" t="n">
        <f aca="false">BA19</f>
        <v>938362262.257636</v>
      </c>
      <c r="BC14" s="40" t="n">
        <f aca="false">BB19</f>
        <v>936080707.863777</v>
      </c>
      <c r="BD14" s="40" t="n">
        <f aca="false">BC19</f>
        <v>933799153.469917</v>
      </c>
      <c r="BE14" s="40" t="n">
        <f aca="false">BD19</f>
        <v>931517599.076058</v>
      </c>
      <c r="BF14" s="40" t="n">
        <f aca="false">BE19</f>
        <v>929236044.682199</v>
      </c>
      <c r="BG14" s="40" t="n">
        <f aca="false">BF19</f>
        <v>926954490.28834</v>
      </c>
      <c r="BH14" s="40" t="n">
        <f aca="false">BG19</f>
        <v>924672935.89448</v>
      </c>
      <c r="BI14" s="40" t="n">
        <f aca="false">BH19</f>
        <v>922391381.500621</v>
      </c>
      <c r="BJ14" s="40" t="n">
        <f aca="false">BI19</f>
        <v>920109827.106762</v>
      </c>
      <c r="BK14" s="40" t="n">
        <f aca="false">BJ19</f>
        <v>917828272.712902</v>
      </c>
      <c r="BL14" s="40" t="n">
        <f aca="false">BK19</f>
        <v>915546718.319043</v>
      </c>
      <c r="BM14" s="40" t="n">
        <f aca="false">BL19</f>
        <v>913265163.925184</v>
      </c>
      <c r="BN14" s="40" t="n">
        <f aca="false">BM19</f>
        <v>910983609.531325</v>
      </c>
      <c r="BO14" s="40" t="n">
        <f aca="false">BN19</f>
        <v>908702055.137465</v>
      </c>
      <c r="BP14" s="40" t="n">
        <f aca="false">BO19</f>
        <v>906420500.743606</v>
      </c>
      <c r="BQ14" s="40" t="n">
        <f aca="false">BP19</f>
        <v>904138946.349747</v>
      </c>
      <c r="BR14" s="40" t="n">
        <f aca="false">BQ19</f>
        <v>901857391.955888</v>
      </c>
      <c r="BS14" s="40" t="n">
        <f aca="false">BR19</f>
        <v>899575837.562028</v>
      </c>
      <c r="BT14" s="40" t="n">
        <f aca="false">BS19</f>
        <v>897294283.168169</v>
      </c>
      <c r="BU14" s="40" t="n">
        <f aca="false">BT19</f>
        <v>895012728.77431</v>
      </c>
      <c r="BV14" s="40" t="n">
        <f aca="false">BU19</f>
        <v>892731174.380451</v>
      </c>
      <c r="BW14" s="40" t="n">
        <f aca="false">BV19</f>
        <v>890449619.986591</v>
      </c>
      <c r="BX14" s="40" t="n">
        <f aca="false">BW19</f>
        <v>0</v>
      </c>
      <c r="BY14" s="40" t="n">
        <f aca="false">BX19</f>
        <v>0</v>
      </c>
      <c r="BZ14" s="40" t="n">
        <f aca="false">BY19</f>
        <v>0</v>
      </c>
      <c r="CA14" s="40" t="n">
        <f aca="false">BZ19</f>
        <v>0</v>
      </c>
      <c r="CB14" s="40" t="n">
        <f aca="false">CA19</f>
        <v>0</v>
      </c>
      <c r="CC14" s="40" t="n">
        <f aca="false">CB19</f>
        <v>0</v>
      </c>
      <c r="CD14" s="40" t="n">
        <f aca="false">CC19</f>
        <v>0</v>
      </c>
      <c r="CE14" s="40" t="n">
        <f aca="false">CD19</f>
        <v>0</v>
      </c>
      <c r="CF14" s="40" t="n">
        <f aca="false">CE19</f>
        <v>0</v>
      </c>
      <c r="CG14" s="40" t="n">
        <f aca="false">CF19</f>
        <v>0</v>
      </c>
      <c r="CH14" s="40" t="n">
        <f aca="false">CG19</f>
        <v>0</v>
      </c>
      <c r="CI14" s="40" t="n">
        <f aca="false">CH19</f>
        <v>0</v>
      </c>
      <c r="CJ14" s="40" t="n">
        <f aca="false">CI19</f>
        <v>0</v>
      </c>
      <c r="CK14" s="40" t="n">
        <f aca="false">CJ19</f>
        <v>0</v>
      </c>
      <c r="CL14" s="40" t="n">
        <f aca="false">CK19</f>
        <v>0</v>
      </c>
      <c r="CM14" s="40" t="n">
        <f aca="false">CL19</f>
        <v>0</v>
      </c>
      <c r="CN14" s="40" t="n">
        <f aca="false">CM19</f>
        <v>0</v>
      </c>
      <c r="CO14" s="40" t="n">
        <f aca="false">CN19</f>
        <v>0</v>
      </c>
      <c r="CP14" s="40" t="n">
        <f aca="false">CO19</f>
        <v>0</v>
      </c>
      <c r="CQ14" s="40" t="n">
        <f aca="false">CP19</f>
        <v>0</v>
      </c>
      <c r="CR14" s="40" t="n">
        <f aca="false">CQ19</f>
        <v>0</v>
      </c>
      <c r="CS14" s="40" t="n">
        <f aca="false">CR19</f>
        <v>0</v>
      </c>
      <c r="CT14" s="40" t="n">
        <f aca="false">CS19</f>
        <v>0</v>
      </c>
      <c r="CU14" s="40" t="n">
        <f aca="false">CT19</f>
        <v>0</v>
      </c>
    </row>
    <row r="15" customFormat="false" ht="15" hidden="false" customHeight="false" outlineLevel="0" collapsed="false">
      <c r="A15" s="35" t="s">
        <v>163</v>
      </c>
      <c r="B15" s="40" t="n">
        <f aca="false">SUM(C15:CU15)</f>
        <v>71371592.5911104</v>
      </c>
      <c r="C15" s="40" t="n">
        <f aca="false">IF('Cash Flow'!C12=1,C14*$B$8/12,0)</f>
        <v>0</v>
      </c>
      <c r="D15" s="40" t="n">
        <f aca="false">IF('Cash Flow'!D12=1,D14*$B$8/12,0)</f>
        <v>0</v>
      </c>
      <c r="E15" s="40" t="n">
        <f aca="false">IF('Cash Flow'!E12=1,E14*$B$8/12,0)</f>
        <v>0</v>
      </c>
      <c r="F15" s="40" t="n">
        <f aca="false">IF('Cash Flow'!F12=1,F14*$B$8/12,0)</f>
        <v>0</v>
      </c>
      <c r="G15" s="40" t="n">
        <f aca="false">IF('Cash Flow'!G12=1,G14*$B$8/12,0)</f>
        <v>0</v>
      </c>
      <c r="H15" s="40" t="n">
        <f aca="false">IF('Cash Flow'!H12=1,H14*$B$8/12,0)</f>
        <v>0</v>
      </c>
      <c r="I15" s="40" t="n">
        <f aca="false">IF('Cash Flow'!I12=1,I14*$B$8/12,0)</f>
        <v>0</v>
      </c>
      <c r="J15" s="40" t="n">
        <f aca="false">IF('Cash Flow'!J12=1,J14*$B$8/12,0)</f>
        <v>0</v>
      </c>
      <c r="K15" s="40" t="n">
        <f aca="false">IF('Cash Flow'!K12=1,K14*$B$8/12,0)</f>
        <v>0</v>
      </c>
      <c r="L15" s="40" t="n">
        <f aca="false">IF('Cash Flow'!L12=1,L14*$B$8/12,0)</f>
        <v>0</v>
      </c>
      <c r="M15" s="40" t="n">
        <f aca="false">IF('Cash Flow'!M12=1,M14*$B$8/12,0)</f>
        <v>0</v>
      </c>
      <c r="N15" s="40" t="n">
        <f aca="false">IF('Cash Flow'!N12=1,N14*$B$8/12,0)</f>
        <v>0</v>
      </c>
      <c r="O15" s="40" t="n">
        <f aca="false">IF('Cash Flow'!O12=1,O14*$B$8/12,0)</f>
        <v>0</v>
      </c>
      <c r="P15" s="40" t="n">
        <f aca="false">IF('Cash Flow'!P12=1,P14*$B$8/12,0)</f>
        <v>227042.588560292</v>
      </c>
      <c r="Q15" s="40" t="n">
        <f aca="false">IF('Cash Flow'!Q12=1,Q14*$B$8/12,0)</f>
        <v>694681.103907231</v>
      </c>
      <c r="R15" s="40" t="n">
        <f aca="false">IF('Cash Flow'!R12=1,R14*$B$8/12,0)</f>
        <v>1176016.1896487</v>
      </c>
      <c r="S15" s="40" t="n">
        <f aca="false">IF('Cash Flow'!S12=1,S14*$B$8/12,0)</f>
        <v>1665919.84007939</v>
      </c>
      <c r="T15" s="40" t="n">
        <f aca="false">IF('Cash Flow'!T12=1,T14*$B$8/12,0)</f>
        <v>2159171.1654547</v>
      </c>
      <c r="U15" s="40" t="n">
        <f aca="false">IF('Cash Flow'!U12=1,U14*$B$8/12,0)</f>
        <v>2650513.59995008</v>
      </c>
      <c r="V15" s="40" t="n">
        <f aca="false">IF('Cash Flow'!V12=1,V14*$B$8/12,0)</f>
        <v>3134712.50054151</v>
      </c>
      <c r="W15" s="40" t="n">
        <f aca="false">IF('Cash Flow'!W12=1,W14*$B$8/12,0)</f>
        <v>3606612.50574197</v>
      </c>
      <c r="X15" s="40" t="n">
        <f aca="false">IF('Cash Flow'!X12=1,X14*$B$8/12,0)</f>
        <v>4061194.02575981</v>
      </c>
      <c r="Y15" s="40" t="n">
        <f aca="false">IF('Cash Flow'!Y12=1,Y14*$B$8/12,0)</f>
        <v>4493628.24516153</v>
      </c>
      <c r="Z15" s="40" t="n">
        <f aca="false">IF('Cash Flow'!Z12=1,Z14*$B$8/12,0)</f>
        <v>4899330.03541844</v>
      </c>
      <c r="AA15" s="40" t="n">
        <f aca="false">IF('Cash Flow'!AA12=1,AA14*$B$8/12,0)</f>
        <v>5274008.19761673</v>
      </c>
      <c r="AB15" s="40" t="n">
        <f aca="false">IF('Cash Flow'!AB12=1,AB14*$B$8/12,0)</f>
        <v>5613712.48486148</v>
      </c>
      <c r="AC15" s="40" t="n">
        <f aca="false">IF('Cash Flow'!AC12=1,AC14*$B$8/12,0)</f>
        <v>5914876.88918781</v>
      </c>
      <c r="AD15" s="40" t="n">
        <f aca="false">IF('Cash Flow'!AD12=1,AD14*$B$8/12,0)</f>
        <v>6174358.71871892</v>
      </c>
      <c r="AE15" s="40" t="n">
        <f aca="false">IF('Cash Flow'!AE12=1,AE14*$B$8/12,0)</f>
        <v>6389473.0369339</v>
      </c>
      <c r="AF15" s="40" t="n">
        <f aca="false">IF('Cash Flow'!AF12=1,AF14*$B$8/12,0)</f>
        <v>6558022.08672179</v>
      </c>
      <c r="AG15" s="40" t="n">
        <f aca="false">IF('Cash Flow'!AG12=1,AG14*$B$8/12,0)</f>
        <v>6678319.37684616</v>
      </c>
      <c r="AH15" s="40" t="n">
        <f aca="false">IF('Cash Flow'!AH12=1,AH14*$B$8/12,0)</f>
        <v>0</v>
      </c>
      <c r="AI15" s="40" t="n">
        <f aca="false">IF('Cash Flow'!AI12=1,AI14*$B$8/12,0)</f>
        <v>0</v>
      </c>
      <c r="AJ15" s="40" t="n">
        <f aca="false">IF('Cash Flow'!AJ12=1,AJ14*$B$8/12,0)</f>
        <v>0</v>
      </c>
      <c r="AK15" s="40" t="n">
        <f aca="false">IF('Cash Flow'!AK12=1,AK14*$B$8/12,0)</f>
        <v>0</v>
      </c>
      <c r="AL15" s="40" t="n">
        <f aca="false">IF('Cash Flow'!AL12=1,AL14*$B$8/12,0)</f>
        <v>0</v>
      </c>
      <c r="AM15" s="40" t="n">
        <f aca="false">IF('Cash Flow'!AM12=1,AM14*$B$8/12,0)</f>
        <v>0</v>
      </c>
      <c r="AN15" s="40" t="n">
        <f aca="false">IF('Cash Flow'!AN12=1,AN14*$B$8/12,0)</f>
        <v>0</v>
      </c>
      <c r="AO15" s="40" t="n">
        <f aca="false">IF('Cash Flow'!AO12=1,AO14*$B$8/12,0)</f>
        <v>0</v>
      </c>
      <c r="AP15" s="40" t="n">
        <f aca="false">IF('Cash Flow'!AP12=1,AP14*$B$8/12,0)</f>
        <v>0</v>
      </c>
      <c r="AQ15" s="40" t="n">
        <f aca="false">IF('Cash Flow'!AQ12=1,AQ14*$B$8/12,0)</f>
        <v>0</v>
      </c>
      <c r="AR15" s="40" t="n">
        <f aca="false">IF('Cash Flow'!AR12=1,AR14*$B$8/12,0)</f>
        <v>0</v>
      </c>
      <c r="AS15" s="40" t="n">
        <f aca="false">IF('Cash Flow'!AS12=1,AS14*$B$8/12,0)</f>
        <v>0</v>
      </c>
      <c r="AT15" s="40" t="n">
        <f aca="false">IF('Cash Flow'!AT12=1,AT14*$B$8/12,0)</f>
        <v>0</v>
      </c>
      <c r="AU15" s="40" t="n">
        <f aca="false">IF('Cash Flow'!AU12=1,AU14*$B$8/12,0)</f>
        <v>0</v>
      </c>
      <c r="AV15" s="40" t="n">
        <f aca="false">IF('Cash Flow'!AV12=1,AV14*$B$8/12,0)</f>
        <v>0</v>
      </c>
      <c r="AW15" s="40" t="n">
        <f aca="false">IF('Cash Flow'!AW12=1,AW14*$B$8/12,0)</f>
        <v>0</v>
      </c>
      <c r="AX15" s="40" t="n">
        <f aca="false">IF('Cash Flow'!AX12=1,AX14*$B$8/12,0)</f>
        <v>0</v>
      </c>
      <c r="AY15" s="40" t="n">
        <f aca="false">IF('Cash Flow'!AY12=1,AY14*$B$8/12,0)</f>
        <v>0</v>
      </c>
      <c r="AZ15" s="40" t="n">
        <f aca="false">IF('Cash Flow'!AZ12=1,AZ14*$B$8/12,0)</f>
        <v>0</v>
      </c>
      <c r="BA15" s="40" t="n">
        <f aca="false">IF('Cash Flow'!BA12=1,BA14*$B$8/12,0)</f>
        <v>0</v>
      </c>
      <c r="BB15" s="40" t="n">
        <f aca="false">IF('Cash Flow'!BB12=1,BB14*$B$8/12,0)</f>
        <v>0</v>
      </c>
      <c r="BC15" s="40" t="n">
        <f aca="false">IF('Cash Flow'!BC12=1,BC14*$B$8/12,0)</f>
        <v>0</v>
      </c>
      <c r="BD15" s="40" t="n">
        <f aca="false">IF('Cash Flow'!BD12=1,BD14*$B$8/12,0)</f>
        <v>0</v>
      </c>
      <c r="BE15" s="40" t="n">
        <f aca="false">IF('Cash Flow'!BE12=1,BE14*$B$8/12,0)</f>
        <v>0</v>
      </c>
      <c r="BF15" s="40" t="n">
        <f aca="false">IF('Cash Flow'!BF12=1,BF14*$B$8/12,0)</f>
        <v>0</v>
      </c>
      <c r="BG15" s="40" t="n">
        <f aca="false">IF('Cash Flow'!BG12=1,BG14*$B$8/12,0)</f>
        <v>0</v>
      </c>
      <c r="BH15" s="40" t="n">
        <f aca="false">IF('Cash Flow'!BH12=1,BH14*$B$8/12,0)</f>
        <v>0</v>
      </c>
      <c r="BI15" s="40" t="n">
        <f aca="false">IF('Cash Flow'!BI12=1,BI14*$B$8/12,0)</f>
        <v>0</v>
      </c>
      <c r="BJ15" s="40" t="n">
        <f aca="false">IF('Cash Flow'!BJ12=1,BJ14*$B$8/12,0)</f>
        <v>0</v>
      </c>
      <c r="BK15" s="40" t="n">
        <f aca="false">IF('Cash Flow'!BK12=1,BK14*$B$8/12,0)</f>
        <v>0</v>
      </c>
      <c r="BL15" s="40" t="n">
        <f aca="false">IF('Cash Flow'!BL12=1,BL14*$B$8/12,0)</f>
        <v>0</v>
      </c>
      <c r="BM15" s="40" t="n">
        <f aca="false">IF('Cash Flow'!BM12=1,BM14*$B$8/12,0)</f>
        <v>0</v>
      </c>
      <c r="BN15" s="40" t="n">
        <f aca="false">IF('Cash Flow'!BN12=1,BN14*$B$8/12,0)</f>
        <v>0</v>
      </c>
      <c r="BO15" s="40" t="n">
        <f aca="false">IF('Cash Flow'!BO12=1,BO14*$B$8/12,0)</f>
        <v>0</v>
      </c>
      <c r="BP15" s="40" t="n">
        <f aca="false">IF('Cash Flow'!BP12=1,BP14*$B$8/12,0)</f>
        <v>0</v>
      </c>
      <c r="BQ15" s="40" t="n">
        <f aca="false">IF('Cash Flow'!BQ12=1,BQ14*$B$8/12,0)</f>
        <v>0</v>
      </c>
      <c r="BR15" s="40" t="n">
        <f aca="false">IF('Cash Flow'!BR12=1,BR14*$B$8/12,0)</f>
        <v>0</v>
      </c>
      <c r="BS15" s="40" t="n">
        <f aca="false">IF('Cash Flow'!BS12=1,BS14*$B$8/12,0)</f>
        <v>0</v>
      </c>
      <c r="BT15" s="40" t="n">
        <f aca="false">IF('Cash Flow'!BT12=1,BT14*$B$8/12,0)</f>
        <v>0</v>
      </c>
      <c r="BU15" s="40" t="n">
        <f aca="false">IF('Cash Flow'!BU12=1,BU14*$B$8/12,0)</f>
        <v>0</v>
      </c>
      <c r="BV15" s="40" t="n">
        <f aca="false">IF('Cash Flow'!BV12=1,BV14*$B$8/12,0)</f>
        <v>0</v>
      </c>
      <c r="BW15" s="40" t="n">
        <f aca="false">IF('Cash Flow'!BW12=1,BW14*$B$8/12,0)</f>
        <v>0</v>
      </c>
      <c r="BX15" s="40" t="n">
        <f aca="false">IF('Cash Flow'!BX12=1,BX14*$B$8/12,0)</f>
        <v>0</v>
      </c>
      <c r="BY15" s="40" t="n">
        <f aca="false">IF('Cash Flow'!BY12=1,BY14*$B$8/12,0)</f>
        <v>0</v>
      </c>
      <c r="BZ15" s="40" t="n">
        <f aca="false">IF('Cash Flow'!BZ12=1,BZ14*$B$8/12,0)</f>
        <v>0</v>
      </c>
      <c r="CA15" s="40" t="n">
        <f aca="false">IF('Cash Flow'!CA12=1,CA14*$B$8/12,0)</f>
        <v>0</v>
      </c>
      <c r="CB15" s="40" t="n">
        <f aca="false">IF('Cash Flow'!CB12=1,CB14*$B$8/12,0)</f>
        <v>0</v>
      </c>
      <c r="CC15" s="40" t="n">
        <f aca="false">IF('Cash Flow'!CC12=1,CC14*$B$8/12,0)</f>
        <v>0</v>
      </c>
      <c r="CD15" s="40" t="n">
        <f aca="false">IF('Cash Flow'!CD12=1,CD14*$B$8/12,0)</f>
        <v>0</v>
      </c>
      <c r="CE15" s="40" t="n">
        <f aca="false">IF('Cash Flow'!CE12=1,CE14*$B$8/12,0)</f>
        <v>0</v>
      </c>
      <c r="CF15" s="40" t="n">
        <f aca="false">IF('Cash Flow'!CF12=1,CF14*$B$8/12,0)</f>
        <v>0</v>
      </c>
      <c r="CG15" s="40" t="n">
        <f aca="false">IF('Cash Flow'!CG12=1,CG14*$B$8/12,0)</f>
        <v>0</v>
      </c>
      <c r="CH15" s="40" t="n">
        <f aca="false">IF('Cash Flow'!CH12=1,CH14*$B$8/12,0)</f>
        <v>0</v>
      </c>
      <c r="CI15" s="40" t="n">
        <f aca="false">IF('Cash Flow'!CI12=1,CI14*$B$8/12,0)</f>
        <v>0</v>
      </c>
      <c r="CJ15" s="40" t="n">
        <f aca="false">IF('Cash Flow'!CJ12=1,CJ14*$B$8/12,0)</f>
        <v>0</v>
      </c>
      <c r="CK15" s="40" t="n">
        <f aca="false">IF('Cash Flow'!CK12=1,CK14*$B$8/12,0)</f>
        <v>0</v>
      </c>
      <c r="CL15" s="40" t="n">
        <f aca="false">IF('Cash Flow'!CL12=1,CL14*$B$8/12,0)</f>
        <v>0</v>
      </c>
      <c r="CM15" s="40" t="n">
        <f aca="false">IF('Cash Flow'!CM12=1,CM14*$B$8/12,0)</f>
        <v>0</v>
      </c>
      <c r="CN15" s="40" t="n">
        <f aca="false">IF('Cash Flow'!CN12=1,CN14*$B$8/12,0)</f>
        <v>0</v>
      </c>
      <c r="CO15" s="40" t="n">
        <f aca="false">IF('Cash Flow'!CO12=1,CO14*$B$8/12,0)</f>
        <v>0</v>
      </c>
      <c r="CP15" s="40" t="n">
        <f aca="false">IF('Cash Flow'!CP12=1,CP14*$B$8/12,0)</f>
        <v>0</v>
      </c>
      <c r="CQ15" s="40" t="n">
        <f aca="false">IF('Cash Flow'!CQ12=1,CQ14*$B$8/12,0)</f>
        <v>0</v>
      </c>
      <c r="CR15" s="40" t="n">
        <f aca="false">IF('Cash Flow'!CR12=1,CR14*$B$8/12,0)</f>
        <v>0</v>
      </c>
      <c r="CS15" s="40" t="n">
        <f aca="false">IF('Cash Flow'!CS12=1,CS14*$B$8/12,0)</f>
        <v>0</v>
      </c>
      <c r="CT15" s="40" t="n">
        <f aca="false">IF('Cash Flow'!CT12=1,CT14*$B$8/12,0)</f>
        <v>0</v>
      </c>
      <c r="CU15" s="40" t="n">
        <f aca="false">IF('Cash Flow'!CU12=1,CU14*$B$8/12,0)</f>
        <v>0</v>
      </c>
    </row>
    <row r="16" customFormat="false" ht="15" hidden="false" customHeight="false" outlineLevel="0" collapsed="false">
      <c r="A16" s="35" t="s">
        <v>87</v>
      </c>
      <c r="B16" s="40" t="n">
        <f aca="false">SUM(C16:CU16)</f>
        <v>6844663.18157783</v>
      </c>
      <c r="C16" s="40" t="n">
        <f aca="false">0</f>
        <v>0</v>
      </c>
      <c r="D16" s="40" t="n">
        <f aca="false">IF(D13&gt;0,IF(SUM($C13:C13)=0,$B$7*UpfrontFee,0),0)</f>
        <v>0</v>
      </c>
      <c r="E16" s="40" t="n">
        <f aca="false">IF(E13&gt;0,IF(SUM($C13:D13)=0,$B$7*UpfrontFee,0),0)</f>
        <v>0</v>
      </c>
      <c r="F16" s="40" t="n">
        <f aca="false">IF(F13&gt;0,IF(SUM($C13:E13)=0,$B$7*UpfrontFee,0),0)</f>
        <v>0</v>
      </c>
      <c r="G16" s="40" t="n">
        <f aca="false">IF(G13&gt;0,IF(SUM($C13:F13)=0,$B$7*UpfrontFee,0),0)</f>
        <v>0</v>
      </c>
      <c r="H16" s="40" t="n">
        <f aca="false">IF(H13&gt;0,IF(SUM($C13:G13)=0,$B$7*UpfrontFee,0),0)</f>
        <v>0</v>
      </c>
      <c r="I16" s="40" t="n">
        <f aca="false">IF(I13&gt;0,IF(SUM($C13:H13)=0,$B$7*UpfrontFee,0),0)</f>
        <v>0</v>
      </c>
      <c r="J16" s="40" t="n">
        <f aca="false">IF(J13&gt;0,IF(SUM($C13:I13)=0,$B$7*UpfrontFee,0),0)</f>
        <v>0</v>
      </c>
      <c r="K16" s="40" t="n">
        <f aca="false">IF(K13&gt;0,IF(SUM($C13:J13)=0,$B$7*UpfrontFee,0),0)</f>
        <v>0</v>
      </c>
      <c r="L16" s="40" t="n">
        <f aca="false">IF(L13&gt;0,IF(SUM($C13:K13)=0,$B$7*UpfrontFee,0),0)</f>
        <v>0</v>
      </c>
      <c r="M16" s="40" t="n">
        <f aca="false">IF(M13&gt;0,IF(SUM($C13:L13)=0,$B$7*UpfrontFee,0),0)</f>
        <v>0</v>
      </c>
      <c r="N16" s="40" t="n">
        <f aca="false">IF(N13&gt;0,IF(SUM($C13:M13)=0,$B$7*UpfrontFee,0),0)</f>
        <v>0</v>
      </c>
      <c r="O16" s="40" t="n">
        <f aca="false">IF(O13&gt;0,IF(SUM($C13:N13)=0,$B$7*UpfrontFee,0),0)</f>
        <v>6844663.18157783</v>
      </c>
      <c r="P16" s="40" t="n">
        <f aca="false">IF(P13&gt;0,IF(SUM($C13:O13)=0,$B$7*UpfrontFee,0),0)</f>
        <v>0</v>
      </c>
      <c r="Q16" s="40" t="n">
        <f aca="false">IF(Q13&gt;0,IF(SUM($C13:P13)=0,$B$7*UpfrontFee,0),0)</f>
        <v>0</v>
      </c>
      <c r="R16" s="40" t="n">
        <f aca="false">IF(R13&gt;0,IF(SUM($C13:Q13)=0,$B$7*UpfrontFee,0),0)</f>
        <v>0</v>
      </c>
      <c r="S16" s="40" t="n">
        <f aca="false">IF(S13&gt;0,IF(SUM($C13:R13)=0,$B$7*UpfrontFee,0),0)</f>
        <v>0</v>
      </c>
      <c r="T16" s="40" t="n">
        <f aca="false">IF(T13&gt;0,IF(SUM($C13:S13)=0,$B$7*UpfrontFee,0),0)</f>
        <v>0</v>
      </c>
      <c r="U16" s="40" t="n">
        <f aca="false">IF(U13&gt;0,IF(SUM($C13:T13)=0,$B$7*UpfrontFee,0),0)</f>
        <v>0</v>
      </c>
      <c r="V16" s="40" t="n">
        <f aca="false">IF(V13&gt;0,IF(SUM($C13:U13)=0,$B$7*UpfrontFee,0),0)</f>
        <v>0</v>
      </c>
      <c r="W16" s="40" t="n">
        <f aca="false">IF(W13&gt;0,IF(SUM($C13:V13)=0,$B$7*UpfrontFee,0),0)</f>
        <v>0</v>
      </c>
      <c r="X16" s="40" t="n">
        <f aca="false">IF(X13&gt;0,IF(SUM($C13:W13)=0,$B$7*UpfrontFee,0),0)</f>
        <v>0</v>
      </c>
      <c r="Y16" s="40" t="n">
        <f aca="false">IF(Y13&gt;0,IF(SUM($C13:X13)=0,$B$7*UpfrontFee,0),0)</f>
        <v>0</v>
      </c>
      <c r="Z16" s="40" t="n">
        <f aca="false">IF(Z13&gt;0,IF(SUM($C13:Y13)=0,$B$7*UpfrontFee,0),0)</f>
        <v>0</v>
      </c>
      <c r="AA16" s="40" t="n">
        <f aca="false">IF(AA13&gt;0,IF(SUM($C13:Z13)=0,$B$7*UpfrontFee,0),0)</f>
        <v>0</v>
      </c>
      <c r="AB16" s="40" t="n">
        <f aca="false">IF(AB13&gt;0,IF(SUM($C13:AA13)=0,$B$7*UpfrontFee,0),0)</f>
        <v>0</v>
      </c>
      <c r="AC16" s="40" t="n">
        <f aca="false">IF(AC13&gt;0,IF(SUM($C13:AB13)=0,$B$7*UpfrontFee,0),0)</f>
        <v>0</v>
      </c>
      <c r="AD16" s="40" t="n">
        <f aca="false">IF(AD13&gt;0,IF(SUM($C13:AC13)=0,$B$7*UpfrontFee,0),0)</f>
        <v>0</v>
      </c>
      <c r="AE16" s="40" t="n">
        <f aca="false">IF(AE13&gt;0,IF(SUM($C13:AD13)=0,$B$7*UpfrontFee,0),0)</f>
        <v>0</v>
      </c>
      <c r="AF16" s="40" t="n">
        <f aca="false">IF(AF13&gt;0,IF(SUM($C13:AE13)=0,$B$7*UpfrontFee,0),0)</f>
        <v>0</v>
      </c>
      <c r="AG16" s="40" t="n">
        <f aca="false">IF(AG13&gt;0,IF(SUM($C13:AF13)=0,$B$7*UpfrontFee,0),0)</f>
        <v>0</v>
      </c>
      <c r="AH16" s="40" t="n">
        <f aca="false">IF(AH13&gt;0,IF(SUM($C13:AG13)=0,$B$7*UpfrontFee,0),0)</f>
        <v>0</v>
      </c>
      <c r="AI16" s="40" t="n">
        <f aca="false">IF(AI13&gt;0,IF(SUM($C13:AH13)=0,$B$7*UpfrontFee,0),0)</f>
        <v>0</v>
      </c>
      <c r="AJ16" s="40" t="n">
        <f aca="false">IF(AJ13&gt;0,IF(SUM($C13:AI13)=0,$B$7*UpfrontFee,0),0)</f>
        <v>0</v>
      </c>
      <c r="AK16" s="40" t="n">
        <f aca="false">IF(AK13&gt;0,IF(SUM($C13:AJ13)=0,$B$7*UpfrontFee,0),0)</f>
        <v>0</v>
      </c>
      <c r="AL16" s="40" t="n">
        <f aca="false">IF(AL13&gt;0,IF(SUM($C13:AK13)=0,$B$7*UpfrontFee,0),0)</f>
        <v>0</v>
      </c>
      <c r="AM16" s="40" t="n">
        <f aca="false">IF(AM13&gt;0,IF(SUM($C13:AL13)=0,$B$7*UpfrontFee,0),0)</f>
        <v>0</v>
      </c>
      <c r="AN16" s="40" t="n">
        <f aca="false">IF(AN13&gt;0,IF(SUM($C13:AM13)=0,$B$7*UpfrontFee,0),0)</f>
        <v>0</v>
      </c>
      <c r="AO16" s="40" t="n">
        <f aca="false">IF(AO13&gt;0,IF(SUM($C13:AN13)=0,$B$7*UpfrontFee,0),0)</f>
        <v>0</v>
      </c>
      <c r="AP16" s="40" t="n">
        <f aca="false">IF(AP13&gt;0,IF(SUM($C13:AO13)=0,$B$7*UpfrontFee,0),0)</f>
        <v>0</v>
      </c>
      <c r="AQ16" s="40" t="n">
        <f aca="false">IF(AQ13&gt;0,IF(SUM($C13:AP13)=0,$B$7*UpfrontFee,0),0)</f>
        <v>0</v>
      </c>
      <c r="AR16" s="40" t="n">
        <f aca="false">IF(AR13&gt;0,IF(SUM($C13:AQ13)=0,$B$7*UpfrontFee,0),0)</f>
        <v>0</v>
      </c>
      <c r="AS16" s="40" t="n">
        <f aca="false">IF(AS13&gt;0,IF(SUM($C13:AR13)=0,$B$7*UpfrontFee,0),0)</f>
        <v>0</v>
      </c>
      <c r="AT16" s="40" t="n">
        <f aca="false">IF(AT13&gt;0,IF(SUM($C13:AS13)=0,$B$7*UpfrontFee,0),0)</f>
        <v>0</v>
      </c>
      <c r="AU16" s="40" t="n">
        <f aca="false">IF(AU13&gt;0,IF(SUM($C13:AT13)=0,$B$7*UpfrontFee,0),0)</f>
        <v>0</v>
      </c>
      <c r="AV16" s="40" t="n">
        <f aca="false">IF(AV13&gt;0,IF(SUM($C13:AU13)=0,$B$7*UpfrontFee,0),0)</f>
        <v>0</v>
      </c>
      <c r="AW16" s="40" t="n">
        <f aca="false">IF(AW13&gt;0,IF(SUM($C13:AV13)=0,$B$7*UpfrontFee,0),0)</f>
        <v>0</v>
      </c>
      <c r="AX16" s="40" t="n">
        <f aca="false">IF(AX13&gt;0,IF(SUM($C13:AW13)=0,$B$7*UpfrontFee,0),0)</f>
        <v>0</v>
      </c>
      <c r="AY16" s="40" t="n">
        <f aca="false">IF(AY13&gt;0,IF(SUM($C13:AX13)=0,$B$7*UpfrontFee,0),0)</f>
        <v>0</v>
      </c>
      <c r="AZ16" s="40" t="n">
        <f aca="false">IF(AZ13&gt;0,IF(SUM($C13:AY13)=0,$B$7*UpfrontFee,0),0)</f>
        <v>0</v>
      </c>
      <c r="BA16" s="40" t="n">
        <f aca="false">IF(BA13&gt;0,IF(SUM($C13:AZ13)=0,$B$7*UpfrontFee,0),0)</f>
        <v>0</v>
      </c>
      <c r="BB16" s="40" t="n">
        <f aca="false">IF(BB13&gt;0,IF(SUM($C13:BA13)=0,$B$7*UpfrontFee,0),0)</f>
        <v>0</v>
      </c>
      <c r="BC16" s="40" t="n">
        <f aca="false">IF(BC13&gt;0,IF(SUM($C13:BB13)=0,$B$7*UpfrontFee,0),0)</f>
        <v>0</v>
      </c>
      <c r="BD16" s="40" t="n">
        <f aca="false">IF(BD13&gt;0,IF(SUM($C13:BC13)=0,$B$7*UpfrontFee,0),0)</f>
        <v>0</v>
      </c>
      <c r="BE16" s="40" t="n">
        <f aca="false">IF(BE13&gt;0,IF(SUM($C13:BD13)=0,$B$7*UpfrontFee,0),0)</f>
        <v>0</v>
      </c>
      <c r="BF16" s="40" t="n">
        <f aca="false">IF(BF13&gt;0,IF(SUM($C13:BE13)=0,$B$7*UpfrontFee,0),0)</f>
        <v>0</v>
      </c>
      <c r="BG16" s="40" t="n">
        <f aca="false">IF(BG13&gt;0,IF(SUM($C13:BF13)=0,$B$7*UpfrontFee,0),0)</f>
        <v>0</v>
      </c>
      <c r="BH16" s="40" t="n">
        <f aca="false">IF(BH13&gt;0,IF(SUM($C13:BG13)=0,$B$7*UpfrontFee,0),0)</f>
        <v>0</v>
      </c>
      <c r="BI16" s="40" t="n">
        <f aca="false">IF(BI13&gt;0,IF(SUM($C13:BH13)=0,$B$7*UpfrontFee,0),0)</f>
        <v>0</v>
      </c>
      <c r="BJ16" s="40" t="n">
        <f aca="false">IF(BJ13&gt;0,IF(SUM($C13:BI13)=0,$B$7*UpfrontFee,0),0)</f>
        <v>0</v>
      </c>
      <c r="BK16" s="40" t="n">
        <f aca="false">IF(BK13&gt;0,IF(SUM($C13:BJ13)=0,$B$7*UpfrontFee,0),0)</f>
        <v>0</v>
      </c>
      <c r="BL16" s="40" t="n">
        <f aca="false">IF(BL13&gt;0,IF(SUM($C13:BK13)=0,$B$7*UpfrontFee,0),0)</f>
        <v>0</v>
      </c>
      <c r="BM16" s="40" t="n">
        <f aca="false">IF(BM13&gt;0,IF(SUM($C13:BL13)=0,$B$7*UpfrontFee,0),0)</f>
        <v>0</v>
      </c>
      <c r="BN16" s="40" t="n">
        <f aca="false">IF(BN13&gt;0,IF(SUM($C13:BM13)=0,$B$7*UpfrontFee,0),0)</f>
        <v>0</v>
      </c>
      <c r="BO16" s="40" t="n">
        <f aca="false">IF(BO13&gt;0,IF(SUM($C13:BN13)=0,$B$7*UpfrontFee,0),0)</f>
        <v>0</v>
      </c>
      <c r="BP16" s="40" t="n">
        <f aca="false">IF(BP13&gt;0,IF(SUM($C13:BO13)=0,$B$7*UpfrontFee,0),0)</f>
        <v>0</v>
      </c>
      <c r="BQ16" s="40" t="n">
        <f aca="false">IF(BQ13&gt;0,IF(SUM($C13:BP13)=0,$B$7*UpfrontFee,0),0)</f>
        <v>0</v>
      </c>
      <c r="BR16" s="40" t="n">
        <f aca="false">IF(BR13&gt;0,IF(SUM($C13:BQ13)=0,$B$7*UpfrontFee,0),0)</f>
        <v>0</v>
      </c>
      <c r="BS16" s="40" t="n">
        <f aca="false">IF(BS13&gt;0,IF(SUM($C13:BR13)=0,$B$7*UpfrontFee,0),0)</f>
        <v>0</v>
      </c>
      <c r="BT16" s="40" t="n">
        <f aca="false">IF(BT13&gt;0,IF(SUM($C13:BS13)=0,$B$7*UpfrontFee,0),0)</f>
        <v>0</v>
      </c>
      <c r="BU16" s="40" t="n">
        <f aca="false">IF(BU13&gt;0,IF(SUM($C13:BT13)=0,$B$7*UpfrontFee,0),0)</f>
        <v>0</v>
      </c>
      <c r="BV16" s="40" t="n">
        <f aca="false">IF(BV13&gt;0,IF(SUM($C13:BU13)=0,$B$7*UpfrontFee,0),0)</f>
        <v>0</v>
      </c>
      <c r="BW16" s="40" t="n">
        <f aca="false">IF(BW13&gt;0,IF(SUM($C13:BV13)=0,$B$7*UpfrontFee,0),0)</f>
        <v>0</v>
      </c>
      <c r="BX16" s="40" t="n">
        <f aca="false">IF(BX13&gt;0,IF(SUM($C13:BW13)=0,$B$7*UpfrontFee,0),0)</f>
        <v>0</v>
      </c>
      <c r="BY16" s="40" t="n">
        <f aca="false">IF(BY13&gt;0,IF(SUM($C13:BX13)=0,$B$7*UpfrontFee,0),0)</f>
        <v>0</v>
      </c>
      <c r="BZ16" s="40" t="n">
        <f aca="false">IF(BZ13&gt;0,IF(SUM($C13:BY13)=0,$B$7*UpfrontFee,0),0)</f>
        <v>0</v>
      </c>
      <c r="CA16" s="40" t="n">
        <f aca="false">IF(CA13&gt;0,IF(SUM($C13:BZ13)=0,$B$7*UpfrontFee,0),0)</f>
        <v>0</v>
      </c>
      <c r="CB16" s="40" t="n">
        <f aca="false">IF(CB13&gt;0,IF(SUM($C13:CA13)=0,$B$7*UpfrontFee,0),0)</f>
        <v>0</v>
      </c>
      <c r="CC16" s="40" t="n">
        <f aca="false">IF(CC13&gt;0,IF(SUM($C13:CB13)=0,$B$7*UpfrontFee,0),0)</f>
        <v>0</v>
      </c>
      <c r="CD16" s="40" t="n">
        <f aca="false">IF(CD13&gt;0,IF(SUM($C13:CC13)=0,$B$7*UpfrontFee,0),0)</f>
        <v>0</v>
      </c>
      <c r="CE16" s="40" t="n">
        <f aca="false">IF(CE13&gt;0,IF(SUM($C13:CD13)=0,$B$7*UpfrontFee,0),0)</f>
        <v>0</v>
      </c>
      <c r="CF16" s="40" t="n">
        <f aca="false">IF(CF13&gt;0,IF(SUM($C13:CE13)=0,$B$7*UpfrontFee,0),0)</f>
        <v>0</v>
      </c>
      <c r="CG16" s="40" t="n">
        <f aca="false">IF(CG13&gt;0,IF(SUM($C13:CF13)=0,$B$7*UpfrontFee,0),0)</f>
        <v>0</v>
      </c>
      <c r="CH16" s="40" t="n">
        <f aca="false">IF(CH13&gt;0,IF(SUM($C13:CG13)=0,$B$7*UpfrontFee,0),0)</f>
        <v>0</v>
      </c>
      <c r="CI16" s="40" t="n">
        <f aca="false">IF(CI13&gt;0,IF(SUM($C13:CH13)=0,$B$7*UpfrontFee,0),0)</f>
        <v>0</v>
      </c>
      <c r="CJ16" s="40" t="n">
        <f aca="false">IF(CJ13&gt;0,IF(SUM($C13:CI13)=0,$B$7*UpfrontFee,0),0)</f>
        <v>0</v>
      </c>
      <c r="CK16" s="40" t="n">
        <f aca="false">IF(CK13&gt;0,IF(SUM($C13:CJ13)=0,$B$7*UpfrontFee,0),0)</f>
        <v>0</v>
      </c>
      <c r="CL16" s="40" t="n">
        <f aca="false">IF(CL13&gt;0,IF(SUM($C13:CK13)=0,$B$7*UpfrontFee,0),0)</f>
        <v>0</v>
      </c>
      <c r="CM16" s="40" t="n">
        <f aca="false">IF(CM13&gt;0,IF(SUM($C13:CL13)=0,$B$7*UpfrontFee,0),0)</f>
        <v>0</v>
      </c>
      <c r="CN16" s="40" t="n">
        <f aca="false">IF(CN13&gt;0,IF(SUM($C13:CM13)=0,$B$7*UpfrontFee,0),0)</f>
        <v>0</v>
      </c>
      <c r="CO16" s="40" t="n">
        <f aca="false">IF(CO13&gt;0,IF(SUM($C13:CN13)=0,$B$7*UpfrontFee,0),0)</f>
        <v>0</v>
      </c>
      <c r="CP16" s="40" t="n">
        <f aca="false">IF(CP13&gt;0,IF(SUM($C13:CO13)=0,$B$7*UpfrontFee,0),0)</f>
        <v>0</v>
      </c>
      <c r="CQ16" s="40" t="n">
        <f aca="false">IF(CQ13&gt;0,IF(SUM($C13:CP13)=0,$B$7*UpfrontFee,0),0)</f>
        <v>0</v>
      </c>
      <c r="CR16" s="40" t="n">
        <f aca="false">IF(CR13&gt;0,IF(SUM($C13:CQ13)=0,$B$7*UpfrontFee,0),0)</f>
        <v>0</v>
      </c>
      <c r="CS16" s="40" t="n">
        <f aca="false">IF(CS13&gt;0,IF(SUM($C13:CR13)=0,$B$7*UpfrontFee,0),0)</f>
        <v>0</v>
      </c>
      <c r="CT16" s="40" t="n">
        <f aca="false">IF(CT13&gt;0,IF(SUM($C13:CS13)=0,$B$7*UpfrontFee,0),0)</f>
        <v>0</v>
      </c>
      <c r="CU16" s="40" t="n">
        <f aca="false">IF(CU13&gt;0,IF(SUM($C13:CT13)=0,$B$7*UpfrontFee,0),0)</f>
        <v>0</v>
      </c>
    </row>
    <row r="17" customFormat="false" ht="15" hidden="false" customHeight="false" outlineLevel="0" collapsed="false">
      <c r="A17" s="35" t="s">
        <v>164</v>
      </c>
      <c r="B17" s="40" t="n">
        <f aca="false">SUM(C17:CU17)</f>
        <v>275827229.394001</v>
      </c>
      <c r="C17" s="40" t="n">
        <f aca="false">IF('Cash Flow'!C12=1,C16,C14*$B$8/12+C16)</f>
        <v>0</v>
      </c>
      <c r="D17" s="40" t="n">
        <f aca="false">IF('Cash Flow'!D12=1,D16,D14*$B$8/12+D16)</f>
        <v>0</v>
      </c>
      <c r="E17" s="40" t="n">
        <f aca="false">IF('Cash Flow'!E12=1,E16,E14*$B$8/12+E16)</f>
        <v>0</v>
      </c>
      <c r="F17" s="40" t="n">
        <f aca="false">IF('Cash Flow'!F12=1,F16,F14*$B$8/12+F16)</f>
        <v>0</v>
      </c>
      <c r="G17" s="40" t="n">
        <f aca="false">IF('Cash Flow'!G12=1,G16,G14*$B$8/12+G16)</f>
        <v>0</v>
      </c>
      <c r="H17" s="40" t="n">
        <f aca="false">IF('Cash Flow'!H12=1,H16,H14*$B$8/12+H16)</f>
        <v>0</v>
      </c>
      <c r="I17" s="40" t="n">
        <f aca="false">IF('Cash Flow'!I12=1,I16,I14*$B$8/12+I16)</f>
        <v>0</v>
      </c>
      <c r="J17" s="40" t="n">
        <f aca="false">IF('Cash Flow'!J12=1,J16,J14*$B$8/12+J16)</f>
        <v>0</v>
      </c>
      <c r="K17" s="40" t="n">
        <f aca="false">IF('Cash Flow'!K12=1,K16,K14*$B$8/12+K16)</f>
        <v>0</v>
      </c>
      <c r="L17" s="40" t="n">
        <f aca="false">IF('Cash Flow'!L12=1,L16,L14*$B$8/12+L16)</f>
        <v>0</v>
      </c>
      <c r="M17" s="40" t="n">
        <f aca="false">IF('Cash Flow'!M12=1,M16,M14*$B$8/12+M16)</f>
        <v>0</v>
      </c>
      <c r="N17" s="40" t="n">
        <f aca="false">IF('Cash Flow'!N12=1,N16,N14*$B$8/12+N16)</f>
        <v>0</v>
      </c>
      <c r="O17" s="40" t="n">
        <f aca="false">IF('Cash Flow'!O12=1,O16,O14*$B$8/12+O16)</f>
        <v>6844663.18157783</v>
      </c>
      <c r="P17" s="40" t="n">
        <f aca="false">IF('Cash Flow'!P12=1,P16,P14*$B$8/12+P16)</f>
        <v>0</v>
      </c>
      <c r="Q17" s="40" t="n">
        <f aca="false">IF('Cash Flow'!Q12=1,Q16,Q14*$B$8/12+Q16)</f>
        <v>0</v>
      </c>
      <c r="R17" s="40" t="n">
        <f aca="false">IF('Cash Flow'!R12=1,R16,R14*$B$8/12+R16)</f>
        <v>0</v>
      </c>
      <c r="S17" s="40" t="n">
        <f aca="false">IF('Cash Flow'!S12=1,S16,S14*$B$8/12+S16)</f>
        <v>0</v>
      </c>
      <c r="T17" s="40" t="n">
        <f aca="false">IF('Cash Flow'!T12=1,T16,T14*$B$8/12+T16)</f>
        <v>0</v>
      </c>
      <c r="U17" s="40" t="n">
        <f aca="false">IF('Cash Flow'!U12=1,U16,U14*$B$8/12+U16)</f>
        <v>0</v>
      </c>
      <c r="V17" s="40" t="n">
        <f aca="false">IF('Cash Flow'!V12=1,V16,V14*$B$8/12+V16)</f>
        <v>0</v>
      </c>
      <c r="W17" s="40" t="n">
        <f aca="false">IF('Cash Flow'!W12=1,W16,W14*$B$8/12+W16)</f>
        <v>0</v>
      </c>
      <c r="X17" s="40" t="n">
        <f aca="false">IF('Cash Flow'!X12=1,X16,X14*$B$8/12+X16)</f>
        <v>0</v>
      </c>
      <c r="Y17" s="40" t="n">
        <f aca="false">IF('Cash Flow'!Y12=1,Y16,Y14*$B$8/12+Y16)</f>
        <v>0</v>
      </c>
      <c r="Z17" s="40" t="n">
        <f aca="false">IF('Cash Flow'!Z12=1,Z16,Z14*$B$8/12+Z16)</f>
        <v>0</v>
      </c>
      <c r="AA17" s="40" t="n">
        <f aca="false">IF('Cash Flow'!AA12=1,AA16,AA14*$B$8/12+AA16)</f>
        <v>0</v>
      </c>
      <c r="AB17" s="40" t="n">
        <f aca="false">IF('Cash Flow'!AB12=1,AB16,AB14*$B$8/12+AB16)</f>
        <v>0</v>
      </c>
      <c r="AC17" s="40" t="n">
        <f aca="false">IF('Cash Flow'!AC12=1,AC16,AC14*$B$8/12+AC16)</f>
        <v>0</v>
      </c>
      <c r="AD17" s="40" t="n">
        <f aca="false">IF('Cash Flow'!AD12=1,AD16,AD14*$B$8/12+AD16)</f>
        <v>0</v>
      </c>
      <c r="AE17" s="40" t="n">
        <f aca="false">IF('Cash Flow'!AE12=1,AE16,AE14*$B$8/12+AE16)</f>
        <v>0</v>
      </c>
      <c r="AF17" s="40" t="n">
        <f aca="false">IF('Cash Flow'!AF12=1,AF16,AF14*$B$8/12+AF16)</f>
        <v>0</v>
      </c>
      <c r="AG17" s="40" t="n">
        <f aca="false">IF('Cash Flow'!AG12=1,AG16,AG14*$B$8/12+AG16)</f>
        <v>0</v>
      </c>
      <c r="AH17" s="40" t="n">
        <f aca="false">IF('Cash Flow'!AH12=1,AH16,AH14*$B$8/12+AH16)</f>
        <v>6723954.55925461</v>
      </c>
      <c r="AI17" s="40" t="n">
        <f aca="false">IF('Cash Flow'!AI12=1,AI16,AI14*$B$8/12+AI16)</f>
        <v>6708363.93756324</v>
      </c>
      <c r="AJ17" s="40" t="n">
        <f aca="false">IF('Cash Flow'!AJ12=1,AJ16,AJ14*$B$8/12+AJ16)</f>
        <v>6692773.31587187</v>
      </c>
      <c r="AK17" s="40" t="n">
        <f aca="false">IF('Cash Flow'!AK12=1,AK16,AK14*$B$8/12+AK16)</f>
        <v>6677182.6941805</v>
      </c>
      <c r="AL17" s="40" t="n">
        <f aca="false">IF('Cash Flow'!AL12=1,AL16,AL14*$B$8/12+AL16)</f>
        <v>6661592.07248913</v>
      </c>
      <c r="AM17" s="40" t="n">
        <f aca="false">IF('Cash Flow'!AM12=1,AM16,AM14*$B$8/12+AM16)</f>
        <v>6646001.45079775</v>
      </c>
      <c r="AN17" s="40" t="n">
        <f aca="false">IF('Cash Flow'!AN12=1,AN16,AN14*$B$8/12+AN16)</f>
        <v>6630410.82910638</v>
      </c>
      <c r="AO17" s="40" t="n">
        <f aca="false">IF('Cash Flow'!AO12=1,AO16,AO14*$B$8/12+AO16)</f>
        <v>6614820.20741501</v>
      </c>
      <c r="AP17" s="40" t="n">
        <f aca="false">IF('Cash Flow'!AP12=1,AP16,AP14*$B$8/12+AP16)</f>
        <v>6599229.58572364</v>
      </c>
      <c r="AQ17" s="40" t="n">
        <f aca="false">IF('Cash Flow'!AQ12=1,AQ16,AQ14*$B$8/12+AQ16)</f>
        <v>6583638.96403227</v>
      </c>
      <c r="AR17" s="40" t="n">
        <f aca="false">IF('Cash Flow'!AR12=1,AR16,AR14*$B$8/12+AR16)</f>
        <v>6568048.3423409</v>
      </c>
      <c r="AS17" s="40" t="n">
        <f aca="false">IF('Cash Flow'!AS12=1,AS16,AS14*$B$8/12+AS16)</f>
        <v>6552457.72064952</v>
      </c>
      <c r="AT17" s="40" t="n">
        <f aca="false">IF('Cash Flow'!AT12=1,AT16,AT14*$B$8/12+AT16)</f>
        <v>6536867.09895815</v>
      </c>
      <c r="AU17" s="40" t="n">
        <f aca="false">IF('Cash Flow'!AU12=1,AU16,AU14*$B$8/12+AU16)</f>
        <v>6521276.47726678</v>
      </c>
      <c r="AV17" s="40" t="n">
        <f aca="false">IF('Cash Flow'!AV12=1,AV16,AV14*$B$8/12+AV16)</f>
        <v>6505685.85557541</v>
      </c>
      <c r="AW17" s="40" t="n">
        <f aca="false">IF('Cash Flow'!AW12=1,AW16,AW14*$B$8/12+AW16)</f>
        <v>6490095.23388404</v>
      </c>
      <c r="AX17" s="40" t="n">
        <f aca="false">IF('Cash Flow'!AX12=1,AX16,AX14*$B$8/12+AX16)</f>
        <v>6474504.61219267</v>
      </c>
      <c r="AY17" s="40" t="n">
        <f aca="false">IF('Cash Flow'!AY12=1,AY16,AY14*$B$8/12+AY16)</f>
        <v>6458913.99050129</v>
      </c>
      <c r="AZ17" s="40" t="n">
        <f aca="false">IF('Cash Flow'!AZ12=1,AZ16,AZ14*$B$8/12+AZ16)</f>
        <v>6443323.36880992</v>
      </c>
      <c r="BA17" s="40" t="n">
        <f aca="false">IF('Cash Flow'!BA12=1,BA16,BA14*$B$8/12+BA16)</f>
        <v>6427732.74711855</v>
      </c>
      <c r="BB17" s="40" t="n">
        <f aca="false">IF('Cash Flow'!BB12=1,BB16,BB14*$B$8/12+BB16)</f>
        <v>6412142.12542718</v>
      </c>
      <c r="BC17" s="40" t="n">
        <f aca="false">IF('Cash Flow'!BC12=1,BC16,BC14*$B$8/12+BC16)</f>
        <v>6396551.50373581</v>
      </c>
      <c r="BD17" s="40" t="n">
        <f aca="false">IF('Cash Flow'!BD12=1,BD16,BD14*$B$8/12+BD16)</f>
        <v>6380960.88204444</v>
      </c>
      <c r="BE17" s="40" t="n">
        <f aca="false">IF('Cash Flow'!BE12=1,BE16,BE14*$B$8/12+BE16)</f>
        <v>6365370.26035306</v>
      </c>
      <c r="BF17" s="40" t="n">
        <f aca="false">IF('Cash Flow'!BF12=1,BF16,BF14*$B$8/12+BF16)</f>
        <v>6349779.63866169</v>
      </c>
      <c r="BG17" s="40" t="n">
        <f aca="false">IF('Cash Flow'!BG12=1,BG16,BG14*$B$8/12+BG16)</f>
        <v>6334189.01697032</v>
      </c>
      <c r="BH17" s="40" t="n">
        <f aca="false">IF('Cash Flow'!BH12=1,BH16,BH14*$B$8/12+BH16)</f>
        <v>6318598.39527895</v>
      </c>
      <c r="BI17" s="40" t="n">
        <f aca="false">IF('Cash Flow'!BI12=1,BI16,BI14*$B$8/12+BI16)</f>
        <v>6303007.77358758</v>
      </c>
      <c r="BJ17" s="40" t="n">
        <f aca="false">IF('Cash Flow'!BJ12=1,BJ16,BJ14*$B$8/12+BJ16)</f>
        <v>6287417.15189621</v>
      </c>
      <c r="BK17" s="40" t="n">
        <f aca="false">IF('Cash Flow'!BK12=1,BK16,BK14*$B$8/12+BK16)</f>
        <v>6271826.53020483</v>
      </c>
      <c r="BL17" s="40" t="n">
        <f aca="false">IF('Cash Flow'!BL12=1,BL16,BL14*$B$8/12+BL16)</f>
        <v>6256235.90851346</v>
      </c>
      <c r="BM17" s="40" t="n">
        <f aca="false">IF('Cash Flow'!BM12=1,BM16,BM14*$B$8/12+BM16)</f>
        <v>6240645.28682209</v>
      </c>
      <c r="BN17" s="40" t="n">
        <f aca="false">IF('Cash Flow'!BN12=1,BN16,BN14*$B$8/12+BN16)</f>
        <v>6225054.66513072</v>
      </c>
      <c r="BO17" s="40" t="n">
        <f aca="false">IF('Cash Flow'!BO12=1,BO16,BO14*$B$8/12+BO16)</f>
        <v>6209464.04343935</v>
      </c>
      <c r="BP17" s="40" t="n">
        <f aca="false">IF('Cash Flow'!BP12=1,BP16,BP14*$B$8/12+BP16)</f>
        <v>6193873.42174798</v>
      </c>
      <c r="BQ17" s="40" t="n">
        <f aca="false">IF('Cash Flow'!BQ12=1,BQ16,BQ14*$B$8/12+BQ16)</f>
        <v>6178282.8000566</v>
      </c>
      <c r="BR17" s="40" t="n">
        <f aca="false">IF('Cash Flow'!BR12=1,BR16,BR14*$B$8/12+BR16)</f>
        <v>6162692.17836523</v>
      </c>
      <c r="BS17" s="40" t="n">
        <f aca="false">IF('Cash Flow'!BS12=1,BS16,BS14*$B$8/12+BS16)</f>
        <v>6147101.55667386</v>
      </c>
      <c r="BT17" s="40" t="n">
        <f aca="false">IF('Cash Flow'!BT12=1,BT16,BT14*$B$8/12+BT16)</f>
        <v>6131510.93498249</v>
      </c>
      <c r="BU17" s="40" t="n">
        <f aca="false">IF('Cash Flow'!BU12=1,BU16,BU14*$B$8/12+BU16)</f>
        <v>6115920.31329112</v>
      </c>
      <c r="BV17" s="40" t="n">
        <f aca="false">IF('Cash Flow'!BV12=1,BV16,BV14*$B$8/12+BV16)</f>
        <v>6100329.69159975</v>
      </c>
      <c r="BW17" s="40" t="n">
        <f aca="false">IF('Cash Flow'!BW12=1,BW16,BW14*$B$8/12+BW16)</f>
        <v>6084739.06990837</v>
      </c>
      <c r="BX17" s="40" t="n">
        <f aca="false">IF('Cash Flow'!BX12=1,BX16,BX14*$B$8/12+BX16)</f>
        <v>0</v>
      </c>
      <c r="BY17" s="40" t="n">
        <f aca="false">IF('Cash Flow'!BY12=1,BY16,BY14*$B$8/12+BY16)</f>
        <v>0</v>
      </c>
      <c r="BZ17" s="40" t="n">
        <f aca="false">IF('Cash Flow'!BZ12=1,BZ16,BZ14*$B$8/12+BZ16)</f>
        <v>0</v>
      </c>
      <c r="CA17" s="40" t="n">
        <f aca="false">IF('Cash Flow'!CA12=1,CA16,CA14*$B$8/12+CA16)</f>
        <v>0</v>
      </c>
      <c r="CB17" s="40" t="n">
        <f aca="false">IF('Cash Flow'!CB12=1,CB16,CB14*$B$8/12+CB16)</f>
        <v>0</v>
      </c>
      <c r="CC17" s="40" t="n">
        <f aca="false">IF('Cash Flow'!CC12=1,CC16,CC14*$B$8/12+CC16)</f>
        <v>0</v>
      </c>
      <c r="CD17" s="40" t="n">
        <f aca="false">IF('Cash Flow'!CD12=1,CD16,CD14*$B$8/12+CD16)</f>
        <v>0</v>
      </c>
      <c r="CE17" s="40" t="n">
        <f aca="false">IF('Cash Flow'!CE12=1,CE16,CE14*$B$8/12+CE16)</f>
        <v>0</v>
      </c>
      <c r="CF17" s="40" t="n">
        <f aca="false">IF('Cash Flow'!CF12=1,CF16,CF14*$B$8/12+CF16)</f>
        <v>0</v>
      </c>
      <c r="CG17" s="40" t="n">
        <f aca="false">IF('Cash Flow'!CG12=1,CG16,CG14*$B$8/12+CG16)</f>
        <v>0</v>
      </c>
      <c r="CH17" s="40" t="n">
        <f aca="false">IF('Cash Flow'!CH12=1,CH16,CH14*$B$8/12+CH16)</f>
        <v>0</v>
      </c>
      <c r="CI17" s="40" t="n">
        <f aca="false">IF('Cash Flow'!CI12=1,CI16,CI14*$B$8/12+CI16)</f>
        <v>0</v>
      </c>
      <c r="CJ17" s="40" t="n">
        <f aca="false">IF('Cash Flow'!CJ12=1,CJ16,CJ14*$B$8/12+CJ16)</f>
        <v>0</v>
      </c>
      <c r="CK17" s="40" t="n">
        <f aca="false">IF('Cash Flow'!CK12=1,CK16,CK14*$B$8/12+CK16)</f>
        <v>0</v>
      </c>
      <c r="CL17" s="40" t="n">
        <f aca="false">IF('Cash Flow'!CL12=1,CL16,CL14*$B$8/12+CL16)</f>
        <v>0</v>
      </c>
      <c r="CM17" s="40" t="n">
        <f aca="false">IF('Cash Flow'!CM12=1,CM16,CM14*$B$8/12+CM16)</f>
        <v>0</v>
      </c>
      <c r="CN17" s="40" t="n">
        <f aca="false">IF('Cash Flow'!CN12=1,CN16,CN14*$B$8/12+CN16)</f>
        <v>0</v>
      </c>
      <c r="CO17" s="40" t="n">
        <f aca="false">IF('Cash Flow'!CO12=1,CO16,CO14*$B$8/12+CO16)</f>
        <v>0</v>
      </c>
      <c r="CP17" s="40" t="n">
        <f aca="false">IF('Cash Flow'!CP12=1,CP16,CP14*$B$8/12+CP16)</f>
        <v>0</v>
      </c>
      <c r="CQ17" s="40" t="n">
        <f aca="false">IF('Cash Flow'!CQ12=1,CQ16,CQ14*$B$8/12+CQ16)</f>
        <v>0</v>
      </c>
      <c r="CR17" s="40" t="n">
        <f aca="false">IF('Cash Flow'!CR12=1,CR16,CR14*$B$8/12+CR16)</f>
        <v>0</v>
      </c>
      <c r="CS17" s="40" t="n">
        <f aca="false">IF('Cash Flow'!CS12=1,CS16,CS14*$B$8/12+CS16)</f>
        <v>0</v>
      </c>
      <c r="CT17" s="40" t="n">
        <f aca="false">IF('Cash Flow'!CT12=1,CT16,CT14*$B$8/12+CT16)</f>
        <v>0</v>
      </c>
      <c r="CU17" s="40" t="n">
        <f aca="false">IF('Cash Flow'!CU12=1,CU16,CU14*$B$8/12+CU16)</f>
        <v>0</v>
      </c>
    </row>
    <row r="18" customFormat="false" ht="15" hidden="false" customHeight="false" outlineLevel="0" collapsed="false">
      <c r="A18" s="35" t="s">
        <v>152</v>
      </c>
      <c r="B18" s="40" t="n">
        <f aca="false">SUM(C18:CU18)</f>
        <v>983993350.134822</v>
      </c>
      <c r="C18" s="40" t="n">
        <f aca="false">IF('Cash Flow'!C14=1,C14,IF('Cash Flow'!C13=1,MIN(C14,$B$7*Amort/12),0))</f>
        <v>0</v>
      </c>
      <c r="D18" s="40" t="n">
        <f aca="false">IF('Cash Flow'!D14=1,D14,IF('Cash Flow'!D13=1,MIN(D14,$B$7*Amort/12),0))</f>
        <v>0</v>
      </c>
      <c r="E18" s="40" t="n">
        <f aca="false">IF('Cash Flow'!E14=1,E14,IF('Cash Flow'!E13=1,MIN(E14,$B$7*Amort/12),0))</f>
        <v>0</v>
      </c>
      <c r="F18" s="40" t="n">
        <f aca="false">IF('Cash Flow'!F14=1,F14,IF('Cash Flow'!F13=1,MIN(F14,$B$7*Amort/12),0))</f>
        <v>0</v>
      </c>
      <c r="G18" s="40" t="n">
        <f aca="false">IF('Cash Flow'!G14=1,G14,IF('Cash Flow'!G13=1,MIN(G14,$B$7*Amort/12),0))</f>
        <v>0</v>
      </c>
      <c r="H18" s="40" t="n">
        <f aca="false">IF('Cash Flow'!H14=1,H14,IF('Cash Flow'!H13=1,MIN(H14,$B$7*Amort/12),0))</f>
        <v>0</v>
      </c>
      <c r="I18" s="40" t="n">
        <f aca="false">IF('Cash Flow'!I14=1,I14,IF('Cash Flow'!I13=1,MIN(I14,$B$7*Amort/12),0))</f>
        <v>0</v>
      </c>
      <c r="J18" s="40" t="n">
        <f aca="false">IF('Cash Flow'!J14=1,J14,IF('Cash Flow'!J13=1,MIN(J14,$B$7*Amort/12),0))</f>
        <v>0</v>
      </c>
      <c r="K18" s="40" t="n">
        <f aca="false">IF('Cash Flow'!K14=1,K14,IF('Cash Flow'!K13=1,MIN(K14,$B$7*Amort/12),0))</f>
        <v>0</v>
      </c>
      <c r="L18" s="40" t="n">
        <f aca="false">IF('Cash Flow'!L14=1,L14,IF('Cash Flow'!L13=1,MIN(L14,$B$7*Amort/12),0))</f>
        <v>0</v>
      </c>
      <c r="M18" s="40" t="n">
        <f aca="false">IF('Cash Flow'!M14=1,M14,IF('Cash Flow'!M13=1,MIN(M14,$B$7*Amort/12),0))</f>
        <v>0</v>
      </c>
      <c r="N18" s="40" t="n">
        <f aca="false">IF('Cash Flow'!N14=1,N14,IF('Cash Flow'!N13=1,MIN(N14,$B$7*Amort/12),0))</f>
        <v>0</v>
      </c>
      <c r="O18" s="40" t="n">
        <f aca="false">IF('Cash Flow'!O14=1,O14,IF('Cash Flow'!O13=1,MIN(O14,$B$7*Amort/12),0))</f>
        <v>0</v>
      </c>
      <c r="P18" s="40" t="n">
        <f aca="false">IF('Cash Flow'!P14=1,P14,IF('Cash Flow'!P13=1,MIN(P14,$B$7*Amort/12),0))</f>
        <v>0</v>
      </c>
      <c r="Q18" s="40" t="n">
        <f aca="false">IF('Cash Flow'!Q14=1,Q14,IF('Cash Flow'!Q13=1,MIN(Q14,$B$7*Amort/12),0))</f>
        <v>0</v>
      </c>
      <c r="R18" s="40" t="n">
        <f aca="false">IF('Cash Flow'!R14=1,R14,IF('Cash Flow'!R13=1,MIN(R14,$B$7*Amort/12),0))</f>
        <v>0</v>
      </c>
      <c r="S18" s="40" t="n">
        <f aca="false">IF('Cash Flow'!S14=1,S14,IF('Cash Flow'!S13=1,MIN(S14,$B$7*Amort/12),0))</f>
        <v>0</v>
      </c>
      <c r="T18" s="40" t="n">
        <f aca="false">IF('Cash Flow'!T14=1,T14,IF('Cash Flow'!T13=1,MIN(T14,$B$7*Amort/12),0))</f>
        <v>0</v>
      </c>
      <c r="U18" s="40" t="n">
        <f aca="false">IF('Cash Flow'!U14=1,U14,IF('Cash Flow'!U13=1,MIN(U14,$B$7*Amort/12),0))</f>
        <v>0</v>
      </c>
      <c r="V18" s="40" t="n">
        <f aca="false">IF('Cash Flow'!V14=1,V14,IF('Cash Flow'!V13=1,MIN(V14,$B$7*Amort/12),0))</f>
        <v>0</v>
      </c>
      <c r="W18" s="40" t="n">
        <f aca="false">IF('Cash Flow'!W14=1,W14,IF('Cash Flow'!W13=1,MIN(W14,$B$7*Amort/12),0))</f>
        <v>0</v>
      </c>
      <c r="X18" s="40" t="n">
        <f aca="false">IF('Cash Flow'!X14=1,X14,IF('Cash Flow'!X13=1,MIN(X14,$B$7*Amort/12),0))</f>
        <v>0</v>
      </c>
      <c r="Y18" s="40" t="n">
        <f aca="false">IF('Cash Flow'!Y14=1,Y14,IF('Cash Flow'!Y13=1,MIN(Y14,$B$7*Amort/12),0))</f>
        <v>0</v>
      </c>
      <c r="Z18" s="40" t="n">
        <f aca="false">IF('Cash Flow'!Z14=1,Z14,IF('Cash Flow'!Z13=1,MIN(Z14,$B$7*Amort/12),0))</f>
        <v>0</v>
      </c>
      <c r="AA18" s="40" t="n">
        <f aca="false">IF('Cash Flow'!AA14=1,AA14,IF('Cash Flow'!AA13=1,MIN(AA14,$B$7*Amort/12),0))</f>
        <v>0</v>
      </c>
      <c r="AB18" s="40" t="n">
        <f aca="false">IF('Cash Flow'!AB14=1,AB14,IF('Cash Flow'!AB13=1,MIN(AB14,$B$7*Amort/12),0))</f>
        <v>0</v>
      </c>
      <c r="AC18" s="40" t="n">
        <f aca="false">IF('Cash Flow'!AC14=1,AC14,IF('Cash Flow'!AC13=1,MIN(AC14,$B$7*Amort/12),0))</f>
        <v>0</v>
      </c>
      <c r="AD18" s="40" t="n">
        <f aca="false">IF('Cash Flow'!AD14=1,AD14,IF('Cash Flow'!AD13=1,MIN(AD14,$B$7*Amort/12),0))</f>
        <v>0</v>
      </c>
      <c r="AE18" s="40" t="n">
        <f aca="false">IF('Cash Flow'!AE14=1,AE14,IF('Cash Flow'!AE13=1,MIN(AE14,$B$7*Amort/12),0))</f>
        <v>0</v>
      </c>
      <c r="AF18" s="40" t="n">
        <f aca="false">IF('Cash Flow'!AF14=1,AF14,IF('Cash Flow'!AF13=1,MIN(AF14,$B$7*Amort/12),0))</f>
        <v>0</v>
      </c>
      <c r="AG18" s="40" t="n">
        <f aca="false">IF('Cash Flow'!AG14=1,AG14,IF('Cash Flow'!AG13=1,MIN(AG14,$B$7*Amort/12),0))</f>
        <v>0</v>
      </c>
      <c r="AH18" s="40" t="n">
        <f aca="false">IF('Cash Flow'!AH14=1,AH14,IF('Cash Flow'!AH13=1,MIN(AH14,$B$7*Amort/12),0))</f>
        <v>2281554.39385928</v>
      </c>
      <c r="AI18" s="40" t="n">
        <f aca="false">IF('Cash Flow'!AI14=1,AI14,IF('Cash Flow'!AI13=1,MIN(AI14,$B$7*Amort/12),0))</f>
        <v>2281554.39385928</v>
      </c>
      <c r="AJ18" s="40" t="n">
        <f aca="false">IF('Cash Flow'!AJ14=1,AJ14,IF('Cash Flow'!AJ13=1,MIN(AJ14,$B$7*Amort/12),0))</f>
        <v>2281554.39385928</v>
      </c>
      <c r="AK18" s="40" t="n">
        <f aca="false">IF('Cash Flow'!AK14=1,AK14,IF('Cash Flow'!AK13=1,MIN(AK14,$B$7*Amort/12),0))</f>
        <v>2281554.39385928</v>
      </c>
      <c r="AL18" s="40" t="n">
        <f aca="false">IF('Cash Flow'!AL14=1,AL14,IF('Cash Flow'!AL13=1,MIN(AL14,$B$7*Amort/12),0))</f>
        <v>2281554.39385928</v>
      </c>
      <c r="AM18" s="40" t="n">
        <f aca="false">IF('Cash Flow'!AM14=1,AM14,IF('Cash Flow'!AM13=1,MIN(AM14,$B$7*Amort/12),0))</f>
        <v>2281554.39385928</v>
      </c>
      <c r="AN18" s="40" t="n">
        <f aca="false">IF('Cash Flow'!AN14=1,AN14,IF('Cash Flow'!AN13=1,MIN(AN14,$B$7*Amort/12),0))</f>
        <v>2281554.39385928</v>
      </c>
      <c r="AO18" s="40" t="n">
        <f aca="false">IF('Cash Flow'!AO14=1,AO14,IF('Cash Flow'!AO13=1,MIN(AO14,$B$7*Amort/12),0))</f>
        <v>2281554.39385928</v>
      </c>
      <c r="AP18" s="40" t="n">
        <f aca="false">IF('Cash Flow'!AP14=1,AP14,IF('Cash Flow'!AP13=1,MIN(AP14,$B$7*Amort/12),0))</f>
        <v>2281554.39385928</v>
      </c>
      <c r="AQ18" s="40" t="n">
        <f aca="false">IF('Cash Flow'!AQ14=1,AQ14,IF('Cash Flow'!AQ13=1,MIN(AQ14,$B$7*Amort/12),0))</f>
        <v>2281554.39385928</v>
      </c>
      <c r="AR18" s="40" t="n">
        <f aca="false">IF('Cash Flow'!AR14=1,AR14,IF('Cash Flow'!AR13=1,MIN(AR14,$B$7*Amort/12),0))</f>
        <v>2281554.39385928</v>
      </c>
      <c r="AS18" s="40" t="n">
        <f aca="false">IF('Cash Flow'!AS14=1,AS14,IF('Cash Flow'!AS13=1,MIN(AS14,$B$7*Amort/12),0))</f>
        <v>2281554.39385928</v>
      </c>
      <c r="AT18" s="40" t="n">
        <f aca="false">IF('Cash Flow'!AT14=1,AT14,IF('Cash Flow'!AT13=1,MIN(AT14,$B$7*Amort/12),0))</f>
        <v>2281554.39385928</v>
      </c>
      <c r="AU18" s="40" t="n">
        <f aca="false">IF('Cash Flow'!AU14=1,AU14,IF('Cash Flow'!AU13=1,MIN(AU14,$B$7*Amort/12),0))</f>
        <v>2281554.39385928</v>
      </c>
      <c r="AV18" s="40" t="n">
        <f aca="false">IF('Cash Flow'!AV14=1,AV14,IF('Cash Flow'!AV13=1,MIN(AV14,$B$7*Amort/12),0))</f>
        <v>2281554.39385928</v>
      </c>
      <c r="AW18" s="40" t="n">
        <f aca="false">IF('Cash Flow'!AW14=1,AW14,IF('Cash Flow'!AW13=1,MIN(AW14,$B$7*Amort/12),0))</f>
        <v>2281554.39385928</v>
      </c>
      <c r="AX18" s="40" t="n">
        <f aca="false">IF('Cash Flow'!AX14=1,AX14,IF('Cash Flow'!AX13=1,MIN(AX14,$B$7*Amort/12),0))</f>
        <v>2281554.39385928</v>
      </c>
      <c r="AY18" s="40" t="n">
        <f aca="false">IF('Cash Flow'!AY14=1,AY14,IF('Cash Flow'!AY13=1,MIN(AY14,$B$7*Amort/12),0))</f>
        <v>2281554.39385928</v>
      </c>
      <c r="AZ18" s="40" t="n">
        <f aca="false">IF('Cash Flow'!AZ14=1,AZ14,IF('Cash Flow'!AZ13=1,MIN(AZ14,$B$7*Amort/12),0))</f>
        <v>2281554.39385928</v>
      </c>
      <c r="BA18" s="40" t="n">
        <f aca="false">IF('Cash Flow'!BA14=1,BA14,IF('Cash Flow'!BA13=1,MIN(BA14,$B$7*Amort/12),0))</f>
        <v>2281554.39385928</v>
      </c>
      <c r="BB18" s="40" t="n">
        <f aca="false">IF('Cash Flow'!BB14=1,BB14,IF('Cash Flow'!BB13=1,MIN(BB14,$B$7*Amort/12),0))</f>
        <v>2281554.39385928</v>
      </c>
      <c r="BC18" s="40" t="n">
        <f aca="false">IF('Cash Flow'!BC14=1,BC14,IF('Cash Flow'!BC13=1,MIN(BC14,$B$7*Amort/12),0))</f>
        <v>2281554.39385928</v>
      </c>
      <c r="BD18" s="40" t="n">
        <f aca="false">IF('Cash Flow'!BD14=1,BD14,IF('Cash Flow'!BD13=1,MIN(BD14,$B$7*Amort/12),0))</f>
        <v>2281554.39385928</v>
      </c>
      <c r="BE18" s="40" t="n">
        <f aca="false">IF('Cash Flow'!BE14=1,BE14,IF('Cash Flow'!BE13=1,MIN(BE14,$B$7*Amort/12),0))</f>
        <v>2281554.39385928</v>
      </c>
      <c r="BF18" s="40" t="n">
        <f aca="false">IF('Cash Flow'!BF14=1,BF14,IF('Cash Flow'!BF13=1,MIN(BF14,$B$7*Amort/12),0))</f>
        <v>2281554.39385928</v>
      </c>
      <c r="BG18" s="40" t="n">
        <f aca="false">IF('Cash Flow'!BG14=1,BG14,IF('Cash Flow'!BG13=1,MIN(BG14,$B$7*Amort/12),0))</f>
        <v>2281554.39385928</v>
      </c>
      <c r="BH18" s="40" t="n">
        <f aca="false">IF('Cash Flow'!BH14=1,BH14,IF('Cash Flow'!BH13=1,MIN(BH14,$B$7*Amort/12),0))</f>
        <v>2281554.39385928</v>
      </c>
      <c r="BI18" s="40" t="n">
        <f aca="false">IF('Cash Flow'!BI14=1,BI14,IF('Cash Flow'!BI13=1,MIN(BI14,$B$7*Amort/12),0))</f>
        <v>2281554.39385928</v>
      </c>
      <c r="BJ18" s="40" t="n">
        <f aca="false">IF('Cash Flow'!BJ14=1,BJ14,IF('Cash Flow'!BJ13=1,MIN(BJ14,$B$7*Amort/12),0))</f>
        <v>2281554.39385928</v>
      </c>
      <c r="BK18" s="40" t="n">
        <f aca="false">IF('Cash Flow'!BK14=1,BK14,IF('Cash Flow'!BK13=1,MIN(BK14,$B$7*Amort/12),0))</f>
        <v>2281554.39385928</v>
      </c>
      <c r="BL18" s="40" t="n">
        <f aca="false">IF('Cash Flow'!BL14=1,BL14,IF('Cash Flow'!BL13=1,MIN(BL14,$B$7*Amort/12),0))</f>
        <v>2281554.39385928</v>
      </c>
      <c r="BM18" s="40" t="n">
        <f aca="false">IF('Cash Flow'!BM14=1,BM14,IF('Cash Flow'!BM13=1,MIN(BM14,$B$7*Amort/12),0))</f>
        <v>2281554.39385928</v>
      </c>
      <c r="BN18" s="40" t="n">
        <f aca="false">IF('Cash Flow'!BN14=1,BN14,IF('Cash Flow'!BN13=1,MIN(BN14,$B$7*Amort/12),0))</f>
        <v>2281554.39385928</v>
      </c>
      <c r="BO18" s="40" t="n">
        <f aca="false">IF('Cash Flow'!BO14=1,BO14,IF('Cash Flow'!BO13=1,MIN(BO14,$B$7*Amort/12),0))</f>
        <v>2281554.39385928</v>
      </c>
      <c r="BP18" s="40" t="n">
        <f aca="false">IF('Cash Flow'!BP14=1,BP14,IF('Cash Flow'!BP13=1,MIN(BP14,$B$7*Amort/12),0))</f>
        <v>2281554.39385928</v>
      </c>
      <c r="BQ18" s="40" t="n">
        <f aca="false">IF('Cash Flow'!BQ14=1,BQ14,IF('Cash Flow'!BQ13=1,MIN(BQ14,$B$7*Amort/12),0))</f>
        <v>2281554.39385928</v>
      </c>
      <c r="BR18" s="40" t="n">
        <f aca="false">IF('Cash Flow'!BR14=1,BR14,IF('Cash Flow'!BR13=1,MIN(BR14,$B$7*Amort/12),0))</f>
        <v>2281554.39385928</v>
      </c>
      <c r="BS18" s="40" t="n">
        <f aca="false">IF('Cash Flow'!BS14=1,BS14,IF('Cash Flow'!BS13=1,MIN(BS14,$B$7*Amort/12),0))</f>
        <v>2281554.39385928</v>
      </c>
      <c r="BT18" s="40" t="n">
        <f aca="false">IF('Cash Flow'!BT14=1,BT14,IF('Cash Flow'!BT13=1,MIN(BT14,$B$7*Amort/12),0))</f>
        <v>2281554.39385928</v>
      </c>
      <c r="BU18" s="40" t="n">
        <f aca="false">IF('Cash Flow'!BU14=1,BU14,IF('Cash Flow'!BU13=1,MIN(BU14,$B$7*Amort/12),0))</f>
        <v>2281554.39385928</v>
      </c>
      <c r="BV18" s="40" t="n">
        <f aca="false">IF('Cash Flow'!BV14=1,BV14,IF('Cash Flow'!BV13=1,MIN(BV14,$B$7*Amort/12),0))</f>
        <v>2281554.39385928</v>
      </c>
      <c r="BW18" s="40" t="n">
        <f aca="false">IF('Cash Flow'!BW14=1,BW14,IF('Cash Flow'!BW13=1,MIN(BW14,$B$7*Amort/12),0))</f>
        <v>890449619.986591</v>
      </c>
      <c r="BX18" s="40" t="n">
        <f aca="false">IF('Cash Flow'!BX14=1,BX14,IF('Cash Flow'!BX13=1,MIN(BX14,$B$7*Amort/12),0))</f>
        <v>0</v>
      </c>
      <c r="BY18" s="40" t="n">
        <f aca="false">IF('Cash Flow'!BY14=1,BY14,IF('Cash Flow'!BY13=1,MIN(BY14,$B$7*Amort/12),0))</f>
        <v>0</v>
      </c>
      <c r="BZ18" s="40" t="n">
        <f aca="false">IF('Cash Flow'!BZ14=1,BZ14,IF('Cash Flow'!BZ13=1,MIN(BZ14,$B$7*Amort/12),0))</f>
        <v>0</v>
      </c>
      <c r="CA18" s="40" t="n">
        <f aca="false">IF('Cash Flow'!CA14=1,CA14,IF('Cash Flow'!CA13=1,MIN(CA14,$B$7*Amort/12),0))</f>
        <v>0</v>
      </c>
      <c r="CB18" s="40" t="n">
        <f aca="false">IF('Cash Flow'!CB14=1,CB14,IF('Cash Flow'!CB13=1,MIN(CB14,$B$7*Amort/12),0))</f>
        <v>0</v>
      </c>
      <c r="CC18" s="40" t="n">
        <f aca="false">IF('Cash Flow'!CC14=1,CC14,IF('Cash Flow'!CC13=1,MIN(CC14,$B$7*Amort/12),0))</f>
        <v>0</v>
      </c>
      <c r="CD18" s="40" t="n">
        <f aca="false">IF('Cash Flow'!CD14=1,CD14,IF('Cash Flow'!CD13=1,MIN(CD14,$B$7*Amort/12),0))</f>
        <v>0</v>
      </c>
      <c r="CE18" s="40" t="n">
        <f aca="false">IF('Cash Flow'!CE14=1,CE14,IF('Cash Flow'!CE13=1,MIN(CE14,$B$7*Amort/12),0))</f>
        <v>0</v>
      </c>
      <c r="CF18" s="40" t="n">
        <f aca="false">IF('Cash Flow'!CF14=1,CF14,IF('Cash Flow'!CF13=1,MIN(CF14,$B$7*Amort/12),0))</f>
        <v>0</v>
      </c>
      <c r="CG18" s="40" t="n">
        <f aca="false">IF('Cash Flow'!CG14=1,CG14,IF('Cash Flow'!CG13=1,MIN(CG14,$B$7*Amort/12),0))</f>
        <v>0</v>
      </c>
      <c r="CH18" s="40" t="n">
        <f aca="false">IF('Cash Flow'!CH14=1,CH14,IF('Cash Flow'!CH13=1,MIN(CH14,$B$7*Amort/12),0))</f>
        <v>0</v>
      </c>
      <c r="CI18" s="40" t="n">
        <f aca="false">IF('Cash Flow'!CI14=1,CI14,IF('Cash Flow'!CI13=1,MIN(CI14,$B$7*Amort/12),0))</f>
        <v>0</v>
      </c>
      <c r="CJ18" s="40" t="n">
        <f aca="false">IF('Cash Flow'!CJ14=1,CJ14,IF('Cash Flow'!CJ13=1,MIN(CJ14,$B$7*Amort/12),0))</f>
        <v>0</v>
      </c>
      <c r="CK18" s="40" t="n">
        <f aca="false">IF('Cash Flow'!CK14=1,CK14,IF('Cash Flow'!CK13=1,MIN(CK14,$B$7*Amort/12),0))</f>
        <v>0</v>
      </c>
      <c r="CL18" s="40" t="n">
        <f aca="false">IF('Cash Flow'!CL14=1,CL14,IF('Cash Flow'!CL13=1,MIN(CL14,$B$7*Amort/12),0))</f>
        <v>0</v>
      </c>
      <c r="CM18" s="40" t="n">
        <f aca="false">IF('Cash Flow'!CM14=1,CM14,IF('Cash Flow'!CM13=1,MIN(CM14,$B$7*Amort/12),0))</f>
        <v>0</v>
      </c>
      <c r="CN18" s="40" t="n">
        <f aca="false">IF('Cash Flow'!CN14=1,CN14,IF('Cash Flow'!CN13=1,MIN(CN14,$B$7*Amort/12),0))</f>
        <v>0</v>
      </c>
      <c r="CO18" s="40" t="n">
        <f aca="false">IF('Cash Flow'!CO14=1,CO14,IF('Cash Flow'!CO13=1,MIN(CO14,$B$7*Amort/12),0))</f>
        <v>0</v>
      </c>
      <c r="CP18" s="40" t="n">
        <f aca="false">IF('Cash Flow'!CP14=1,CP14,IF('Cash Flow'!CP13=1,MIN(CP14,$B$7*Amort/12),0))</f>
        <v>0</v>
      </c>
      <c r="CQ18" s="40" t="n">
        <f aca="false">IF('Cash Flow'!CQ14=1,CQ14,IF('Cash Flow'!CQ13=1,MIN(CQ14,$B$7*Amort/12),0))</f>
        <v>0</v>
      </c>
      <c r="CR18" s="40" t="n">
        <f aca="false">IF('Cash Flow'!CR14=1,CR14,IF('Cash Flow'!CR13=1,MIN(CR14,$B$7*Amort/12),0))</f>
        <v>0</v>
      </c>
      <c r="CS18" s="40" t="n">
        <f aca="false">IF('Cash Flow'!CS14=1,CS14,IF('Cash Flow'!CS13=1,MIN(CS14,$B$7*Amort/12),0))</f>
        <v>0</v>
      </c>
      <c r="CT18" s="40" t="n">
        <f aca="false">IF('Cash Flow'!CT14=1,CT14,IF('Cash Flow'!CT13=1,MIN(CT14,$B$7*Amort/12),0))</f>
        <v>0</v>
      </c>
      <c r="CU18" s="40" t="n">
        <f aca="false">IF('Cash Flow'!CU14=1,CU14,IF('Cash Flow'!CU13=1,MIN(CU14,$B$7*Amort/12),0))</f>
        <v>0</v>
      </c>
    </row>
    <row r="19" customFormat="false" ht="15" hidden="false" customHeight="false" outlineLevel="0" collapsed="false">
      <c r="A19" s="15" t="s">
        <v>165</v>
      </c>
      <c r="C19" s="40" t="n">
        <f aca="false">C14+C13+C15-C18</f>
        <v>0</v>
      </c>
      <c r="D19" s="40" t="n">
        <f aca="false">D14+D13+D15-D18</f>
        <v>0</v>
      </c>
      <c r="E19" s="40" t="n">
        <f aca="false">E14+E13+E15-E18</f>
        <v>0</v>
      </c>
      <c r="F19" s="40" t="n">
        <f aca="false">F14+F13+F15-F18</f>
        <v>0</v>
      </c>
      <c r="G19" s="40" t="n">
        <f aca="false">G14+G13+G15-G18</f>
        <v>0</v>
      </c>
      <c r="H19" s="40" t="n">
        <f aca="false">H14+H13+H15-H18</f>
        <v>0</v>
      </c>
      <c r="I19" s="40" t="n">
        <f aca="false">I14+I13+I15-I18</f>
        <v>0</v>
      </c>
      <c r="J19" s="40" t="n">
        <f aca="false">J14+J13+J15-J18</f>
        <v>0</v>
      </c>
      <c r="K19" s="40" t="n">
        <f aca="false">K14+K13+K15-K18</f>
        <v>0</v>
      </c>
      <c r="L19" s="40" t="n">
        <f aca="false">L14+L13+L15-L18</f>
        <v>0</v>
      </c>
      <c r="M19" s="40" t="n">
        <f aca="false">M14+M13+M15-M18</f>
        <v>0</v>
      </c>
      <c r="N19" s="40" t="n">
        <f aca="false">N14+N13+N15-N18</f>
        <v>0</v>
      </c>
      <c r="O19" s="40" t="n">
        <f aca="false">O14+O13+O15-O18</f>
        <v>33225744.6673598</v>
      </c>
      <c r="P19" s="40" t="n">
        <f aca="false">P14+P13+P15-P18</f>
        <v>101660649.352278</v>
      </c>
      <c r="Q19" s="40" t="n">
        <f aca="false">Q14+Q13+Q15-Q18</f>
        <v>172099930.192492</v>
      </c>
      <c r="R19" s="40" t="n">
        <f aca="false">R14+R13+R15-R18</f>
        <v>243793147.328692</v>
      </c>
      <c r="S19" s="40" t="n">
        <f aca="false">S14+S13+S15-S18</f>
        <v>315976268.115322</v>
      </c>
      <c r="T19" s="40" t="n">
        <f aca="false">T14+T13+T15-T18</f>
        <v>387880039.017084</v>
      </c>
      <c r="U19" s="40" t="n">
        <f aca="false">U14+U13+U15-U18</f>
        <v>458738414.713392</v>
      </c>
      <c r="V19" s="40" t="n">
        <f aca="false">V14+V13+V15-V18</f>
        <v>527796952.0598</v>
      </c>
      <c r="W19" s="40" t="n">
        <f aca="false">W14+W13+W15-W18</f>
        <v>594321076.940459</v>
      </c>
      <c r="X19" s="40" t="n">
        <f aca="false">X14+X13+X15-X18</f>
        <v>657604133.438272</v>
      </c>
      <c r="Y19" s="40" t="n">
        <f aca="false">Y14+Y13+Y15-Y18</f>
        <v>716975127.134406</v>
      </c>
      <c r="Z19" s="40" t="n">
        <f aca="false">Z14+Z13+Z15-Z18</f>
        <v>771806077.70001</v>
      </c>
      <c r="AA19" s="40" t="n">
        <f aca="false">AA14+AA13+AA15-AA18</f>
        <v>821518900.223632</v>
      </c>
      <c r="AB19" s="40" t="n">
        <f aca="false">AB14+AB13+AB15-AB18</f>
        <v>865591739.881143</v>
      </c>
      <c r="AC19" s="40" t="n">
        <f aca="false">AC14+AC13+AC15-AC18</f>
        <v>903564690.544232</v>
      </c>
      <c r="AD19" s="40" t="n">
        <f aca="false">AD14+AD13+AD15-AD18</f>
        <v>935044834.673253</v>
      </c>
      <c r="AE19" s="40" t="n">
        <f aca="false">AE14+AE13+AE15-AE18</f>
        <v>959710549.276359</v>
      </c>
      <c r="AF19" s="40" t="n">
        <f aca="false">AF14+AF13+AF15-AF18</f>
        <v>977315030.757975</v>
      </c>
      <c r="AG19" s="40" t="n">
        <f aca="false">AG14+AG13+AG15-AG18</f>
        <v>983993350.134821</v>
      </c>
      <c r="AH19" s="40" t="n">
        <f aca="false">AH14+AH13+AH15-AH18</f>
        <v>981711795.740962</v>
      </c>
      <c r="AI19" s="40" t="n">
        <f aca="false">AI14+AI13+AI15-AI18</f>
        <v>979430241.347103</v>
      </c>
      <c r="AJ19" s="40" t="n">
        <f aca="false">AJ14+AJ13+AJ15-AJ18</f>
        <v>977148686.953243</v>
      </c>
      <c r="AK19" s="40" t="n">
        <f aca="false">AK14+AK13+AK15-AK18</f>
        <v>974867132.559384</v>
      </c>
      <c r="AL19" s="40" t="n">
        <f aca="false">AL14+AL13+AL15-AL18</f>
        <v>972585578.165525</v>
      </c>
      <c r="AM19" s="40" t="n">
        <f aca="false">AM14+AM13+AM15-AM18</f>
        <v>970304023.771666</v>
      </c>
      <c r="AN19" s="40" t="n">
        <f aca="false">AN14+AN13+AN15-AN18</f>
        <v>968022469.377806</v>
      </c>
      <c r="AO19" s="40" t="n">
        <f aca="false">AO14+AO13+AO15-AO18</f>
        <v>965740914.983947</v>
      </c>
      <c r="AP19" s="40" t="n">
        <f aca="false">AP14+AP13+AP15-AP18</f>
        <v>963459360.590088</v>
      </c>
      <c r="AQ19" s="40" t="n">
        <f aca="false">AQ14+AQ13+AQ15-AQ18</f>
        <v>961177806.196229</v>
      </c>
      <c r="AR19" s="40" t="n">
        <f aca="false">AR14+AR13+AR15-AR18</f>
        <v>958896251.802369</v>
      </c>
      <c r="AS19" s="40" t="n">
        <f aca="false">AS14+AS13+AS15-AS18</f>
        <v>956614697.40851</v>
      </c>
      <c r="AT19" s="40" t="n">
        <f aca="false">AT14+AT13+AT15-AT18</f>
        <v>954333143.014651</v>
      </c>
      <c r="AU19" s="40" t="n">
        <f aca="false">AU14+AU13+AU15-AU18</f>
        <v>952051588.620791</v>
      </c>
      <c r="AV19" s="40" t="n">
        <f aca="false">AV14+AV13+AV15-AV18</f>
        <v>949770034.226932</v>
      </c>
      <c r="AW19" s="40" t="n">
        <f aca="false">AW14+AW13+AW15-AW18</f>
        <v>947488479.833073</v>
      </c>
      <c r="AX19" s="40" t="n">
        <f aca="false">AX14+AX13+AX15-AX18</f>
        <v>945206925.439214</v>
      </c>
      <c r="AY19" s="40" t="n">
        <f aca="false">AY14+AY13+AY15-AY18</f>
        <v>942925371.045354</v>
      </c>
      <c r="AZ19" s="40" t="n">
        <f aca="false">AZ14+AZ13+AZ15-AZ18</f>
        <v>940643816.651495</v>
      </c>
      <c r="BA19" s="40" t="n">
        <f aca="false">BA14+BA13+BA15-BA18</f>
        <v>938362262.257636</v>
      </c>
      <c r="BB19" s="40" t="n">
        <f aca="false">BB14+BB13+BB15-BB18</f>
        <v>936080707.863777</v>
      </c>
      <c r="BC19" s="40" t="n">
        <f aca="false">BC14+BC13+BC15-BC18</f>
        <v>933799153.469917</v>
      </c>
      <c r="BD19" s="40" t="n">
        <f aca="false">BD14+BD13+BD15-BD18</f>
        <v>931517599.076058</v>
      </c>
      <c r="BE19" s="40" t="n">
        <f aca="false">BE14+BE13+BE15-BE18</f>
        <v>929236044.682199</v>
      </c>
      <c r="BF19" s="40" t="n">
        <f aca="false">BF14+BF13+BF15-BF18</f>
        <v>926954490.28834</v>
      </c>
      <c r="BG19" s="40" t="n">
        <f aca="false">BG14+BG13+BG15-BG18</f>
        <v>924672935.89448</v>
      </c>
      <c r="BH19" s="40" t="n">
        <f aca="false">BH14+BH13+BH15-BH18</f>
        <v>922391381.500621</v>
      </c>
      <c r="BI19" s="40" t="n">
        <f aca="false">BI14+BI13+BI15-BI18</f>
        <v>920109827.106762</v>
      </c>
      <c r="BJ19" s="40" t="n">
        <f aca="false">BJ14+BJ13+BJ15-BJ18</f>
        <v>917828272.712902</v>
      </c>
      <c r="BK19" s="40" t="n">
        <f aca="false">BK14+BK13+BK15-BK18</f>
        <v>915546718.319043</v>
      </c>
      <c r="BL19" s="40" t="n">
        <f aca="false">BL14+BL13+BL15-BL18</f>
        <v>913265163.925184</v>
      </c>
      <c r="BM19" s="40" t="n">
        <f aca="false">BM14+BM13+BM15-BM18</f>
        <v>910983609.531325</v>
      </c>
      <c r="BN19" s="40" t="n">
        <f aca="false">BN14+BN13+BN15-BN18</f>
        <v>908702055.137465</v>
      </c>
      <c r="BO19" s="40" t="n">
        <f aca="false">BO14+BO13+BO15-BO18</f>
        <v>906420500.743606</v>
      </c>
      <c r="BP19" s="40" t="n">
        <f aca="false">BP14+BP13+BP15-BP18</f>
        <v>904138946.349747</v>
      </c>
      <c r="BQ19" s="40" t="n">
        <f aca="false">BQ14+BQ13+BQ15-BQ18</f>
        <v>901857391.955888</v>
      </c>
      <c r="BR19" s="40" t="n">
        <f aca="false">BR14+BR13+BR15-BR18</f>
        <v>899575837.562028</v>
      </c>
      <c r="BS19" s="40" t="n">
        <f aca="false">BS14+BS13+BS15-BS18</f>
        <v>897294283.168169</v>
      </c>
      <c r="BT19" s="40" t="n">
        <f aca="false">BT14+BT13+BT15-BT18</f>
        <v>895012728.77431</v>
      </c>
      <c r="BU19" s="40" t="n">
        <f aca="false">BU14+BU13+BU15-BU18</f>
        <v>892731174.380451</v>
      </c>
      <c r="BV19" s="40" t="n">
        <f aca="false">BV14+BV13+BV15-BV18</f>
        <v>890449619.986591</v>
      </c>
      <c r="BW19" s="40" t="n">
        <f aca="false">BW14+BW13+BW15-BW18</f>
        <v>0</v>
      </c>
      <c r="BX19" s="40" t="n">
        <f aca="false">BX14+BX13+BX15-BX18</f>
        <v>0</v>
      </c>
      <c r="BY19" s="40" t="n">
        <f aca="false">BY14+BY13+BY15-BY18</f>
        <v>0</v>
      </c>
      <c r="BZ19" s="40" t="n">
        <f aca="false">BZ14+BZ13+BZ15-BZ18</f>
        <v>0</v>
      </c>
      <c r="CA19" s="40" t="n">
        <f aca="false">CA14+CA13+CA15-CA18</f>
        <v>0</v>
      </c>
      <c r="CB19" s="40" t="n">
        <f aca="false">CB14+CB13+CB15-CB18</f>
        <v>0</v>
      </c>
      <c r="CC19" s="40" t="n">
        <f aca="false">CC14+CC13+CC15-CC18</f>
        <v>0</v>
      </c>
      <c r="CD19" s="40" t="n">
        <f aca="false">CD14+CD13+CD15-CD18</f>
        <v>0</v>
      </c>
      <c r="CE19" s="40" t="n">
        <f aca="false">CE14+CE13+CE15-CE18</f>
        <v>0</v>
      </c>
      <c r="CF19" s="40" t="n">
        <f aca="false">CF14+CF13+CF15-CF18</f>
        <v>0</v>
      </c>
      <c r="CG19" s="40" t="n">
        <f aca="false">CG14+CG13+CG15-CG18</f>
        <v>0</v>
      </c>
      <c r="CH19" s="40" t="n">
        <f aca="false">CH14+CH13+CH15-CH18</f>
        <v>0</v>
      </c>
      <c r="CI19" s="40" t="n">
        <f aca="false">CI14+CI13+CI15-CI18</f>
        <v>0</v>
      </c>
      <c r="CJ19" s="40" t="n">
        <f aca="false">CJ14+CJ13+CJ15-CJ18</f>
        <v>0</v>
      </c>
      <c r="CK19" s="40" t="n">
        <f aca="false">CK14+CK13+CK15-CK18</f>
        <v>0</v>
      </c>
      <c r="CL19" s="40" t="n">
        <f aca="false">CL14+CL13+CL15-CL18</f>
        <v>0</v>
      </c>
      <c r="CM19" s="40" t="n">
        <f aca="false">CM14+CM13+CM15-CM18</f>
        <v>0</v>
      </c>
      <c r="CN19" s="40" t="n">
        <f aca="false">CN14+CN13+CN15-CN18</f>
        <v>0</v>
      </c>
      <c r="CO19" s="40" t="n">
        <f aca="false">CO14+CO13+CO15-CO18</f>
        <v>0</v>
      </c>
      <c r="CP19" s="40" t="n">
        <f aca="false">CP14+CP13+CP15-CP18</f>
        <v>0</v>
      </c>
      <c r="CQ19" s="40" t="n">
        <f aca="false">CQ14+CQ13+CQ15-CQ18</f>
        <v>0</v>
      </c>
      <c r="CR19" s="40" t="n">
        <f aca="false">CR14+CR13+CR15-CR18</f>
        <v>0</v>
      </c>
      <c r="CS19" s="40" t="n">
        <f aca="false">CS14+CS13+CS15-CS18</f>
        <v>0</v>
      </c>
      <c r="CT19" s="40" t="n">
        <f aca="false">CT14+CT13+CT15-CT18</f>
        <v>0</v>
      </c>
      <c r="CU19" s="40" t="n">
        <f aca="false">CU14+CU13+CU15-CU18</f>
        <v>0</v>
      </c>
    </row>
    <row r="20" customFormat="false" ht="15" hidden="false" customHeight="false" outlineLevel="0" collapsed="false">
      <c r="A20" s="15" t="s">
        <v>166</v>
      </c>
      <c r="C20" s="45" t="n">
        <f aca="false">IF(AND('Cash Flow'!C13=1,'Cash Flow'!C9&gt;=BuildMonths+LeaseUp+12,'Cash Flow'!C14=0),C22/MAX(1,SUM(C17:C17)+SUM(C18:C18)),0)</f>
        <v>0</v>
      </c>
      <c r="D20" s="45" t="n">
        <f aca="false">IF(AND('Cash Flow'!D13=1,'Cash Flow'!D9&gt;=BuildMonths+LeaseUp+12,'Cash Flow'!D14=0),D22/MAX(1,SUM(C17:D17)+SUM(C18:D18)),0)</f>
        <v>0</v>
      </c>
      <c r="E20" s="45" t="n">
        <f aca="false">IF(AND('Cash Flow'!E13=1,'Cash Flow'!E9&gt;=BuildMonths+LeaseUp+12,'Cash Flow'!E14=0),E22/MAX(1,SUM(C17:E17)+SUM(C18:E18)),0)</f>
        <v>0</v>
      </c>
      <c r="F20" s="45" t="n">
        <f aca="false">IF(AND('Cash Flow'!F13=1,'Cash Flow'!F9&gt;=BuildMonths+LeaseUp+12,'Cash Flow'!F14=0),F22/MAX(1,SUM(C17:F17)+SUM(C18:F18)),0)</f>
        <v>0</v>
      </c>
      <c r="G20" s="45" t="n">
        <f aca="false">IF(AND('Cash Flow'!G13=1,'Cash Flow'!G9&gt;=BuildMonths+LeaseUp+12,'Cash Flow'!G14=0),G22/MAX(1,SUM(C17:G17)+SUM(C18:G18)),0)</f>
        <v>0</v>
      </c>
      <c r="H20" s="45" t="n">
        <f aca="false">IF(AND('Cash Flow'!H13=1,'Cash Flow'!H9&gt;=BuildMonths+LeaseUp+12,'Cash Flow'!H14=0),H22/MAX(1,SUM(C17:H17)+SUM(C18:H18)),0)</f>
        <v>0</v>
      </c>
      <c r="I20" s="45" t="n">
        <f aca="false">IF(AND('Cash Flow'!I13=1,'Cash Flow'!I9&gt;=BuildMonths+LeaseUp+12,'Cash Flow'!I14=0),I22/MAX(1,SUM(C17:I17)+SUM(C18:I18)),0)</f>
        <v>0</v>
      </c>
      <c r="J20" s="45" t="n">
        <f aca="false">IF(AND('Cash Flow'!J13=1,'Cash Flow'!J9&gt;=BuildMonths+LeaseUp+12,'Cash Flow'!J14=0),J22/MAX(1,SUM(C17:J17)+SUM(C18:J18)),0)</f>
        <v>0</v>
      </c>
      <c r="K20" s="45" t="n">
        <f aca="false">IF(AND('Cash Flow'!K13=1,'Cash Flow'!K9&gt;=BuildMonths+LeaseUp+12,'Cash Flow'!K14=0),K22/MAX(1,SUM(C17:K17)+SUM(C18:K18)),0)</f>
        <v>0</v>
      </c>
      <c r="L20" s="45" t="n">
        <f aca="false">IF(AND('Cash Flow'!L13=1,'Cash Flow'!L9&gt;=BuildMonths+LeaseUp+12,'Cash Flow'!L14=0),L22/MAX(1,SUM(C17:L17)+SUM(C18:L18)),0)</f>
        <v>0</v>
      </c>
      <c r="M20" s="45" t="n">
        <f aca="false">IF(AND('Cash Flow'!M13=1,'Cash Flow'!M9&gt;=BuildMonths+LeaseUp+12,'Cash Flow'!M14=0),M22/MAX(1,SUM(C17:M17)+SUM(C18:M18)),0)</f>
        <v>0</v>
      </c>
      <c r="N20" s="45" t="n">
        <f aca="false">IF(AND('Cash Flow'!N13=1,'Cash Flow'!N9&gt;=BuildMonths+LeaseUp+12,'Cash Flow'!N14=0),N22/MAX(1,SUM(C17:N17)+SUM(C18:N18)),0)</f>
        <v>0</v>
      </c>
      <c r="O20" s="45" t="n">
        <f aca="false">IF(AND('Cash Flow'!O13=1,'Cash Flow'!O9&gt;=BuildMonths+LeaseUp+12,'Cash Flow'!O14=0),O22/MAX(1,SUM(D17:O17)+SUM(D18:O18)),0)</f>
        <v>0</v>
      </c>
      <c r="P20" s="45" t="n">
        <f aca="false">IF(AND('Cash Flow'!P13=1,'Cash Flow'!P9&gt;=BuildMonths+LeaseUp+12,'Cash Flow'!P14=0),P22/MAX(1,SUM(E17:P17)+SUM(E18:P18)),0)</f>
        <v>0</v>
      </c>
      <c r="Q20" s="45" t="n">
        <f aca="false">IF(AND('Cash Flow'!Q13=1,'Cash Flow'!Q9&gt;=BuildMonths+LeaseUp+12,'Cash Flow'!Q14=0),Q22/MAX(1,SUM(F17:Q17)+SUM(F18:Q18)),0)</f>
        <v>0</v>
      </c>
      <c r="R20" s="45" t="n">
        <f aca="false">IF(AND('Cash Flow'!R13=1,'Cash Flow'!R9&gt;=BuildMonths+LeaseUp+12,'Cash Flow'!R14=0),R22/MAX(1,SUM(G17:R17)+SUM(G18:R18)),0)</f>
        <v>0</v>
      </c>
      <c r="S20" s="45" t="n">
        <f aca="false">IF(AND('Cash Flow'!S13=1,'Cash Flow'!S9&gt;=BuildMonths+LeaseUp+12,'Cash Flow'!S14=0),S22/MAX(1,SUM(H17:S17)+SUM(H18:S18)),0)</f>
        <v>0</v>
      </c>
      <c r="T20" s="45" t="n">
        <f aca="false">IF(AND('Cash Flow'!T13=1,'Cash Flow'!T9&gt;=BuildMonths+LeaseUp+12,'Cash Flow'!T14=0),T22/MAX(1,SUM(I17:T17)+SUM(I18:T18)),0)</f>
        <v>0</v>
      </c>
      <c r="U20" s="45" t="n">
        <f aca="false">IF(AND('Cash Flow'!U13=1,'Cash Flow'!U9&gt;=BuildMonths+LeaseUp+12,'Cash Flow'!U14=0),U22/MAX(1,SUM(J17:U17)+SUM(J18:U18)),0)</f>
        <v>0</v>
      </c>
      <c r="V20" s="45" t="n">
        <f aca="false">IF(AND('Cash Flow'!V13=1,'Cash Flow'!V9&gt;=BuildMonths+LeaseUp+12,'Cash Flow'!V14=0),V22/MAX(1,SUM(K17:V17)+SUM(K18:V18)),0)</f>
        <v>0</v>
      </c>
      <c r="W20" s="45" t="n">
        <f aca="false">IF(AND('Cash Flow'!W13=1,'Cash Flow'!W9&gt;=BuildMonths+LeaseUp+12,'Cash Flow'!W14=0),W22/MAX(1,SUM(L17:W17)+SUM(L18:W18)),0)</f>
        <v>0</v>
      </c>
      <c r="X20" s="45" t="n">
        <f aca="false">IF(AND('Cash Flow'!X13=1,'Cash Flow'!X9&gt;=BuildMonths+LeaseUp+12,'Cash Flow'!X14=0),X22/MAX(1,SUM(M17:X17)+SUM(M18:X18)),0)</f>
        <v>0</v>
      </c>
      <c r="Y20" s="45" t="n">
        <f aca="false">IF(AND('Cash Flow'!Y13=1,'Cash Flow'!Y9&gt;=BuildMonths+LeaseUp+12,'Cash Flow'!Y14=0),Y22/MAX(1,SUM(N17:Y17)+SUM(N18:Y18)),0)</f>
        <v>0</v>
      </c>
      <c r="Z20" s="45" t="n">
        <f aca="false">IF(AND('Cash Flow'!Z13=1,'Cash Flow'!Z9&gt;=BuildMonths+LeaseUp+12,'Cash Flow'!Z14=0),Z22/MAX(1,SUM(O17:Z17)+SUM(O18:Z18)),0)</f>
        <v>0</v>
      </c>
      <c r="AA20" s="45" t="n">
        <f aca="false">IF(AND('Cash Flow'!AA13=1,'Cash Flow'!AA9&gt;=BuildMonths+LeaseUp+12,'Cash Flow'!AA14=0),AA22/MAX(1,SUM(P17:AA17)+SUM(P18:AA18)),0)</f>
        <v>0</v>
      </c>
      <c r="AB20" s="45" t="n">
        <f aca="false">IF(AND('Cash Flow'!AB13=1,'Cash Flow'!AB9&gt;=BuildMonths+LeaseUp+12,'Cash Flow'!AB14=0),AB22/MAX(1,SUM(Q17:AB17)+SUM(Q18:AB18)),0)</f>
        <v>0</v>
      </c>
      <c r="AC20" s="45" t="n">
        <f aca="false">IF(AND('Cash Flow'!AC13=1,'Cash Flow'!AC9&gt;=BuildMonths+LeaseUp+12,'Cash Flow'!AC14=0),AC22/MAX(1,SUM(R17:AC17)+SUM(R18:AC18)),0)</f>
        <v>0</v>
      </c>
      <c r="AD20" s="45" t="n">
        <f aca="false">IF(AND('Cash Flow'!AD13=1,'Cash Flow'!AD9&gt;=BuildMonths+LeaseUp+12,'Cash Flow'!AD14=0),AD22/MAX(1,SUM(S17:AD17)+SUM(S18:AD18)),0)</f>
        <v>0</v>
      </c>
      <c r="AE20" s="45" t="n">
        <f aca="false">IF(AND('Cash Flow'!AE13=1,'Cash Flow'!AE9&gt;=BuildMonths+LeaseUp+12,'Cash Flow'!AE14=0),AE22/MAX(1,SUM(T17:AE17)+SUM(T18:AE18)),0)</f>
        <v>0</v>
      </c>
      <c r="AF20" s="45" t="n">
        <f aca="false">IF(AND('Cash Flow'!AF13=1,'Cash Flow'!AF9&gt;=BuildMonths+LeaseUp+12,'Cash Flow'!AF14=0),AF22/MAX(1,SUM(U17:AF17)+SUM(U18:AF18)),0)</f>
        <v>0</v>
      </c>
      <c r="AG20" s="45" t="n">
        <f aca="false">IF(AND('Cash Flow'!AG13=1,'Cash Flow'!AG9&gt;=BuildMonths+LeaseUp+12,'Cash Flow'!AG14=0),AG22/MAX(1,SUM(V17:AG17)+SUM(V18:AG18)),0)</f>
        <v>0</v>
      </c>
      <c r="AH20" s="45" t="n">
        <f aca="false">IF(AND('Cash Flow'!AH13=1,'Cash Flow'!AH9&gt;=BuildMonths+LeaseUp+12,'Cash Flow'!AH14=0),AH22/MAX(1,SUM(W17:AH17)+SUM(W18:AH18)),0)</f>
        <v>0</v>
      </c>
      <c r="AI20" s="45" t="n">
        <f aca="false">IF(AND('Cash Flow'!AI13=1,'Cash Flow'!AI9&gt;=BuildMonths+LeaseUp+12,'Cash Flow'!AI14=0),AI22/MAX(1,SUM(X17:AI17)+SUM(X18:AI18)),0)</f>
        <v>0</v>
      </c>
      <c r="AJ20" s="45" t="n">
        <f aca="false">IF(AND('Cash Flow'!AJ13=1,'Cash Flow'!AJ9&gt;=BuildMonths+LeaseUp+12,'Cash Flow'!AJ14=0),AJ22/MAX(1,SUM(Y17:AJ17)+SUM(Y18:AJ18)),0)</f>
        <v>0</v>
      </c>
      <c r="AK20" s="45" t="n">
        <f aca="false">IF(AND('Cash Flow'!AK13=1,'Cash Flow'!AK9&gt;=BuildMonths+LeaseUp+12,'Cash Flow'!AK14=0),AK22/MAX(1,SUM(Z17:AK17)+SUM(Z18:AK18)),0)</f>
        <v>0</v>
      </c>
      <c r="AL20" s="45" t="n">
        <f aca="false">IF(AND('Cash Flow'!AL13=1,'Cash Flow'!AL9&gt;=BuildMonths+LeaseUp+12,'Cash Flow'!AL14=0),AL22/MAX(1,SUM(AA17:AL17)+SUM(AA18:AL18)),0)</f>
        <v>0</v>
      </c>
      <c r="AM20" s="45" t="n">
        <f aca="false">IF(AND('Cash Flow'!AM13=1,'Cash Flow'!AM9&gt;=BuildMonths+LeaseUp+12,'Cash Flow'!AM14=0),AM22/MAX(1,SUM(AB17:AM17)+SUM(AB18:AM18)),0)</f>
        <v>0</v>
      </c>
      <c r="AN20" s="45" t="n">
        <f aca="false">IF(AND('Cash Flow'!AN13=1,'Cash Flow'!AN9&gt;=BuildMonths+LeaseUp+12,'Cash Flow'!AN14=0),AN22/MAX(1,SUM(AC17:AN17)+SUM(AC18:AN18)),0)</f>
        <v>0</v>
      </c>
      <c r="AO20" s="45" t="n">
        <f aca="false">IF(AND('Cash Flow'!AO13=1,'Cash Flow'!AO9&gt;=BuildMonths+LeaseUp+12,'Cash Flow'!AO14=0),AO22/MAX(1,SUM(AD17:AO17)+SUM(AD18:AO18)),0)</f>
        <v>0</v>
      </c>
      <c r="AP20" s="45" t="n">
        <f aca="false">IF(AND('Cash Flow'!AP13=1,'Cash Flow'!AP9&gt;=BuildMonths+LeaseUp+12,'Cash Flow'!AP14=0),AP22/MAX(1,SUM(AE17:AP17)+SUM(AE18:AP18)),0)</f>
        <v>0</v>
      </c>
      <c r="AQ20" s="45" t="n">
        <f aca="false">IF(AND('Cash Flow'!AQ13=1,'Cash Flow'!AQ9&gt;=BuildMonths+LeaseUp+12,'Cash Flow'!AQ14=0),AQ22/MAX(1,SUM(AF17:AQ17)+SUM(AF18:AQ18)),0)</f>
        <v>0</v>
      </c>
      <c r="AR20" s="45" t="n">
        <f aca="false">IF(AND('Cash Flow'!AR13=1,'Cash Flow'!AR9&gt;=BuildMonths+LeaseUp+12,'Cash Flow'!AR14=0),AR22/MAX(1,SUM(AG17:AR17)+SUM(AG18:AR18)),0)</f>
        <v>0</v>
      </c>
      <c r="AS20" s="45" t="n">
        <f aca="false">IF(AND('Cash Flow'!AS13=1,'Cash Flow'!AS9&gt;=BuildMonths+LeaseUp+12,'Cash Flow'!AS14=0),AS22/MAX(1,SUM(AH17:AS17)+SUM(AH18:AS18)),0)</f>
        <v>0</v>
      </c>
      <c r="AT20" s="45" t="n">
        <f aca="false">IF(AND('Cash Flow'!AT13=1,'Cash Flow'!AT9&gt;=BuildMonths+LeaseUp+12,'Cash Flow'!AT14=0),AT22/MAX(1,SUM(AI17:AT17)+SUM(AI18:AT18)),0)</f>
        <v>0</v>
      </c>
      <c r="AU20" s="45" t="n">
        <f aca="false">IF(AND('Cash Flow'!AU13=1,'Cash Flow'!AU9&gt;=BuildMonths+LeaseUp+12,'Cash Flow'!AU14=0),AU22/MAX(1,SUM(AJ17:AU17)+SUM(AJ18:AU18)),0)</f>
        <v>0</v>
      </c>
      <c r="AV20" s="45" t="n">
        <f aca="false">IF(AND('Cash Flow'!AV13=1,'Cash Flow'!AV9&gt;=BuildMonths+LeaseUp+12,'Cash Flow'!AV14=0),AV22/MAX(1,SUM(AK17:AV17)+SUM(AK18:AV18)),0)</f>
        <v>0</v>
      </c>
      <c r="AW20" s="45" t="n">
        <f aca="false">IF(AND('Cash Flow'!AW13=1,'Cash Flow'!AW9&gt;=BuildMonths+LeaseUp+12,'Cash Flow'!AW14=0),AW22/MAX(1,SUM(AL17:AW17)+SUM(AL18:AW18)),0)</f>
        <v>0</v>
      </c>
      <c r="AX20" s="45" t="n">
        <f aca="false">IF(AND('Cash Flow'!AX13=1,'Cash Flow'!AX9&gt;=BuildMonths+LeaseUp+12,'Cash Flow'!AX14=0),AX22/MAX(1,SUM(AM17:AX17)+SUM(AM18:AX18)),0)</f>
        <v>0</v>
      </c>
      <c r="AY20" s="45" t="n">
        <f aca="false">IF(AND('Cash Flow'!AY13=1,'Cash Flow'!AY9&gt;=BuildMonths+LeaseUp+12,'Cash Flow'!AY14=0),AY22/MAX(1,SUM(AN17:AY17)+SUM(AN18:AY18)),0)</f>
        <v>0</v>
      </c>
      <c r="AZ20" s="45" t="n">
        <f aca="false">IF(AND('Cash Flow'!AZ13=1,'Cash Flow'!AZ9&gt;=BuildMonths+LeaseUp+12,'Cash Flow'!AZ14=0),AZ22/MAX(1,SUM(AO17:AZ17)+SUM(AO18:AZ18)),0)</f>
        <v>0</v>
      </c>
      <c r="BA20" s="45" t="n">
        <f aca="false">IF(AND('Cash Flow'!BA13=1,'Cash Flow'!BA9&gt;=BuildMonths+LeaseUp+12,'Cash Flow'!BA14=0),BA22/MAX(1,SUM(AP17:BA17)+SUM(AP18:BA18)),0)</f>
        <v>0</v>
      </c>
      <c r="BB20" s="45" t="n">
        <f aca="false">IF(AND('Cash Flow'!BB13=1,'Cash Flow'!BB9&gt;=BuildMonths+LeaseUp+12,'Cash Flow'!BB14=0),BB22/MAX(1,SUM(AQ17:BB17)+SUM(AQ18:BB18)),0)</f>
        <v>0</v>
      </c>
      <c r="BC20" s="45" t="n">
        <f aca="false">IF(AND('Cash Flow'!BC13=1,'Cash Flow'!BC9&gt;=BuildMonths+LeaseUp+12,'Cash Flow'!BC14=0),BC22/MAX(1,SUM(AR17:BC17)+SUM(AR18:BC18)),0)</f>
        <v>0</v>
      </c>
      <c r="BD20" s="45" t="n">
        <f aca="false">IF(AND('Cash Flow'!BD13=1,'Cash Flow'!BD9&gt;=BuildMonths+LeaseUp+12,'Cash Flow'!BD14=0),BD22/MAX(1,SUM(AS17:BD17)+SUM(AS18:BD18)),0)</f>
        <v>0</v>
      </c>
      <c r="BE20" s="45" t="n">
        <f aca="false">IF(AND('Cash Flow'!BE13=1,'Cash Flow'!BE9&gt;=BuildMonths+LeaseUp+12,'Cash Flow'!BE14=0),BE22/MAX(1,SUM(AT17:BE17)+SUM(AT18:BE18)),0)</f>
        <v>0</v>
      </c>
      <c r="BF20" s="45" t="n">
        <f aca="false">IF(AND('Cash Flow'!BF13=1,'Cash Flow'!BF9&gt;=BuildMonths+LeaseUp+12,'Cash Flow'!BF14=0),BF22/MAX(1,SUM(AU17:BF17)+SUM(AU18:BF18)),0)</f>
        <v>0</v>
      </c>
      <c r="BG20" s="45" t="n">
        <f aca="false">IF(AND('Cash Flow'!BG13=1,'Cash Flow'!BG9&gt;=BuildMonths+LeaseUp+12,'Cash Flow'!BG14=0),BG22/MAX(1,SUM(AV17:BG17)+SUM(AV18:BG18)),0)</f>
        <v>0</v>
      </c>
      <c r="BH20" s="45" t="n">
        <f aca="false">IF(AND('Cash Flow'!BH13=1,'Cash Flow'!BH9&gt;=BuildMonths+LeaseUp+12,'Cash Flow'!BH14=0),BH22/MAX(1,SUM(AW17:BH17)+SUM(AW18:BH18)),0)</f>
        <v>0</v>
      </c>
      <c r="BI20" s="45" t="n">
        <f aca="false">IF(AND('Cash Flow'!BI13=1,'Cash Flow'!BI9&gt;=BuildMonths+LeaseUp+12,'Cash Flow'!BI14=0),BI22/MAX(1,SUM(AX17:BI17)+SUM(AX18:BI18)),0)</f>
        <v>0</v>
      </c>
      <c r="BJ20" s="45" t="n">
        <f aca="false">IF(AND('Cash Flow'!BJ13=1,'Cash Flow'!BJ9&gt;=BuildMonths+LeaseUp+12,'Cash Flow'!BJ14=0),BJ22/MAX(1,SUM(AY17:BJ17)+SUM(AY18:BJ18)),0)</f>
        <v>0</v>
      </c>
      <c r="BK20" s="45" t="n">
        <f aca="false">IF(AND('Cash Flow'!BK13=1,'Cash Flow'!BK9&gt;=BuildMonths+LeaseUp+12,'Cash Flow'!BK14=0),BK22/MAX(1,SUM(AZ17:BK17)+SUM(AZ18:BK18)),0)</f>
        <v>5.7550298551127</v>
      </c>
      <c r="BL20" s="45" t="n">
        <f aca="false">IF(AND('Cash Flow'!BL13=1,'Cash Flow'!BL9&gt;=BuildMonths+LeaseUp+12,'Cash Flow'!BL14=0),BL22/MAX(1,SUM(BA17:BL17)+SUM(BA18:BL18)),0)</f>
        <v>5.78141665236797</v>
      </c>
      <c r="BM20" s="45" t="n">
        <f aca="false">IF(AND('Cash Flow'!BM13=1,'Cash Flow'!BM9&gt;=BuildMonths+LeaseUp+12,'Cash Flow'!BM14=0),BM22/MAX(1,SUM(BB17:BM17)+SUM(BB18:BM18)),0)</f>
        <v>5.74645524523621</v>
      </c>
      <c r="BN20" s="45" t="n">
        <f aca="false">IF(AND('Cash Flow'!BN13=1,'Cash Flow'!BN9&gt;=BuildMonths+LeaseUp+12,'Cash Flow'!BN14=0),BN22/MAX(1,SUM(BC17:BN17)+SUM(BC18:BN18)),0)</f>
        <v>5.77223908452549</v>
      </c>
      <c r="BO20" s="45" t="n">
        <f aca="false">IF(AND('Cash Flow'!BO13=1,'Cash Flow'!BO9&gt;=BuildMonths+LeaseUp+12,'Cash Flow'!BO14=0),BO22/MAX(1,SUM(BD17:BO17)+SUM(BD18:BO18)),0)</f>
        <v>5.79772732808633</v>
      </c>
      <c r="BP20" s="45" t="n">
        <f aca="false">IF(AND('Cash Flow'!BP13=1,'Cash Flow'!BP9&gt;=BuildMonths+LeaseUp+12,'Cash Flow'!BP14=0),BP22/MAX(1,SUM(BE17:BP17)+SUM(BE18:BP18)),0)</f>
        <v>5.8230056382008</v>
      </c>
      <c r="BQ20" s="45" t="n">
        <f aca="false">IF(AND('Cash Flow'!BQ13=1,'Cash Flow'!BQ9&gt;=BuildMonths+LeaseUp+12,'Cash Flow'!BQ14=0),BQ22/MAX(1,SUM(BF17:BQ17)+SUM(BF18:BQ18)),0)</f>
        <v>5.8480065104614</v>
      </c>
      <c r="BR20" s="45" t="n">
        <f aca="false">IF(AND('Cash Flow'!BR13=1,'Cash Flow'!BR9&gt;=BuildMonths+LeaseUp+12,'Cash Flow'!BR14=0),BR22/MAX(1,SUM(BG17:BR17)+SUM(BG18:BR18)),0)</f>
        <v>5.87315431036992</v>
      </c>
      <c r="BS20" s="45" t="n">
        <f aca="false">IF(AND('Cash Flow'!BS13=1,'Cash Flow'!BS9&gt;=BuildMonths+LeaseUp+12,'Cash Flow'!BS14=0),BS22/MAX(1,SUM(BH17:BS17)+SUM(BH18:BS18)),0)</f>
        <v>5.89842993141866</v>
      </c>
      <c r="BT20" s="45" t="n">
        <f aca="false">IF(AND('Cash Flow'!BT13=1,'Cash Flow'!BT9&gt;=BuildMonths+LeaseUp+12,'Cash Flow'!BT14=0),BT22/MAX(1,SUM(BI17:BT17)+SUM(BI18:BT18)),0)</f>
        <v>5.92381397849281</v>
      </c>
      <c r="BU20" s="45" t="n">
        <f aca="false">IF(AND('Cash Flow'!BU13=1,'Cash Flow'!BU9&gt;=BuildMonths+LeaseUp+12,'Cash Flow'!BU14=0),BU22/MAX(1,SUM(BJ17:BU17)+SUM(BJ18:BU18)),0)</f>
        <v>5.94934758590113</v>
      </c>
      <c r="BV20" s="45" t="n">
        <f aca="false">IF(AND('Cash Flow'!BV13=1,'Cash Flow'!BV9&gt;=BuildMonths+LeaseUp+12,'Cash Flow'!BV14=0),BV22/MAX(1,SUM(BK17:BV17)+SUM(BK18:BV18)),0)</f>
        <v>5.9749910463978</v>
      </c>
      <c r="BW20" s="45" t="n">
        <f aca="false">IF(AND('Cash Flow'!BW13=1,'Cash Flow'!BW9&gt;=BuildMonths+LeaseUp+12,'Cash Flow'!BW14=0),BW22/MAX(1,SUM(BL17:BW17)+SUM(BL18:BW18)),0)</f>
        <v>0</v>
      </c>
      <c r="BX20" s="45" t="n">
        <f aca="false">IF(AND('Cash Flow'!BX13=1,'Cash Flow'!BX9&gt;=BuildMonths+LeaseUp+12,'Cash Flow'!BX14=0),BX22/MAX(1,SUM(BM17:BX17)+SUM(BM18:BX18)),0)</f>
        <v>0</v>
      </c>
      <c r="BY20" s="45" t="n">
        <f aca="false">IF(AND('Cash Flow'!BY13=1,'Cash Flow'!BY9&gt;=BuildMonths+LeaseUp+12,'Cash Flow'!BY14=0),BY22/MAX(1,SUM(BN17:BY17)+SUM(BN18:BY18)),0)</f>
        <v>0</v>
      </c>
      <c r="BZ20" s="45" t="n">
        <f aca="false">IF(AND('Cash Flow'!BZ13=1,'Cash Flow'!BZ9&gt;=BuildMonths+LeaseUp+12,'Cash Flow'!BZ14=0),BZ22/MAX(1,SUM(BO17:BZ17)+SUM(BO18:BZ18)),0)</f>
        <v>0</v>
      </c>
      <c r="CA20" s="45" t="n">
        <f aca="false">IF(AND('Cash Flow'!CA13=1,'Cash Flow'!CA9&gt;=BuildMonths+LeaseUp+12,'Cash Flow'!CA14=0),CA22/MAX(1,SUM(BP17:CA17)+SUM(BP18:CA18)),0)</f>
        <v>0</v>
      </c>
      <c r="CB20" s="45" t="n">
        <f aca="false">IF(AND('Cash Flow'!CB13=1,'Cash Flow'!CB9&gt;=BuildMonths+LeaseUp+12,'Cash Flow'!CB14=0),CB22/MAX(1,SUM(BQ17:CB17)+SUM(BQ18:CB18)),0)</f>
        <v>0</v>
      </c>
      <c r="CC20" s="45" t="n">
        <f aca="false">IF(AND('Cash Flow'!CC13=1,'Cash Flow'!CC9&gt;=BuildMonths+LeaseUp+12,'Cash Flow'!CC14=0),CC22/MAX(1,SUM(BR17:CC17)+SUM(BR18:CC18)),0)</f>
        <v>0</v>
      </c>
      <c r="CD20" s="45" t="n">
        <f aca="false">IF(AND('Cash Flow'!CD13=1,'Cash Flow'!CD9&gt;=BuildMonths+LeaseUp+12,'Cash Flow'!CD14=0),CD22/MAX(1,SUM(BS17:CD17)+SUM(BS18:CD18)),0)</f>
        <v>0</v>
      </c>
      <c r="CE20" s="45" t="n">
        <f aca="false">IF(AND('Cash Flow'!CE13=1,'Cash Flow'!CE9&gt;=BuildMonths+LeaseUp+12,'Cash Flow'!CE14=0),CE22/MAX(1,SUM(BT17:CE17)+SUM(BT18:CE18)),0)</f>
        <v>0</v>
      </c>
      <c r="CF20" s="45" t="n">
        <f aca="false">IF(AND('Cash Flow'!CF13=1,'Cash Flow'!CF9&gt;=BuildMonths+LeaseUp+12,'Cash Flow'!CF14=0),CF22/MAX(1,SUM(BU17:CF17)+SUM(BU18:CF18)),0)</f>
        <v>0</v>
      </c>
      <c r="CG20" s="45" t="n">
        <f aca="false">IF(AND('Cash Flow'!CG13=1,'Cash Flow'!CG9&gt;=BuildMonths+LeaseUp+12,'Cash Flow'!CG14=0),CG22/MAX(1,SUM(BV17:CG17)+SUM(BV18:CG18)),0)</f>
        <v>0</v>
      </c>
      <c r="CH20" s="45" t="n">
        <f aca="false">IF(AND('Cash Flow'!CH13=1,'Cash Flow'!CH9&gt;=BuildMonths+LeaseUp+12,'Cash Flow'!CH14=0),CH22/MAX(1,SUM(BW17:CH17)+SUM(BW18:CH18)),0)</f>
        <v>0</v>
      </c>
      <c r="CI20" s="45" t="n">
        <f aca="false">IF(AND('Cash Flow'!CI13=1,'Cash Flow'!CI9&gt;=BuildMonths+LeaseUp+12,'Cash Flow'!CI14=0),CI22/MAX(1,SUM(BX17:CI17)+SUM(BX18:CI18)),0)</f>
        <v>0</v>
      </c>
      <c r="CJ20" s="45" t="n">
        <f aca="false">IF(AND('Cash Flow'!CJ13=1,'Cash Flow'!CJ9&gt;=BuildMonths+LeaseUp+12,'Cash Flow'!CJ14=0),CJ22/MAX(1,SUM(BY17:CJ17)+SUM(BY18:CJ18)),0)</f>
        <v>0</v>
      </c>
      <c r="CK20" s="45" t="n">
        <f aca="false">IF(AND('Cash Flow'!CK13=1,'Cash Flow'!CK9&gt;=BuildMonths+LeaseUp+12,'Cash Flow'!CK14=0),CK22/MAX(1,SUM(BZ17:CK17)+SUM(BZ18:CK18)),0)</f>
        <v>0</v>
      </c>
      <c r="CL20" s="45" t="n">
        <f aca="false">IF(AND('Cash Flow'!CL13=1,'Cash Flow'!CL9&gt;=BuildMonths+LeaseUp+12,'Cash Flow'!CL14=0),CL22/MAX(1,SUM(CA17:CL17)+SUM(CA18:CL18)),0)</f>
        <v>0</v>
      </c>
      <c r="CM20" s="45" t="n">
        <f aca="false">IF(AND('Cash Flow'!CM13=1,'Cash Flow'!CM9&gt;=BuildMonths+LeaseUp+12,'Cash Flow'!CM14=0),CM22/MAX(1,SUM(CB17:CM17)+SUM(CB18:CM18)),0)</f>
        <v>0</v>
      </c>
      <c r="CN20" s="45" t="n">
        <f aca="false">IF(AND('Cash Flow'!CN13=1,'Cash Flow'!CN9&gt;=BuildMonths+LeaseUp+12,'Cash Flow'!CN14=0),CN22/MAX(1,SUM(CC17:CN17)+SUM(CC18:CN18)),0)</f>
        <v>0</v>
      </c>
      <c r="CO20" s="45" t="n">
        <f aca="false">IF(AND('Cash Flow'!CO13=1,'Cash Flow'!CO9&gt;=BuildMonths+LeaseUp+12,'Cash Flow'!CO14=0),CO22/MAX(1,SUM(CD17:CO17)+SUM(CD18:CO18)),0)</f>
        <v>0</v>
      </c>
      <c r="CP20" s="45" t="n">
        <f aca="false">IF(AND('Cash Flow'!CP13=1,'Cash Flow'!CP9&gt;=BuildMonths+LeaseUp+12,'Cash Flow'!CP14=0),CP22/MAX(1,SUM(CE17:CP17)+SUM(CE18:CP18)),0)</f>
        <v>0</v>
      </c>
      <c r="CQ20" s="45" t="n">
        <f aca="false">IF(AND('Cash Flow'!CQ13=1,'Cash Flow'!CQ9&gt;=BuildMonths+LeaseUp+12,'Cash Flow'!CQ14=0),CQ22/MAX(1,SUM(CF17:CQ17)+SUM(CF18:CQ18)),0)</f>
        <v>0</v>
      </c>
      <c r="CR20" s="45" t="n">
        <f aca="false">IF(AND('Cash Flow'!CR13=1,'Cash Flow'!CR9&gt;=BuildMonths+LeaseUp+12,'Cash Flow'!CR14=0),CR22/MAX(1,SUM(CG17:CR17)+SUM(CG18:CR18)),0)</f>
        <v>0</v>
      </c>
      <c r="CS20" s="45" t="n">
        <f aca="false">IF(AND('Cash Flow'!CS13=1,'Cash Flow'!CS9&gt;=BuildMonths+LeaseUp+12,'Cash Flow'!CS14=0),CS22/MAX(1,SUM(CH17:CS17)+SUM(CH18:CS18)),0)</f>
        <v>0</v>
      </c>
      <c r="CT20" s="45" t="n">
        <f aca="false">IF(AND('Cash Flow'!CT13=1,'Cash Flow'!CT9&gt;=BuildMonths+LeaseUp+12,'Cash Flow'!CT14=0),CT22/MAX(1,SUM(CI17:CT17)+SUM(CI18:CT18)),0)</f>
        <v>0</v>
      </c>
      <c r="CU20" s="45" t="n">
        <f aca="false">IF(AND('Cash Flow'!CU13=1,'Cash Flow'!CU9&gt;=BuildMonths+LeaseUp+12,'Cash Flow'!CU14=0),CU22/MAX(1,SUM(CJ17:CU17)+SUM(CJ18:CU18)),0)</f>
        <v>0</v>
      </c>
    </row>
    <row r="21" customFormat="false" ht="15" hidden="false" customHeight="false" outlineLevel="0" collapsed="false">
      <c r="A21" s="35" t="s">
        <v>167</v>
      </c>
      <c r="C21" s="39" t="n">
        <f aca="false">IF(AND(C23&gt;0,'Cash Flow'!C9&gt;=BuildMonths+LeaseUp+12),C19/C23,0)</f>
        <v>0</v>
      </c>
      <c r="D21" s="39" t="n">
        <f aca="false">IF(AND(D23&gt;0,'Cash Flow'!D9&gt;=BuildMonths+LeaseUp+12),D19/D23,0)</f>
        <v>0</v>
      </c>
      <c r="E21" s="39" t="n">
        <f aca="false">IF(AND(E23&gt;0,'Cash Flow'!E9&gt;=BuildMonths+LeaseUp+12),E19/E23,0)</f>
        <v>0</v>
      </c>
      <c r="F21" s="39" t="n">
        <f aca="false">IF(AND(F23&gt;0,'Cash Flow'!F9&gt;=BuildMonths+LeaseUp+12),F19/F23,0)</f>
        <v>0</v>
      </c>
      <c r="G21" s="39" t="n">
        <f aca="false">IF(AND(G23&gt;0,'Cash Flow'!G9&gt;=BuildMonths+LeaseUp+12),G19/G23,0)</f>
        <v>0</v>
      </c>
      <c r="H21" s="39" t="n">
        <f aca="false">IF(AND(H23&gt;0,'Cash Flow'!H9&gt;=BuildMonths+LeaseUp+12),H19/H23,0)</f>
        <v>0</v>
      </c>
      <c r="I21" s="39" t="n">
        <f aca="false">IF(AND(I23&gt;0,'Cash Flow'!I9&gt;=BuildMonths+LeaseUp+12),I19/I23,0)</f>
        <v>0</v>
      </c>
      <c r="J21" s="39" t="n">
        <f aca="false">IF(AND(J23&gt;0,'Cash Flow'!J9&gt;=BuildMonths+LeaseUp+12),J19/J23,0)</f>
        <v>0</v>
      </c>
      <c r="K21" s="39" t="n">
        <f aca="false">IF(AND(K23&gt;0,'Cash Flow'!K9&gt;=BuildMonths+LeaseUp+12),K19/K23,0)</f>
        <v>0</v>
      </c>
      <c r="L21" s="39" t="n">
        <f aca="false">IF(AND(L23&gt;0,'Cash Flow'!L9&gt;=BuildMonths+LeaseUp+12),L19/L23,0)</f>
        <v>0</v>
      </c>
      <c r="M21" s="39" t="n">
        <f aca="false">IF(AND(M23&gt;0,'Cash Flow'!M9&gt;=BuildMonths+LeaseUp+12),M19/M23,0)</f>
        <v>0</v>
      </c>
      <c r="N21" s="39" t="n">
        <f aca="false">IF(AND(N23&gt;0,'Cash Flow'!N9&gt;=BuildMonths+LeaseUp+12),N19/N23,0)</f>
        <v>0</v>
      </c>
      <c r="O21" s="39" t="n">
        <f aca="false">IF(AND(O23&gt;0,'Cash Flow'!O9&gt;=BuildMonths+LeaseUp+12),O19/O23,0)</f>
        <v>0</v>
      </c>
      <c r="P21" s="39" t="n">
        <f aca="false">IF(AND(P23&gt;0,'Cash Flow'!P9&gt;=BuildMonths+LeaseUp+12),P19/P23,0)</f>
        <v>0</v>
      </c>
      <c r="Q21" s="39" t="n">
        <f aca="false">IF(AND(Q23&gt;0,'Cash Flow'!Q9&gt;=BuildMonths+LeaseUp+12),Q19/Q23,0)</f>
        <v>0</v>
      </c>
      <c r="R21" s="39" t="n">
        <f aca="false">IF(AND(R23&gt;0,'Cash Flow'!R9&gt;=BuildMonths+LeaseUp+12),R19/R23,0)</f>
        <v>0</v>
      </c>
      <c r="S21" s="39" t="n">
        <f aca="false">IF(AND(S23&gt;0,'Cash Flow'!S9&gt;=BuildMonths+LeaseUp+12),S19/S23,0)</f>
        <v>0</v>
      </c>
      <c r="T21" s="39" t="n">
        <f aca="false">IF(AND(T23&gt;0,'Cash Flow'!T9&gt;=BuildMonths+LeaseUp+12),T19/T23,0)</f>
        <v>0</v>
      </c>
      <c r="U21" s="39" t="n">
        <f aca="false">IF(AND(U23&gt;0,'Cash Flow'!U9&gt;=BuildMonths+LeaseUp+12),U19/U23,0)</f>
        <v>0</v>
      </c>
      <c r="V21" s="39" t="n">
        <f aca="false">IF(AND(V23&gt;0,'Cash Flow'!V9&gt;=BuildMonths+LeaseUp+12),V19/V23,0)</f>
        <v>0</v>
      </c>
      <c r="W21" s="39" t="n">
        <f aca="false">IF(AND(W23&gt;0,'Cash Flow'!W9&gt;=BuildMonths+LeaseUp+12),W19/W23,0)</f>
        <v>0</v>
      </c>
      <c r="X21" s="39" t="n">
        <f aca="false">IF(AND(X23&gt;0,'Cash Flow'!X9&gt;=BuildMonths+LeaseUp+12),X19/X23,0)</f>
        <v>0</v>
      </c>
      <c r="Y21" s="39" t="n">
        <f aca="false">IF(AND(Y23&gt;0,'Cash Flow'!Y9&gt;=BuildMonths+LeaseUp+12),Y19/Y23,0)</f>
        <v>0</v>
      </c>
      <c r="Z21" s="39" t="n">
        <f aca="false">IF(AND(Z23&gt;0,'Cash Flow'!Z9&gt;=BuildMonths+LeaseUp+12),Z19/Z23,0)</f>
        <v>0</v>
      </c>
      <c r="AA21" s="39" t="n">
        <f aca="false">IF(AND(AA23&gt;0,'Cash Flow'!AA9&gt;=BuildMonths+LeaseUp+12),AA19/AA23,0)</f>
        <v>0</v>
      </c>
      <c r="AB21" s="39" t="n">
        <f aca="false">IF(AND(AB23&gt;0,'Cash Flow'!AB9&gt;=BuildMonths+LeaseUp+12),AB19/AB23,0)</f>
        <v>0</v>
      </c>
      <c r="AC21" s="39" t="n">
        <f aca="false">IF(AND(AC23&gt;0,'Cash Flow'!AC9&gt;=BuildMonths+LeaseUp+12),AC19/AC23,0)</f>
        <v>0</v>
      </c>
      <c r="AD21" s="39" t="n">
        <f aca="false">IF(AND(AD23&gt;0,'Cash Flow'!AD9&gt;=BuildMonths+LeaseUp+12),AD19/AD23,0)</f>
        <v>0</v>
      </c>
      <c r="AE21" s="39" t="n">
        <f aca="false">IF(AND(AE23&gt;0,'Cash Flow'!AE9&gt;=BuildMonths+LeaseUp+12),AE19/AE23,0)</f>
        <v>0</v>
      </c>
      <c r="AF21" s="39" t="n">
        <f aca="false">IF(AND(AF23&gt;0,'Cash Flow'!AF9&gt;=BuildMonths+LeaseUp+12),AF19/AF23,0)</f>
        <v>0</v>
      </c>
      <c r="AG21" s="39" t="n">
        <f aca="false">IF(AND(AG23&gt;0,'Cash Flow'!AG9&gt;=BuildMonths+LeaseUp+12),AG19/AG23,0)</f>
        <v>0</v>
      </c>
      <c r="AH21" s="39" t="n">
        <f aca="false">IF(AND(AH23&gt;0,'Cash Flow'!AH9&gt;=BuildMonths+LeaseUp+12),AH19/AH23,0)</f>
        <v>0</v>
      </c>
      <c r="AI21" s="39" t="n">
        <f aca="false">IF(AND(AI23&gt;0,'Cash Flow'!AI9&gt;=BuildMonths+LeaseUp+12),AI19/AI23,0)</f>
        <v>0</v>
      </c>
      <c r="AJ21" s="39" t="n">
        <f aca="false">IF(AND(AJ23&gt;0,'Cash Flow'!AJ9&gt;=BuildMonths+LeaseUp+12),AJ19/AJ23,0)</f>
        <v>0</v>
      </c>
      <c r="AK21" s="39" t="n">
        <f aca="false">IF(AND(AK23&gt;0,'Cash Flow'!AK9&gt;=BuildMonths+LeaseUp+12),AK19/AK23,0)</f>
        <v>0</v>
      </c>
      <c r="AL21" s="39" t="n">
        <f aca="false">IF(AND(AL23&gt;0,'Cash Flow'!AL9&gt;=BuildMonths+LeaseUp+12),AL19/AL23,0)</f>
        <v>0</v>
      </c>
      <c r="AM21" s="39" t="n">
        <f aca="false">IF(AND(AM23&gt;0,'Cash Flow'!AM9&gt;=BuildMonths+LeaseUp+12),AM19/AM23,0)</f>
        <v>0</v>
      </c>
      <c r="AN21" s="39" t="n">
        <f aca="false">IF(AND(AN23&gt;0,'Cash Flow'!AN9&gt;=BuildMonths+LeaseUp+12),AN19/AN23,0)</f>
        <v>0</v>
      </c>
      <c r="AO21" s="39" t="n">
        <f aca="false">IF(AND(AO23&gt;0,'Cash Flow'!AO9&gt;=BuildMonths+LeaseUp+12),AO19/AO23,0)</f>
        <v>0</v>
      </c>
      <c r="AP21" s="39" t="n">
        <f aca="false">IF(AND(AP23&gt;0,'Cash Flow'!AP9&gt;=BuildMonths+LeaseUp+12),AP19/AP23,0)</f>
        <v>0</v>
      </c>
      <c r="AQ21" s="39" t="n">
        <f aca="false">IF(AND(AQ23&gt;0,'Cash Flow'!AQ9&gt;=BuildMonths+LeaseUp+12),AQ19/AQ23,0)</f>
        <v>0</v>
      </c>
      <c r="AR21" s="39" t="n">
        <f aca="false">IF(AND(AR23&gt;0,'Cash Flow'!AR9&gt;=BuildMonths+LeaseUp+12),AR19/AR23,0)</f>
        <v>0</v>
      </c>
      <c r="AS21" s="39" t="n">
        <f aca="false">IF(AND(AS23&gt;0,'Cash Flow'!AS9&gt;=BuildMonths+LeaseUp+12),AS19/AS23,0)</f>
        <v>0</v>
      </c>
      <c r="AT21" s="39" t="n">
        <f aca="false">IF(AND(AT23&gt;0,'Cash Flow'!AT9&gt;=BuildMonths+LeaseUp+12),AT19/AT23,0)</f>
        <v>0</v>
      </c>
      <c r="AU21" s="39" t="n">
        <f aca="false">IF(AND(AU23&gt;0,'Cash Flow'!AU9&gt;=BuildMonths+LeaseUp+12),AU19/AU23,0)</f>
        <v>0</v>
      </c>
      <c r="AV21" s="39" t="n">
        <f aca="false">IF(AND(AV23&gt;0,'Cash Flow'!AV9&gt;=BuildMonths+LeaseUp+12),AV19/AV23,0)</f>
        <v>0</v>
      </c>
      <c r="AW21" s="39" t="n">
        <f aca="false">IF(AND(AW23&gt;0,'Cash Flow'!AW9&gt;=BuildMonths+LeaseUp+12),AW19/AW23,0)</f>
        <v>0</v>
      </c>
      <c r="AX21" s="39" t="n">
        <f aca="false">IF(AND(AX23&gt;0,'Cash Flow'!AX9&gt;=BuildMonths+LeaseUp+12),AX19/AX23,0)</f>
        <v>0</v>
      </c>
      <c r="AY21" s="39" t="n">
        <f aca="false">IF(AND(AY23&gt;0,'Cash Flow'!AY9&gt;=BuildMonths+LeaseUp+12),AY19/AY23,0)</f>
        <v>0</v>
      </c>
      <c r="AZ21" s="39" t="n">
        <f aca="false">IF(AND(AZ23&gt;0,'Cash Flow'!AZ9&gt;=BuildMonths+LeaseUp+12),AZ19/AZ23,0)</f>
        <v>0</v>
      </c>
      <c r="BA21" s="39" t="n">
        <f aca="false">IF(AND(BA23&gt;0,'Cash Flow'!BA9&gt;=BuildMonths+LeaseUp+12),BA19/BA23,0)</f>
        <v>0</v>
      </c>
      <c r="BB21" s="39" t="n">
        <f aca="false">IF(AND(BB23&gt;0,'Cash Flow'!BB9&gt;=BuildMonths+LeaseUp+12),BB19/BB23,0)</f>
        <v>0</v>
      </c>
      <c r="BC21" s="39" t="n">
        <f aca="false">IF(AND(BC23&gt;0,'Cash Flow'!BC9&gt;=BuildMonths+LeaseUp+12),BC19/BC23,0)</f>
        <v>0</v>
      </c>
      <c r="BD21" s="39" t="n">
        <f aca="false">IF(AND(BD23&gt;0,'Cash Flow'!BD9&gt;=BuildMonths+LeaseUp+12),BD19/BD23,0)</f>
        <v>0</v>
      </c>
      <c r="BE21" s="39" t="n">
        <f aca="false">IF(AND(BE23&gt;0,'Cash Flow'!BE9&gt;=BuildMonths+LeaseUp+12),BE19/BE23,0)</f>
        <v>0</v>
      </c>
      <c r="BF21" s="39" t="n">
        <f aca="false">IF(AND(BF23&gt;0,'Cash Flow'!BF9&gt;=BuildMonths+LeaseUp+12),BF19/BF23,0)</f>
        <v>0</v>
      </c>
      <c r="BG21" s="39" t="n">
        <f aca="false">IF(AND(BG23&gt;0,'Cash Flow'!BG9&gt;=BuildMonths+LeaseUp+12),BG19/BG23,0)</f>
        <v>0</v>
      </c>
      <c r="BH21" s="39" t="n">
        <f aca="false">IF(AND(BH23&gt;0,'Cash Flow'!BH9&gt;=BuildMonths+LeaseUp+12),BH19/BH23,0)</f>
        <v>0</v>
      </c>
      <c r="BI21" s="39" t="n">
        <f aca="false">IF(AND(BI23&gt;0,'Cash Flow'!BI9&gt;=BuildMonths+LeaseUp+12),BI19/BI23,0)</f>
        <v>0</v>
      </c>
      <c r="BJ21" s="39" t="n">
        <f aca="false">IF(AND(BJ23&gt;0,'Cash Flow'!BJ9&gt;=BuildMonths+LeaseUp+12),BJ19/BJ23,0)</f>
        <v>0</v>
      </c>
      <c r="BK21" s="39" t="n">
        <f aca="false">IF(AND(BK23&gt;0,'Cash Flow'!BK9&gt;=BuildMonths+LeaseUp+12),BK19/BK23,0)</f>
        <v>0.112181279613863</v>
      </c>
      <c r="BL21" s="39" t="n">
        <f aca="false">IF(AND(BL23&gt;0,'Cash Flow'!BL9&gt;=BuildMonths+LeaseUp+12),BL19/BL23,0)</f>
        <v>0.111599643520257</v>
      </c>
      <c r="BM21" s="39" t="n">
        <f aca="false">IF(AND(BM23&gt;0,'Cash Flow'!BM9&gt;=BuildMonths+LeaseUp+12),BM19/BM23,0)</f>
        <v>0.112218748650386</v>
      </c>
      <c r="BN21" s="39" t="n">
        <f aca="false">IF(AND(BN23&gt;0,'Cash Flow'!BN9&gt;=BuildMonths+LeaseUp+12),BN19/BN23,0)</f>
        <v>0.111644273748636</v>
      </c>
      <c r="BO21" s="39" t="n">
        <f aca="false">IF(AND(BO23&gt;0,'Cash Flow'!BO9&gt;=BuildMonths+LeaseUp+12),BO19/BO23,0)</f>
        <v>0.111078670898455</v>
      </c>
      <c r="BP21" s="39" t="n">
        <f aca="false">IF(AND(BP23&gt;0,'Cash Flow'!BP9&gt;=BuildMonths+LeaseUp+12),BP19/BP23,0)</f>
        <v>0.110520449854618</v>
      </c>
      <c r="BQ21" s="39" t="n">
        <f aca="false">IF(AND(BQ23&gt;0,'Cash Flow'!BQ9&gt;=BuildMonths+LeaseUp+12),BQ19/BQ23,0)</f>
        <v>0.10997049055249</v>
      </c>
      <c r="BR21" s="39" t="n">
        <f aca="false">IF(AND(BR23&gt;0,'Cash Flow'!BR9&gt;=BuildMonths+LeaseUp+12),BR19/BR23,0)</f>
        <v>0.109422267267387</v>
      </c>
      <c r="BS21" s="39" t="n">
        <f aca="false">IF(AND(BS23&gt;0,'Cash Flow'!BS9&gt;=BuildMonths+LeaseUp+12),BS19/BS23,0)</f>
        <v>0.10887607698536</v>
      </c>
      <c r="BT21" s="39" t="n">
        <f aca="false">IF(AND(BT23&gt;0,'Cash Flow'!BT9&gt;=BuildMonths+LeaseUp+12),BT19/BT23,0)</f>
        <v>0.108332209966132</v>
      </c>
      <c r="BU21" s="39" t="n">
        <f aca="false">IF(AND(BU23&gt;0,'Cash Flow'!BU9&gt;=BuildMonths+LeaseUp+12),BU19/BU23,0)</f>
        <v>0.107790063422984</v>
      </c>
      <c r="BV21" s="39" t="n">
        <f aca="false">IF(AND(BV23&gt;0,'Cash Flow'!BV9&gt;=BuildMonths+LeaseUp+12),BV19/BV23,0)</f>
        <v>0.107250223870259</v>
      </c>
      <c r="BW21" s="39" t="n">
        <f aca="false">IF(AND(BW23&gt;0,'Cash Flow'!BW9&gt;=BuildMonths+LeaseUp+12),BW19/BW23,0)</f>
        <v>0</v>
      </c>
      <c r="BX21" s="39" t="n">
        <f aca="false">IF(AND(BX23&gt;0,'Cash Flow'!BX9&gt;=BuildMonths+LeaseUp+12),BX19/BX23,0)</f>
        <v>0</v>
      </c>
      <c r="BY21" s="39" t="n">
        <f aca="false">IF(AND(BY23&gt;0,'Cash Flow'!BY9&gt;=BuildMonths+LeaseUp+12),BY19/BY23,0)</f>
        <v>0</v>
      </c>
      <c r="BZ21" s="39" t="n">
        <f aca="false">IF(AND(BZ23&gt;0,'Cash Flow'!BZ9&gt;=BuildMonths+LeaseUp+12),BZ19/BZ23,0)</f>
        <v>0</v>
      </c>
      <c r="CA21" s="39" t="n">
        <f aca="false">IF(AND(CA23&gt;0,'Cash Flow'!CA9&gt;=BuildMonths+LeaseUp+12),CA19/CA23,0)</f>
        <v>0</v>
      </c>
      <c r="CB21" s="39" t="n">
        <f aca="false">IF(AND(CB23&gt;0,'Cash Flow'!CB9&gt;=BuildMonths+LeaseUp+12),CB19/CB23,0)</f>
        <v>0</v>
      </c>
      <c r="CC21" s="39" t="n">
        <f aca="false">IF(AND(CC23&gt;0,'Cash Flow'!CC9&gt;=BuildMonths+LeaseUp+12),CC19/CC23,0)</f>
        <v>0</v>
      </c>
      <c r="CD21" s="39" t="n">
        <f aca="false">IF(AND(CD23&gt;0,'Cash Flow'!CD9&gt;=BuildMonths+LeaseUp+12),CD19/CD23,0)</f>
        <v>0</v>
      </c>
      <c r="CE21" s="39" t="n">
        <f aca="false">IF(AND(CE23&gt;0,'Cash Flow'!CE9&gt;=BuildMonths+LeaseUp+12),CE19/CE23,0)</f>
        <v>0</v>
      </c>
      <c r="CF21" s="39" t="n">
        <f aca="false">IF(AND(CF23&gt;0,'Cash Flow'!CF9&gt;=BuildMonths+LeaseUp+12),CF19/CF23,0)</f>
        <v>0</v>
      </c>
      <c r="CG21" s="39" t="n">
        <f aca="false">IF(AND(CG23&gt;0,'Cash Flow'!CG9&gt;=BuildMonths+LeaseUp+12),CG19/CG23,0)</f>
        <v>0</v>
      </c>
      <c r="CH21" s="39" t="n">
        <f aca="false">IF(AND(CH23&gt;0,'Cash Flow'!CH9&gt;=BuildMonths+LeaseUp+12),CH19/CH23,0)</f>
        <v>0</v>
      </c>
      <c r="CI21" s="39" t="n">
        <f aca="false">IF(AND(CI23&gt;0,'Cash Flow'!CI9&gt;=BuildMonths+LeaseUp+12),CI19/CI23,0)</f>
        <v>0</v>
      </c>
      <c r="CJ21" s="39" t="n">
        <f aca="false">IF(AND(CJ23&gt;0,'Cash Flow'!CJ9&gt;=BuildMonths+LeaseUp+12),CJ19/CJ23,0)</f>
        <v>0</v>
      </c>
      <c r="CK21" s="39" t="n">
        <f aca="false">IF(AND(CK23&gt;0,'Cash Flow'!CK9&gt;=BuildMonths+LeaseUp+12),CK19/CK23,0)</f>
        <v>0</v>
      </c>
      <c r="CL21" s="39" t="n">
        <f aca="false">IF(AND(CL23&gt;0,'Cash Flow'!CL9&gt;=BuildMonths+LeaseUp+12),CL19/CL23,0)</f>
        <v>0</v>
      </c>
      <c r="CM21" s="39" t="n">
        <f aca="false">IF(AND(CM23&gt;0,'Cash Flow'!CM9&gt;=BuildMonths+LeaseUp+12),CM19/CM23,0)</f>
        <v>0</v>
      </c>
      <c r="CN21" s="39" t="n">
        <f aca="false">IF(AND(CN23&gt;0,'Cash Flow'!CN9&gt;=BuildMonths+LeaseUp+12),CN19/CN23,0)</f>
        <v>0</v>
      </c>
      <c r="CO21" s="39" t="n">
        <f aca="false">IF(AND(CO23&gt;0,'Cash Flow'!CO9&gt;=BuildMonths+LeaseUp+12),CO19/CO23,0)</f>
        <v>0</v>
      </c>
      <c r="CP21" s="39" t="n">
        <f aca="false">IF(AND(CP23&gt;0,'Cash Flow'!CP9&gt;=BuildMonths+LeaseUp+12),CP19/CP23,0)</f>
        <v>0</v>
      </c>
      <c r="CQ21" s="39" t="n">
        <f aca="false">IF(AND(CQ23&gt;0,'Cash Flow'!CQ9&gt;=BuildMonths+LeaseUp+12),CQ19/CQ23,0)</f>
        <v>0</v>
      </c>
      <c r="CR21" s="39" t="n">
        <f aca="false">IF(AND(CR23&gt;0,'Cash Flow'!CR9&gt;=BuildMonths+LeaseUp+12),CR19/CR23,0)</f>
        <v>0</v>
      </c>
      <c r="CS21" s="39" t="n">
        <f aca="false">IF(AND(CS23&gt;0,'Cash Flow'!CS9&gt;=BuildMonths+LeaseUp+12),CS19/CS23,0)</f>
        <v>0</v>
      </c>
      <c r="CT21" s="39" t="n">
        <f aca="false">IF(AND(CT23&gt;0,'Cash Flow'!CT9&gt;=BuildMonths+LeaseUp+12),CT19/CT23,0)</f>
        <v>0</v>
      </c>
      <c r="CU21" s="39" t="n">
        <f aca="false">IF(AND(CU23&gt;0,'Cash Flow'!CU9&gt;=BuildMonths+LeaseUp+12),CU19/CU23,0)</f>
        <v>0</v>
      </c>
    </row>
    <row r="22" customFormat="false" ht="15" hidden="false" customHeight="false" outlineLevel="0" collapsed="false">
      <c r="A22" s="35" t="s">
        <v>168</v>
      </c>
      <c r="C22" s="40" t="n">
        <f aca="false">SUM('Cash Flow'!C45:C45)+SUM('Cash Flow'!C52:C52)</f>
        <v>0</v>
      </c>
      <c r="D22" s="40" t="n">
        <f aca="false">SUM('Cash Flow'!C45:D45)+SUM('Cash Flow'!C52:D52)</f>
        <v>0</v>
      </c>
      <c r="E22" s="40" t="n">
        <f aca="false">SUM('Cash Flow'!C45:E45)+SUM('Cash Flow'!C52:E52)</f>
        <v>0</v>
      </c>
      <c r="F22" s="40" t="n">
        <f aca="false">SUM('Cash Flow'!C45:F45)+SUM('Cash Flow'!C52:F52)</f>
        <v>0</v>
      </c>
      <c r="G22" s="40" t="n">
        <f aca="false">SUM('Cash Flow'!C45:G45)+SUM('Cash Flow'!C52:G52)</f>
        <v>0</v>
      </c>
      <c r="H22" s="40" t="n">
        <f aca="false">SUM('Cash Flow'!C45:H45)+SUM('Cash Flow'!C52:H52)</f>
        <v>0</v>
      </c>
      <c r="I22" s="40" t="n">
        <f aca="false">SUM('Cash Flow'!C45:I45)+SUM('Cash Flow'!C52:I52)</f>
        <v>0</v>
      </c>
      <c r="J22" s="40" t="n">
        <f aca="false">SUM('Cash Flow'!C45:J45)+SUM('Cash Flow'!C52:J52)</f>
        <v>0</v>
      </c>
      <c r="K22" s="40" t="n">
        <f aca="false">SUM('Cash Flow'!C45:K45)+SUM('Cash Flow'!C52:K52)</f>
        <v>0</v>
      </c>
      <c r="L22" s="40" t="n">
        <f aca="false">SUM('Cash Flow'!C45:L45)+SUM('Cash Flow'!C52:L52)</f>
        <v>0</v>
      </c>
      <c r="M22" s="40" t="n">
        <f aca="false">SUM('Cash Flow'!C45:M45)+SUM('Cash Flow'!C52:M52)</f>
        <v>0</v>
      </c>
      <c r="N22" s="40" t="n">
        <f aca="false">SUM('Cash Flow'!C45:N45)+SUM('Cash Flow'!C52:N52)</f>
        <v>0</v>
      </c>
      <c r="O22" s="40" t="n">
        <f aca="false">SUM('Cash Flow'!D45:O45)+SUM('Cash Flow'!D52:O52)</f>
        <v>0</v>
      </c>
      <c r="P22" s="40" t="n">
        <f aca="false">SUM('Cash Flow'!E45:P45)+SUM('Cash Flow'!E52:P52)</f>
        <v>0</v>
      </c>
      <c r="Q22" s="40" t="n">
        <f aca="false">SUM('Cash Flow'!F45:Q45)+SUM('Cash Flow'!F52:Q52)</f>
        <v>0</v>
      </c>
      <c r="R22" s="40" t="n">
        <f aca="false">SUM('Cash Flow'!G45:R45)+SUM('Cash Flow'!G52:R52)</f>
        <v>0</v>
      </c>
      <c r="S22" s="40" t="n">
        <f aca="false">SUM('Cash Flow'!H45:S45)+SUM('Cash Flow'!H52:S52)</f>
        <v>0</v>
      </c>
      <c r="T22" s="40" t="n">
        <f aca="false">SUM('Cash Flow'!I45:T45)+SUM('Cash Flow'!I52:T52)</f>
        <v>0</v>
      </c>
      <c r="U22" s="40" t="n">
        <f aca="false">SUM('Cash Flow'!J45:U45)+SUM('Cash Flow'!J52:U52)</f>
        <v>0</v>
      </c>
      <c r="V22" s="40" t="n">
        <f aca="false">SUM('Cash Flow'!K45:V45)+SUM('Cash Flow'!K52:V52)</f>
        <v>0</v>
      </c>
      <c r="W22" s="40" t="n">
        <f aca="false">SUM('Cash Flow'!L45:W45)+SUM('Cash Flow'!L52:W52)</f>
        <v>0</v>
      </c>
      <c r="X22" s="40" t="n">
        <f aca="false">SUM('Cash Flow'!M45:X45)+SUM('Cash Flow'!M52:X52)</f>
        <v>0</v>
      </c>
      <c r="Y22" s="40" t="n">
        <f aca="false">SUM('Cash Flow'!N45:Y45)+SUM('Cash Flow'!N52:Y52)</f>
        <v>0</v>
      </c>
      <c r="Z22" s="40" t="n">
        <f aca="false">SUM('Cash Flow'!O45:Z45)+SUM('Cash Flow'!O52:Z52)</f>
        <v>0</v>
      </c>
      <c r="AA22" s="40" t="n">
        <f aca="false">SUM('Cash Flow'!P45:AA45)+SUM('Cash Flow'!P52:AA52)</f>
        <v>0</v>
      </c>
      <c r="AB22" s="40" t="n">
        <f aca="false">SUM('Cash Flow'!Q45:AB45)+SUM('Cash Flow'!Q52:AB52)</f>
        <v>0</v>
      </c>
      <c r="AC22" s="40" t="n">
        <f aca="false">SUM('Cash Flow'!R45:AC45)+SUM('Cash Flow'!R52:AC52)</f>
        <v>0</v>
      </c>
      <c r="AD22" s="40" t="n">
        <f aca="false">SUM('Cash Flow'!S45:AD45)+SUM('Cash Flow'!S52:AD52)</f>
        <v>0</v>
      </c>
      <c r="AE22" s="40" t="n">
        <f aca="false">SUM('Cash Flow'!T45:AE45)+SUM('Cash Flow'!T52:AE52)</f>
        <v>0</v>
      </c>
      <c r="AF22" s="40" t="n">
        <f aca="false">SUM('Cash Flow'!U45:AF45)+SUM('Cash Flow'!U52:AF52)</f>
        <v>0</v>
      </c>
      <c r="AG22" s="40" t="n">
        <f aca="false">SUM('Cash Flow'!V45:AG45)+SUM('Cash Flow'!V52:AG52)</f>
        <v>0</v>
      </c>
      <c r="AH22" s="40" t="n">
        <f aca="false">SUM('Cash Flow'!W45:AH45)+SUM('Cash Flow'!W52:AH52)</f>
        <v>1134894.54995525</v>
      </c>
      <c r="AI22" s="40" t="n">
        <f aca="false">SUM('Cash Flow'!X45:AI45)+SUM('Cash Flow'!X52:AI52)</f>
        <v>2310094.43535509</v>
      </c>
      <c r="AJ22" s="40" t="n">
        <f aca="false">SUM('Cash Flow'!Y45:AJ45)+SUM('Cash Flow'!Y52:AJ52)</f>
        <v>3486575.52457231</v>
      </c>
      <c r="AK22" s="40" t="n">
        <f aca="false">SUM('Cash Flow'!Z45:AK45)+SUM('Cash Flow'!Z52:AK52)</f>
        <v>4742962.49632223</v>
      </c>
      <c r="AL22" s="40" t="n">
        <f aca="false">SUM('Cash Flow'!AA45:AL45)+SUM('Cash Flow'!AA52:AL52)</f>
        <v>18483909.0820414</v>
      </c>
      <c r="AM22" s="40" t="n">
        <f aca="false">SUM('Cash Flow'!AB45:AM45)+SUM('Cash Flow'!AB52:AM52)</f>
        <v>34841836.2435537</v>
      </c>
      <c r="AN22" s="40" t="n">
        <f aca="false">SUM('Cash Flow'!AC45:AN45)+SUM('Cash Flow'!AC52:AN52)</f>
        <v>53787514.6698286</v>
      </c>
      <c r="AO22" s="40" t="n">
        <f aca="false">SUM('Cash Flow'!AD45:AO45)+SUM('Cash Flow'!AD52:AO52)</f>
        <v>75196084.5468779</v>
      </c>
      <c r="AP22" s="40" t="n">
        <f aca="false">SUM('Cash Flow'!AE45:AP45)+SUM('Cash Flow'!AE52:AP52)</f>
        <v>99355306.2975103</v>
      </c>
      <c r="AQ22" s="40" t="n">
        <f aca="false">SUM('Cash Flow'!AF45:AQ45)+SUM('Cash Flow'!AF52:AQ52)</f>
        <v>103617020.661342</v>
      </c>
      <c r="AR22" s="40" t="n">
        <f aca="false">SUM('Cash Flow'!AG45:AR45)+SUM('Cash Flow'!AG52:AR52)</f>
        <v>133040819.091316</v>
      </c>
      <c r="AS22" s="40" t="n">
        <f aca="false">SUM('Cash Flow'!AH45:AS45)+SUM('Cash Flow'!AH52:AS52)</f>
        <v>165064905.428274</v>
      </c>
      <c r="AT22" s="40" t="n">
        <f aca="false">SUM('Cash Flow'!AI45:AT45)+SUM('Cash Flow'!AI52:AT52)</f>
        <v>198669796.253262</v>
      </c>
      <c r="AU22" s="40" t="n">
        <f aca="false">SUM('Cash Flow'!AJ45:AU45)+SUM('Cash Flow'!AJ52:AU52)</f>
        <v>234911772.526676</v>
      </c>
      <c r="AV22" s="40" t="n">
        <f aca="false">SUM('Cash Flow'!AK45:AV45)+SUM('Cash Flow'!AK52:AV52)</f>
        <v>273787469.857001</v>
      </c>
      <c r="AW22" s="40" t="n">
        <f aca="false">SUM('Cash Flow'!AL45:AW45)+SUM('Cash Flow'!AL52:AW52)</f>
        <v>315342073.520036</v>
      </c>
      <c r="AX22" s="40" t="n">
        <f aca="false">SUM('Cash Flow'!AM45:AX45)+SUM('Cash Flow'!AM52:AX52)</f>
        <v>347070469.125998</v>
      </c>
      <c r="AY22" s="40" t="n">
        <f aca="false">SUM('Cash Flow'!AN45:AY45)+SUM('Cash Flow'!AN52:AY52)</f>
        <v>378969710.492788</v>
      </c>
      <c r="AZ22" s="40" t="n">
        <f aca="false">SUM('Cash Flow'!AO45:AZ45)+SUM('Cash Flow'!AO52:AZ52)</f>
        <v>408439326.096493</v>
      </c>
      <c r="BA22" s="40" t="n">
        <f aca="false">SUM('Cash Flow'!AP45:BA45)+SUM('Cash Flow'!AP52:BA52)</f>
        <v>441777441.384783</v>
      </c>
      <c r="BB22" s="40" t="n">
        <f aca="false">SUM('Cash Flow'!AQ45:BB45)+SUM('Cash Flow'!AQ52:BB52)</f>
        <v>466351225.415185</v>
      </c>
      <c r="BC22" s="40" t="n">
        <f aca="false">SUM('Cash Flow'!AR45:BC45)+SUM('Cash Flow'!AR52:BC52)</f>
        <v>510916862.305173</v>
      </c>
      <c r="BD22" s="40" t="n">
        <f aca="false">SUM('Cash Flow'!AS45:BD45)+SUM('Cash Flow'!AS52:BD52)</f>
        <v>530545738.675376</v>
      </c>
      <c r="BE22" s="40" t="n">
        <f aca="false">SUM('Cash Flow'!AT45:BE45)+SUM('Cash Flow'!AT52:BE52)</f>
        <v>547666778.856894</v>
      </c>
      <c r="BF22" s="40" t="n">
        <f aca="false">SUM('Cash Flow'!AU45:BF45)+SUM('Cash Flow'!AU52:BF52)</f>
        <v>562261613.527685</v>
      </c>
      <c r="BG22" s="40" t="n">
        <f aca="false">SUM('Cash Flow'!AV45:BG45)+SUM('Cash Flow'!AV52:BG52)</f>
        <v>574300729.896753</v>
      </c>
      <c r="BH22" s="40" t="n">
        <f aca="false">SUM('Cash Flow'!AW45:BH45)+SUM('Cash Flow'!AW52:BH52)</f>
        <v>583758190.9266</v>
      </c>
      <c r="BI22" s="40" t="n">
        <f aca="false">SUM('Cash Flow'!AX45:BI45)+SUM('Cash Flow'!AX52:BI52)</f>
        <v>590647738.755555</v>
      </c>
      <c r="BJ22" s="40" t="n">
        <f aca="false">SUM('Cash Flow'!AY45:BJ45)+SUM('Cash Flow'!AY52:BJ52)</f>
        <v>594932545.409406</v>
      </c>
      <c r="BK22" s="40" t="n">
        <f aca="false">SUM('Cash Flow'!AZ45:BK45)+SUM('Cash Flow'!AZ52:BK52)</f>
        <v>596621367.519063</v>
      </c>
      <c r="BL22" s="40" t="n">
        <f aca="false">SUM('Cash Flow'!BA45:BL45)+SUM('Cash Flow'!BA52:BL52)</f>
        <v>598275244.414002</v>
      </c>
      <c r="BM22" s="40" t="n">
        <f aca="false">SUM('Cash Flow'!BB45:BM45)+SUM('Cash Flow'!BB52:BM52)</f>
        <v>593582262.118484</v>
      </c>
      <c r="BN22" s="40" t="n">
        <f aca="false">SUM('Cash Flow'!BC45:BN45)+SUM('Cash Flow'!BC52:BN52)</f>
        <v>595165699.972981</v>
      </c>
      <c r="BO22" s="40" t="n">
        <f aca="false">SUM('Cash Flow'!BD45:BO45)+SUM('Cash Flow'!BD52:BO52)</f>
        <v>596709067.0937</v>
      </c>
      <c r="BP22" s="40" t="n">
        <f aca="false">SUM('Cash Flow'!BE45:BP45)+SUM('Cash Flow'!BE52:BP52)</f>
        <v>598221329.826125</v>
      </c>
      <c r="BQ22" s="40" t="n">
        <f aca="false">SUM('Cash Flow'!BF45:BQ45)+SUM('Cash Flow'!BF52:BQ52)</f>
        <v>599695683.621679</v>
      </c>
      <c r="BR22" s="40" t="n">
        <f aca="false">SUM('Cash Flow'!BG45:BR45)+SUM('Cash Flow'!BG52:BR52)</f>
        <v>601175722.223051</v>
      </c>
      <c r="BS22" s="40" t="n">
        <f aca="false">SUM('Cash Flow'!BH45:BS45)+SUM('Cash Flow'!BH52:BS52)</f>
        <v>602659410.998888</v>
      </c>
      <c r="BT22" s="40" t="n">
        <f aca="false">SUM('Cash Flow'!BI45:BT45)+SUM('Cash Flow'!BI52:BT52)</f>
        <v>604144700.182369</v>
      </c>
      <c r="BU22" s="40" t="n">
        <f aca="false">SUM('Cash Flow'!BJ45:BU45)+SUM('Cash Flow'!BJ52:BU52)</f>
        <v>605635716.336282</v>
      </c>
      <c r="BV22" s="40" t="n">
        <f aca="false">SUM('Cash Flow'!BK45:BV45)+SUM('Cash Flow'!BK52:BV52)</f>
        <v>607128340.801648</v>
      </c>
      <c r="BW22" s="40" t="n">
        <f aca="false">SUM('Cash Flow'!BL45:BW45)+SUM('Cash Flow'!BL52:BW52)</f>
        <v>608626720.520786</v>
      </c>
      <c r="BX22" s="40" t="n">
        <f aca="false">SUM('Cash Flow'!BM45:BX45)+SUM('Cash Flow'!BM52:BX52)</f>
        <v>558557549.595868</v>
      </c>
      <c r="BY22" s="40" t="n">
        <f aca="false">SUM('Cash Flow'!BN45:BY45)+SUM('Cash Flow'!BN52:BY52)</f>
        <v>508503846.726047</v>
      </c>
      <c r="BZ22" s="40" t="n">
        <f aca="false">SUM('Cash Flow'!BO45:BZ45)+SUM('Cash Flow'!BO52:BZ52)</f>
        <v>458187403.090515</v>
      </c>
      <c r="CA22" s="40" t="n">
        <f aca="false">SUM('Cash Flow'!BP45:CA45)+SUM('Cash Flow'!BP52:CA52)</f>
        <v>407816684.715976</v>
      </c>
      <c r="CB22" s="40" t="n">
        <f aca="false">SUM('Cash Flow'!BQ45:CB45)+SUM('Cash Flow'!BQ52:CB52)</f>
        <v>357251747.183374</v>
      </c>
      <c r="CC22" s="40" t="n">
        <f aca="false">SUM('Cash Flow'!BR45:CC45)+SUM('Cash Flow'!BR52:CC52)</f>
        <v>306632266.869344</v>
      </c>
      <c r="CD22" s="40" t="n">
        <f aca="false">SUM('Cash Flow'!BS45:CD45)+SUM('Cash Flow'!BS52:CD52)</f>
        <v>255817608.222237</v>
      </c>
      <c r="CE22" s="40" t="n">
        <f aca="false">SUM('Cash Flow'!BT45:CE45)+SUM('Cash Flow'!BT52:CE52)</f>
        <v>204877626.91852</v>
      </c>
      <c r="CF22" s="40" t="n">
        <f aca="false">SUM('Cash Flow'!BU45:CF45)+SUM('Cash Flow'!BU52:CF52)</f>
        <v>153882698.285649</v>
      </c>
      <c r="CG22" s="40" t="n">
        <f aca="false">SUM('Cash Flow'!BV45:CG45)+SUM('Cash Flow'!BV52:CG52)</f>
        <v>102691143.667996</v>
      </c>
      <c r="CH22" s="40" t="n">
        <f aca="false">SUM('Cash Flow'!BW45:CH45)+SUM('Cash Flow'!BW52:CH52)</f>
        <v>51444370.3570989</v>
      </c>
      <c r="CI22" s="40" t="n">
        <f aca="false">SUM('Cash Flow'!BX45:CI45)+SUM('Cash Flow'!BX52:CI52)</f>
        <v>0</v>
      </c>
      <c r="CJ22" s="40" t="n">
        <f aca="false">SUM('Cash Flow'!BY45:CJ45)+SUM('Cash Flow'!BY52:CJ52)</f>
        <v>0</v>
      </c>
      <c r="CK22" s="40" t="n">
        <f aca="false">SUM('Cash Flow'!BZ45:CK45)+SUM('Cash Flow'!BZ52:CK52)</f>
        <v>0</v>
      </c>
      <c r="CL22" s="40" t="n">
        <f aca="false">SUM('Cash Flow'!CA45:CL45)+SUM('Cash Flow'!CA52:CL52)</f>
        <v>0</v>
      </c>
      <c r="CM22" s="40" t="n">
        <f aca="false">SUM('Cash Flow'!CB45:CM45)+SUM('Cash Flow'!CB52:CM52)</f>
        <v>0</v>
      </c>
      <c r="CN22" s="40" t="n">
        <f aca="false">SUM('Cash Flow'!CC45:CN45)+SUM('Cash Flow'!CC52:CN52)</f>
        <v>0</v>
      </c>
      <c r="CO22" s="40" t="n">
        <f aca="false">SUM('Cash Flow'!CD45:CO45)+SUM('Cash Flow'!CD52:CO52)</f>
        <v>0</v>
      </c>
      <c r="CP22" s="40" t="n">
        <f aca="false">SUM('Cash Flow'!CE45:CP45)+SUM('Cash Flow'!CE52:CP52)</f>
        <v>0</v>
      </c>
      <c r="CQ22" s="40" t="n">
        <f aca="false">SUM('Cash Flow'!CF45:CQ45)+SUM('Cash Flow'!CF52:CQ52)</f>
        <v>0</v>
      </c>
      <c r="CR22" s="40" t="n">
        <f aca="false">SUM('Cash Flow'!CG45:CR45)+SUM('Cash Flow'!CG52:CR52)</f>
        <v>0</v>
      </c>
      <c r="CS22" s="40" t="n">
        <f aca="false">SUM('Cash Flow'!CH45:CS45)+SUM('Cash Flow'!CH52:CS52)</f>
        <v>0</v>
      </c>
      <c r="CT22" s="40" t="n">
        <f aca="false">SUM('Cash Flow'!CI45:CT45)+SUM('Cash Flow'!CI52:CT52)</f>
        <v>0</v>
      </c>
      <c r="CU22" s="40" t="n">
        <f aca="false">SUM('Cash Flow'!CJ45:CU45)+SUM('Cash Flow'!CJ52:CU52)</f>
        <v>0</v>
      </c>
    </row>
    <row r="23" customFormat="false" ht="15" hidden="false" customHeight="false" outlineLevel="0" collapsed="false">
      <c r="A23" s="35" t="s">
        <v>169</v>
      </c>
      <c r="C23" s="40" t="n">
        <f aca="false">IF('Cash Flow'!C13=1,SUM('Cash Flow'!C45:C45)/ExitYield+SUM('Cash Flow'!C52:C52)*HotelMult,0)</f>
        <v>0</v>
      </c>
      <c r="D23" s="40" t="n">
        <f aca="false">IF('Cash Flow'!D13=1,SUM('Cash Flow'!C45:D45)/ExitYield+SUM('Cash Flow'!C52:D52)*HotelMult,0)</f>
        <v>0</v>
      </c>
      <c r="E23" s="40" t="n">
        <f aca="false">IF('Cash Flow'!E13=1,SUM('Cash Flow'!C45:E45)/ExitYield+SUM('Cash Flow'!C52:E52)*HotelMult,0)</f>
        <v>0</v>
      </c>
      <c r="F23" s="40" t="n">
        <f aca="false">IF('Cash Flow'!F13=1,SUM('Cash Flow'!C45:F45)/ExitYield+SUM('Cash Flow'!C52:F52)*HotelMult,0)</f>
        <v>0</v>
      </c>
      <c r="G23" s="40" t="n">
        <f aca="false">IF('Cash Flow'!G13=1,SUM('Cash Flow'!C45:G45)/ExitYield+SUM('Cash Flow'!C52:G52)*HotelMult,0)</f>
        <v>0</v>
      </c>
      <c r="H23" s="40" t="n">
        <f aca="false">IF('Cash Flow'!H13=1,SUM('Cash Flow'!C45:H45)/ExitYield+SUM('Cash Flow'!C52:H52)*HotelMult,0)</f>
        <v>0</v>
      </c>
      <c r="I23" s="40" t="n">
        <f aca="false">IF('Cash Flow'!I13=1,SUM('Cash Flow'!C45:I45)/ExitYield+SUM('Cash Flow'!C52:I52)*HotelMult,0)</f>
        <v>0</v>
      </c>
      <c r="J23" s="40" t="n">
        <f aca="false">IF('Cash Flow'!J13=1,SUM('Cash Flow'!C45:J45)/ExitYield+SUM('Cash Flow'!C52:J52)*HotelMult,0)</f>
        <v>0</v>
      </c>
      <c r="K23" s="40" t="n">
        <f aca="false">IF('Cash Flow'!K13=1,SUM('Cash Flow'!C45:K45)/ExitYield+SUM('Cash Flow'!C52:K52)*HotelMult,0)</f>
        <v>0</v>
      </c>
      <c r="L23" s="40" t="n">
        <f aca="false">IF('Cash Flow'!L13=1,SUM('Cash Flow'!C45:L45)/ExitYield+SUM('Cash Flow'!C52:L52)*HotelMult,0)</f>
        <v>0</v>
      </c>
      <c r="M23" s="40" t="n">
        <f aca="false">IF('Cash Flow'!M13=1,SUM('Cash Flow'!C45:M45)/ExitYield+SUM('Cash Flow'!C52:M52)*HotelMult,0)</f>
        <v>0</v>
      </c>
      <c r="N23" s="40" t="n">
        <f aca="false">IF('Cash Flow'!N13=1,SUM('Cash Flow'!C45:N45)/ExitYield+SUM('Cash Flow'!C52:N52)*HotelMult,0)</f>
        <v>0</v>
      </c>
      <c r="O23" s="40" t="n">
        <f aca="false">IF('Cash Flow'!O13=1,SUM('Cash Flow'!D45:O45)/ExitYield+SUM('Cash Flow'!D52:O52)*HotelMult,0)</f>
        <v>0</v>
      </c>
      <c r="P23" s="40" t="n">
        <f aca="false">IF('Cash Flow'!P13=1,SUM('Cash Flow'!E45:P45)/ExitYield+SUM('Cash Flow'!E52:P52)*HotelMult,0)</f>
        <v>0</v>
      </c>
      <c r="Q23" s="40" t="n">
        <f aca="false">IF('Cash Flow'!Q13=1,SUM('Cash Flow'!F45:Q45)/ExitYield+SUM('Cash Flow'!F52:Q52)*HotelMult,0)</f>
        <v>0</v>
      </c>
      <c r="R23" s="40" t="n">
        <f aca="false">IF('Cash Flow'!R13=1,SUM('Cash Flow'!G45:R45)/ExitYield+SUM('Cash Flow'!G52:R52)*HotelMult,0)</f>
        <v>0</v>
      </c>
      <c r="S23" s="40" t="n">
        <f aca="false">IF('Cash Flow'!S13=1,SUM('Cash Flow'!H45:S45)/ExitYield+SUM('Cash Flow'!H52:S52)*HotelMult,0)</f>
        <v>0</v>
      </c>
      <c r="T23" s="40" t="n">
        <f aca="false">IF('Cash Flow'!T13=1,SUM('Cash Flow'!I45:T45)/ExitYield+SUM('Cash Flow'!I52:T52)*HotelMult,0)</f>
        <v>0</v>
      </c>
      <c r="U23" s="40" t="n">
        <f aca="false">IF('Cash Flow'!U13=1,SUM('Cash Flow'!J45:U45)/ExitYield+SUM('Cash Flow'!J52:U52)*HotelMult,0)</f>
        <v>0</v>
      </c>
      <c r="V23" s="40" t="n">
        <f aca="false">IF('Cash Flow'!V13=1,SUM('Cash Flow'!K45:V45)/ExitYield+SUM('Cash Flow'!K52:V52)*HotelMult,0)</f>
        <v>0</v>
      </c>
      <c r="W23" s="40" t="n">
        <f aca="false">IF('Cash Flow'!W13=1,SUM('Cash Flow'!L45:W45)/ExitYield+SUM('Cash Flow'!L52:W52)*HotelMult,0)</f>
        <v>0</v>
      </c>
      <c r="X23" s="40" t="n">
        <f aca="false">IF('Cash Flow'!X13=1,SUM('Cash Flow'!M45:X45)/ExitYield+SUM('Cash Flow'!M52:X52)*HotelMult,0)</f>
        <v>0</v>
      </c>
      <c r="Y23" s="40" t="n">
        <f aca="false">IF('Cash Flow'!Y13=1,SUM('Cash Flow'!N45:Y45)/ExitYield+SUM('Cash Flow'!N52:Y52)*HotelMult,0)</f>
        <v>0</v>
      </c>
      <c r="Z23" s="40" t="n">
        <f aca="false">IF('Cash Flow'!Z13=1,SUM('Cash Flow'!O45:Z45)/ExitYield+SUM('Cash Flow'!O52:Z52)*HotelMult,0)</f>
        <v>0</v>
      </c>
      <c r="AA23" s="40" t="n">
        <f aca="false">IF('Cash Flow'!AA13=1,SUM('Cash Flow'!P45:AA45)/ExitYield+SUM('Cash Flow'!P52:AA52)*HotelMult,0)</f>
        <v>0</v>
      </c>
      <c r="AB23" s="40" t="n">
        <f aca="false">IF('Cash Flow'!AB13=1,SUM('Cash Flow'!Q45:AB45)/ExitYield+SUM('Cash Flow'!Q52:AB52)*HotelMult,0)</f>
        <v>0</v>
      </c>
      <c r="AC23" s="40" t="n">
        <f aca="false">IF('Cash Flow'!AC13=1,SUM('Cash Flow'!R45:AC45)/ExitYield+SUM('Cash Flow'!R52:AC52)*HotelMult,0)</f>
        <v>0</v>
      </c>
      <c r="AD23" s="40" t="n">
        <f aca="false">IF('Cash Flow'!AD13=1,SUM('Cash Flow'!S45:AD45)/ExitYield+SUM('Cash Flow'!S52:AD52)*HotelMult,0)</f>
        <v>0</v>
      </c>
      <c r="AE23" s="40" t="n">
        <f aca="false">IF('Cash Flow'!AE13=1,SUM('Cash Flow'!T45:AE45)/ExitYield+SUM('Cash Flow'!T52:AE52)*HotelMult,0)</f>
        <v>0</v>
      </c>
      <c r="AF23" s="40" t="n">
        <f aca="false">IF('Cash Flow'!AF13=1,SUM('Cash Flow'!U45:AF45)/ExitYield+SUM('Cash Flow'!U52:AF52)*HotelMult,0)</f>
        <v>0</v>
      </c>
      <c r="AG23" s="40" t="n">
        <f aca="false">IF('Cash Flow'!AG13=1,SUM('Cash Flow'!V45:AG45)/ExitYield+SUM('Cash Flow'!V52:AG52)*HotelMult,0)</f>
        <v>0</v>
      </c>
      <c r="AH23" s="40" t="n">
        <f aca="false">IF('Cash Flow'!AH13=1,SUM('Cash Flow'!W45:AH45)/ExitYield+SUM('Cash Flow'!W52:AH52)*HotelMult,0)</f>
        <v>12483840.0495078</v>
      </c>
      <c r="AI23" s="40" t="n">
        <f aca="false">IF('Cash Flow'!AI13=1,SUM('Cash Flow'!X45:AI45)/ExitYield+SUM('Cash Flow'!X52:AI52)*HotelMult,0)</f>
        <v>25411038.7889059</v>
      </c>
      <c r="AJ23" s="40" t="n">
        <f aca="false">IF('Cash Flow'!AJ13=1,SUM('Cash Flow'!Y45:AJ45)/ExitYield+SUM('Cash Flow'!Y52:AJ52)*HotelMult,0)</f>
        <v>38352330.7702954</v>
      </c>
      <c r="AK23" s="40" t="n">
        <f aca="false">IF('Cash Flow'!AK13=1,SUM('Cash Flow'!Z45:AK45)/ExitYield+SUM('Cash Flow'!Z52:AK52)*HotelMult,0)</f>
        <v>52172587.4595446</v>
      </c>
      <c r="AL23" s="40" t="n">
        <f aca="false">IF('Cash Flow'!AL13=1,SUM('Cash Flow'!AA45:AL45)/ExitYield+SUM('Cash Flow'!AA52:AL52)*HotelMult,0)</f>
        <v>238196359.709143</v>
      </c>
      <c r="AM23" s="40" t="n">
        <f aca="false">IF('Cash Flow'!AM13=1,SUM('Cash Flow'!AB45:AM45)/ExitYield+SUM('Cash Flow'!AB52:AM52)*HotelMult,0)</f>
        <v>460084798.789583</v>
      </c>
      <c r="AN23" s="40" t="n">
        <f aca="false">IF('Cash Flow'!AN13=1,SUM('Cash Flow'!AC45:AN45)/ExitYield+SUM('Cash Flow'!AC52:AN52)*HotelMult,0)</f>
        <v>717551082.088231</v>
      </c>
      <c r="AO23" s="40" t="n">
        <f aca="false">IF('Cash Flow'!AO13=1,SUM('Cash Flow'!AD45:AO45)/ExitYield+SUM('Cash Flow'!AD52:AO52)*HotelMult,0)</f>
        <v>1009256579.56698</v>
      </c>
      <c r="AP23" s="40" t="n">
        <f aca="false">IF('Cash Flow'!AP13=1,SUM('Cash Flow'!AE45:AP45)/ExitYield+SUM('Cash Flow'!AE52:AP52)*HotelMult,0)</f>
        <v>1338401612.32039</v>
      </c>
      <c r="AQ23" s="40" t="n">
        <f aca="false">IF('Cash Flow'!AQ13=1,SUM('Cash Flow'!AF45:AQ45)/ExitYield+SUM('Cash Flow'!AF52:AQ52)*HotelMult,0)</f>
        <v>1393116912.62012</v>
      </c>
      <c r="AR23" s="40" t="n">
        <f aca="false">IF('Cash Flow'!AR13=1,SUM('Cash Flow'!AG45:AR45)/ExitYield+SUM('Cash Flow'!AG52:AR52)*HotelMult,0)</f>
        <v>1794642403.7313</v>
      </c>
      <c r="AS23" s="40" t="n">
        <f aca="false">IF('Cash Flow'!AS13=1,SUM('Cash Flow'!AH45:AS45)/ExitYield+SUM('Cash Flow'!AH52:AS52)*HotelMult,0)</f>
        <v>2232059071.21073</v>
      </c>
      <c r="AT23" s="40" t="n">
        <f aca="false">IF('Cash Flow'!AT13=1,SUM('Cash Flow'!AI45:AT45)/ExitYield+SUM('Cash Flow'!AI52:AT52)*HotelMult,0)</f>
        <v>2694188072.23946</v>
      </c>
      <c r="AU23" s="40" t="n">
        <f aca="false">IF('Cash Flow'!AU13=1,SUM('Cash Flow'!AJ45:AU45)/ExitYield+SUM('Cash Flow'!AJ52:AU52)*HotelMult,0)</f>
        <v>3192684102.823</v>
      </c>
      <c r="AV23" s="40" t="n">
        <f aca="false">IF('Cash Flow'!AV13=1,SUM('Cash Flow'!AK45:AV45)/ExitYield+SUM('Cash Flow'!AK52:AV52)*HotelMult,0)</f>
        <v>3727545891.17609</v>
      </c>
      <c r="AW23" s="40" t="n">
        <f aca="false">IF('Cash Flow'!AW13=1,SUM('Cash Flow'!AL45:AW45)/ExitYield+SUM('Cash Flow'!AL52:AW52)*HotelMult,0)</f>
        <v>4299306343.36415</v>
      </c>
      <c r="AX23" s="40" t="n">
        <f aca="false">IF('Cash Flow'!AX13=1,SUM('Cash Flow'!AM45:AX45)/ExitYield+SUM('Cash Flow'!AM52:AX52)*HotelMult,0)</f>
        <v>4735571841.26606</v>
      </c>
      <c r="AY23" s="40" t="n">
        <f aca="false">IF('Cash Flow'!AY13=1,SUM('Cash Flow'!AN45:AY45)/ExitYield+SUM('Cash Flow'!AN52:AY52)*HotelMult,0)</f>
        <v>5174141588.53571</v>
      </c>
      <c r="AZ23" s="40" t="n">
        <f aca="false">IF('Cash Flow'!AZ13=1,SUM('Cash Flow'!AO45:AZ45)/ExitYield+SUM('Cash Flow'!AO52:AZ52)*HotelMult,0)</f>
        <v>5579192573.01004</v>
      </c>
      <c r="BA23" s="40" t="n">
        <f aca="false">IF('Cash Flow'!BA13=1,SUM('Cash Flow'!AP45:BA45)/ExitYield+SUM('Cash Flow'!AP52:BA52)*HotelMult,0)</f>
        <v>6037734161.00493</v>
      </c>
      <c r="BB23" s="40" t="n">
        <f aca="false">IF('Cash Flow'!BB13=1,SUM('Cash Flow'!AQ45:BB45)/ExitYield+SUM('Cash Flow'!AQ52:BB52)*HotelMult,0)</f>
        <v>6375242994.4456</v>
      </c>
      <c r="BC23" s="40" t="n">
        <f aca="false">IF('Cash Flow'!BC13=1,SUM('Cash Flow'!AR45:BC45)/ExitYield+SUM('Cash Flow'!AR52:BC52)*HotelMult,0)</f>
        <v>6988541432.6896</v>
      </c>
      <c r="BD23" s="40" t="n">
        <f aca="false">IF('Cash Flow'!BD13=1,SUM('Cash Flow'!AS45:BD45)/ExitYield+SUM('Cash Flow'!AS52:BD52)*HotelMult,0)</f>
        <v>7257831105.59786</v>
      </c>
      <c r="BE23" s="40" t="n">
        <f aca="false">IF('Cash Flow'!BE13=1,SUM('Cash Flow'!AT45:BE45)/ExitYield+SUM('Cash Flow'!AT52:BE52)*HotelMult,0)</f>
        <v>7492570233.78078</v>
      </c>
      <c r="BF23" s="40" t="n">
        <f aca="false">IF('Cash Flow'!BF13=1,SUM('Cash Flow'!AU45:BF45)/ExitYield+SUM('Cash Flow'!AU52:BF52)*HotelMult,0)</f>
        <v>7692522078.14598</v>
      </c>
      <c r="BG23" s="40" t="n">
        <f aca="false">IF('Cash Flow'!BG13=1,SUM('Cash Flow'!AV45:BG45)/ExitYield+SUM('Cash Flow'!AV52:BG52)*HotelMult,0)</f>
        <v>7857327192.75965</v>
      </c>
      <c r="BH23" s="40" t="n">
        <f aca="false">IF('Cash Flow'!BH13=1,SUM('Cash Flow'!AW45:BH45)/ExitYield+SUM('Cash Flow'!AW52:BH52)*HotelMult,0)</f>
        <v>7986665335.86977</v>
      </c>
      <c r="BI23" s="40" t="n">
        <f aca="false">IF('Cash Flow'!BI13=1,SUM('Cash Flow'!AX45:BI45)/ExitYield+SUM('Cash Flow'!AX52:BI52)*HotelMult,0)</f>
        <v>8080652607.12656</v>
      </c>
      <c r="BJ23" s="40" t="n">
        <f aca="false">IF('Cash Flow'!BJ13=1,SUM('Cash Flow'!AY45:BJ45)/ExitYield+SUM('Cash Flow'!AY52:BJ52)*HotelMult,0)</f>
        <v>8138848704.98398</v>
      </c>
      <c r="BK23" s="40" t="n">
        <f aca="false">IF('Cash Flow'!BK13=1,SUM('Cash Flow'!AZ45:BK45)/ExitYield+SUM('Cash Flow'!AZ52:BK52)*HotelMult,0)</f>
        <v>8161314628.16638</v>
      </c>
      <c r="BL23" s="40" t="n">
        <f aca="false">IF('Cash Flow'!BL13=1,SUM('Cash Flow'!BA45:BL45)/ExitYield+SUM('Cash Flow'!BA52:BL52)*HotelMult,0)</f>
        <v>8183405745.014</v>
      </c>
      <c r="BM23" s="40" t="n">
        <f aca="false">IF('Cash Flow'!BM13=1,SUM('Cash Flow'!BB45:BM45)/ExitYield+SUM('Cash Flow'!BB52:BM52)*HotelMult,0)</f>
        <v>8117926999.60921</v>
      </c>
      <c r="BN23" s="40" t="n">
        <f aca="false">IF('Cash Flow'!BN13=1,SUM('Cash Flow'!BC45:BN45)/ExitYield+SUM('Cash Flow'!BC52:BN52)*HotelMult,0)</f>
        <v>8139262540.08676</v>
      </c>
      <c r="BO23" s="40" t="n">
        <f aca="false">IF('Cash Flow'!BO13=1,SUM('Cash Flow'!BD45:BO45)/ExitYield+SUM('Cash Flow'!BD52:BO52)*HotelMult,0)</f>
        <v>8160166964.65721</v>
      </c>
      <c r="BP23" s="40" t="n">
        <f aca="false">IF('Cash Flow'!BP13=1,SUM('Cash Flow'!BE45:BP45)/ExitYield+SUM('Cash Flow'!BE52:BP52)*HotelMult,0)</f>
        <v>8180738926.95042</v>
      </c>
      <c r="BQ23" s="40" t="n">
        <f aca="false">IF('Cash Flow'!BQ13=1,SUM('Cash Flow'!BF45:BQ45)/ExitYield+SUM('Cash Flow'!BF52:BQ52)*HotelMult,0)</f>
        <v>8200903600.82029</v>
      </c>
      <c r="BR23" s="40" t="n">
        <f aca="false">IF('Cash Flow'!BR13=1,SUM('Cash Flow'!BG45:BR45)/ExitYield+SUM('Cash Flow'!BG52:BR52)*HotelMult,0)</f>
        <v>8221140541.38359</v>
      </c>
      <c r="BS23" s="40" t="n">
        <f aca="false">IF('Cash Flow'!BS13=1,SUM('Cash Flow'!BH45:BS45)/ExitYield+SUM('Cash Flow'!BH52:BS52)*HotelMult,0)</f>
        <v>8241427391.70169</v>
      </c>
      <c r="BT23" s="40" t="n">
        <f aca="false">IF('Cash Flow'!BT13=1,SUM('Cash Flow'!BI45:BT45)/ExitYield+SUM('Cash Flow'!BI52:BT52)*HotelMult,0)</f>
        <v>8261741628.40503</v>
      </c>
      <c r="BU23" s="40" t="n">
        <f aca="false">IF('Cash Flow'!BU13=1,SUM('Cash Flow'!BJ45:BU45)/ExitYield+SUM('Cash Flow'!BJ52:BU52)*HotelMult,0)</f>
        <v>8282128667.80905</v>
      </c>
      <c r="BV23" s="40" t="n">
        <f aca="false">IF('Cash Flow'!BV13=1,SUM('Cash Flow'!BK45:BV45)/ExitYield+SUM('Cash Flow'!BK52:BV52)*HotelMult,0)</f>
        <v>8302543228.84932</v>
      </c>
      <c r="BW23" s="40" t="n">
        <f aca="false">IF('Cash Flow'!BW13=1,SUM('Cash Flow'!BL45:BW45)/ExitYield+SUM('Cash Flow'!BL52:BW52)*HotelMult,0)</f>
        <v>8323030952.13529</v>
      </c>
      <c r="BX23" s="40" t="n">
        <f aca="false">IF('Cash Flow'!BX13=1,SUM('Cash Flow'!BM45:BX45)/ExitYield+SUM('Cash Flow'!BM52:BX52)*HotelMult,0)</f>
        <v>0</v>
      </c>
      <c r="BY23" s="40" t="n">
        <f aca="false">IF('Cash Flow'!BY13=1,SUM('Cash Flow'!BN45:BY45)/ExitYield+SUM('Cash Flow'!BN52:BY52)*HotelMult,0)</f>
        <v>0</v>
      </c>
      <c r="BZ23" s="40" t="n">
        <f aca="false">IF('Cash Flow'!BZ13=1,SUM('Cash Flow'!BO45:BZ45)/ExitYield+SUM('Cash Flow'!BO52:BZ52)*HotelMult,0)</f>
        <v>0</v>
      </c>
      <c r="CA23" s="40" t="n">
        <f aca="false">IF('Cash Flow'!CA13=1,SUM('Cash Flow'!BP45:CA45)/ExitYield+SUM('Cash Flow'!BP52:CA52)*HotelMult,0)</f>
        <v>0</v>
      </c>
      <c r="CB23" s="40" t="n">
        <f aca="false">IF('Cash Flow'!CB13=1,SUM('Cash Flow'!BQ45:CB45)/ExitYield+SUM('Cash Flow'!BQ52:CB52)*HotelMult,0)</f>
        <v>0</v>
      </c>
      <c r="CC23" s="40" t="n">
        <f aca="false">IF('Cash Flow'!CC13=1,SUM('Cash Flow'!BR45:CC45)/ExitYield+SUM('Cash Flow'!BR52:CC52)*HotelMult,0)</f>
        <v>0</v>
      </c>
      <c r="CD23" s="40" t="n">
        <f aca="false">IF('Cash Flow'!CD13=1,SUM('Cash Flow'!BS45:CD45)/ExitYield+SUM('Cash Flow'!BS52:CD52)*HotelMult,0)</f>
        <v>0</v>
      </c>
      <c r="CE23" s="40" t="n">
        <f aca="false">IF('Cash Flow'!CE13=1,SUM('Cash Flow'!BT45:CE45)/ExitYield+SUM('Cash Flow'!BT52:CE52)*HotelMult,0)</f>
        <v>0</v>
      </c>
      <c r="CF23" s="40" t="n">
        <f aca="false">IF('Cash Flow'!CF13=1,SUM('Cash Flow'!BU45:CF45)/ExitYield+SUM('Cash Flow'!BU52:CF52)*HotelMult,0)</f>
        <v>0</v>
      </c>
      <c r="CG23" s="40" t="n">
        <f aca="false">IF('Cash Flow'!CG13=1,SUM('Cash Flow'!BV45:CG45)/ExitYield+SUM('Cash Flow'!BV52:CG52)*HotelMult,0)</f>
        <v>0</v>
      </c>
      <c r="CH23" s="40" t="n">
        <f aca="false">IF('Cash Flow'!CH13=1,SUM('Cash Flow'!BW45:CH45)/ExitYield+SUM('Cash Flow'!BW52:CH52)*HotelMult,0)</f>
        <v>0</v>
      </c>
      <c r="CI23" s="40" t="n">
        <f aca="false">IF('Cash Flow'!CI13=1,SUM('Cash Flow'!BX45:CI45)/ExitYield+SUM('Cash Flow'!BX52:CI52)*HotelMult,0)</f>
        <v>0</v>
      </c>
      <c r="CJ23" s="40" t="n">
        <f aca="false">IF('Cash Flow'!CJ13=1,SUM('Cash Flow'!BY45:CJ45)/ExitYield+SUM('Cash Flow'!BY52:CJ52)*HotelMult,0)</f>
        <v>0</v>
      </c>
      <c r="CK23" s="40" t="n">
        <f aca="false">IF('Cash Flow'!CK13=1,SUM('Cash Flow'!BZ45:CK45)/ExitYield+SUM('Cash Flow'!BZ52:CK52)*HotelMult,0)</f>
        <v>0</v>
      </c>
      <c r="CL23" s="40" t="n">
        <f aca="false">IF('Cash Flow'!CL13=1,SUM('Cash Flow'!CA45:CL45)/ExitYield+SUM('Cash Flow'!CA52:CL52)*HotelMult,0)</f>
        <v>0</v>
      </c>
      <c r="CM23" s="40" t="n">
        <f aca="false">IF('Cash Flow'!CM13=1,SUM('Cash Flow'!CB45:CM45)/ExitYield+SUM('Cash Flow'!CB52:CM52)*HotelMult,0)</f>
        <v>0</v>
      </c>
      <c r="CN23" s="40" t="n">
        <f aca="false">IF('Cash Flow'!CN13=1,SUM('Cash Flow'!CC45:CN45)/ExitYield+SUM('Cash Flow'!CC52:CN52)*HotelMult,0)</f>
        <v>0</v>
      </c>
      <c r="CO23" s="40" t="n">
        <f aca="false">IF('Cash Flow'!CO13=1,SUM('Cash Flow'!CD45:CO45)/ExitYield+SUM('Cash Flow'!CD52:CO52)*HotelMult,0)</f>
        <v>0</v>
      </c>
      <c r="CP23" s="40" t="n">
        <f aca="false">IF('Cash Flow'!CP13=1,SUM('Cash Flow'!CE45:CP45)/ExitYield+SUM('Cash Flow'!CE52:CP52)*HotelMult,0)</f>
        <v>0</v>
      </c>
      <c r="CQ23" s="40" t="n">
        <f aca="false">IF('Cash Flow'!CQ13=1,SUM('Cash Flow'!CF45:CQ45)/ExitYield+SUM('Cash Flow'!CF52:CQ52)*HotelMult,0)</f>
        <v>0</v>
      </c>
      <c r="CR23" s="40" t="n">
        <f aca="false">IF('Cash Flow'!CR13=1,SUM('Cash Flow'!CG45:CR45)/ExitYield+SUM('Cash Flow'!CG52:CR52)*HotelMult,0)</f>
        <v>0</v>
      </c>
      <c r="CS23" s="40" t="n">
        <f aca="false">IF('Cash Flow'!CS13=1,SUM('Cash Flow'!CH45:CS45)/ExitYield+SUM('Cash Flow'!CH52:CS52)*HotelMult,0)</f>
        <v>0</v>
      </c>
      <c r="CT23" s="40" t="n">
        <f aca="false">IF('Cash Flow'!CT13=1,SUM('Cash Flow'!CI45:CT45)/ExitYield+SUM('Cash Flow'!CI52:CT52)*HotelMult,0)</f>
        <v>0</v>
      </c>
      <c r="CU23" s="40" t="n">
        <f aca="false">IF('Cash Flow'!CU13=1,SUM('Cash Flow'!CJ45:CU45)/ExitYield+SUM('Cash Flow'!CJ52:CU52)*HotelMult,0)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15" hidden="false" customHeight="false" outlineLevel="0" collapsed="false">
      <c r="A5" s="17" t="s">
        <v>105</v>
      </c>
      <c r="B5" s="17" t="n">
        <v>2026</v>
      </c>
      <c r="C5" s="17" t="n">
        <v>2027</v>
      </c>
      <c r="D5" s="17" t="n">
        <v>2028</v>
      </c>
      <c r="E5" s="17" t="n">
        <v>2029</v>
      </c>
      <c r="F5" s="17" t="n">
        <v>2030</v>
      </c>
      <c r="G5" s="17" t="n">
        <v>2031</v>
      </c>
      <c r="H5" s="17" t="n">
        <v>2032</v>
      </c>
    </row>
    <row r="6" customFormat="false" ht="15" hidden="false" customHeight="false" outlineLevel="0" collapsed="false">
      <c r="A6" s="35" t="s">
        <v>172</v>
      </c>
      <c r="B6" s="46" t="n">
        <f aca="false">SUMIFS('Cash Flow'!$C$34:$CU$34,'Cash Flow'!$C$11:$CU$11,B$5)</f>
        <v>0</v>
      </c>
      <c r="C6" s="46" t="n">
        <f aca="false">SUMIFS('Cash Flow'!$C$34:$CU$34,'Cash Flow'!$C$11:$CU$11,C$5)</f>
        <v>34344223.6798948</v>
      </c>
      <c r="D6" s="46" t="n">
        <f aca="false">SUMIFS('Cash Flow'!$C$34:$CU$34,'Cash Flow'!$C$11:$CU$11,D$5)</f>
        <v>464364872.428362</v>
      </c>
      <c r="E6" s="46" t="n">
        <f aca="false">SUMIFS('Cash Flow'!$C$34:$CU$34,'Cash Flow'!$C$11:$CU$11,E$5)</f>
        <v>446290903.891743</v>
      </c>
      <c r="F6" s="46" t="n">
        <f aca="false">SUMIFS('Cash Flow'!$C$34:$CU$34,'Cash Flow'!$C$11:$CU$11,F$5)</f>
        <v>0</v>
      </c>
      <c r="G6" s="46" t="n">
        <f aca="false">SUMIFS('Cash Flow'!$C$34:$CU$34,'Cash Flow'!$C$11:$CU$11,G$5)</f>
        <v>0</v>
      </c>
      <c r="H6" s="46" t="n">
        <f aca="false">SUMIFS('Cash Flow'!$C$34:$CU$34,'Cash Flow'!$C$11:$CU$11,H$5)</f>
        <v>0</v>
      </c>
    </row>
    <row r="7" customFormat="false" ht="15" hidden="false" customHeight="false" outlineLevel="0" collapsed="false">
      <c r="A7" s="35" t="s">
        <v>173</v>
      </c>
      <c r="B7" s="46" t="n">
        <f aca="false">SUMIFS('Cash Flow'!$C$45:$CU$45,'Cash Flow'!$C$11:$CU$11,B$5)</f>
        <v>0</v>
      </c>
      <c r="C7" s="46" t="n">
        <f aca="false">SUMIFS('Cash Flow'!$C$45:$CU$45,'Cash Flow'!$C$11:$CU$11,C$5)</f>
        <v>0</v>
      </c>
      <c r="D7" s="46" t="n">
        <f aca="false">SUMIFS('Cash Flow'!$C$45:$CU$45,'Cash Flow'!$C$11:$CU$11,D$5)</f>
        <v>0</v>
      </c>
      <c r="E7" s="46" t="n">
        <f aca="false">SUMIFS('Cash Flow'!$C$45:$CU$45,'Cash Flow'!$C$11:$CU$11,E$5)</f>
        <v>27505103.743263</v>
      </c>
      <c r="F7" s="46" t="n">
        <f aca="false">SUMIFS('Cash Flow'!$C$45:$CU$45,'Cash Flow'!$C$11:$CU$11,F$5)</f>
        <v>359984795.31279</v>
      </c>
      <c r="G7" s="46" t="n">
        <f aca="false">SUMIFS('Cash Flow'!$C$45:$CU$45,'Cash Flow'!$C$11:$CU$11,G$5)</f>
        <v>572295160.225233</v>
      </c>
      <c r="H7" s="46" t="n">
        <f aca="false">SUMIFS('Cash Flow'!$C$45:$CU$45,'Cash Flow'!$C$11:$CU$11,H$5)</f>
        <v>582913256.367809</v>
      </c>
    </row>
    <row r="8" customFormat="false" ht="15" hidden="false" customHeight="false" outlineLevel="0" collapsed="false">
      <c r="A8" s="35" t="s">
        <v>141</v>
      </c>
      <c r="B8" s="46" t="n">
        <f aca="false">SUMIFS('Cash Flow'!$C$52:$CU$52,'Cash Flow'!$C$11:$CU$11,B$5)</f>
        <v>0</v>
      </c>
      <c r="C8" s="46" t="n">
        <f aca="false">SUMIFS('Cash Flow'!$C$52:$CU$52,'Cash Flow'!$C$11:$CU$11,C$5)</f>
        <v>0</v>
      </c>
      <c r="D8" s="46" t="n">
        <f aca="false">SUMIFS('Cash Flow'!$C$52:$CU$52,'Cash Flow'!$C$11:$CU$11,D$5)</f>
        <v>0</v>
      </c>
      <c r="E8" s="46" t="n">
        <f aca="false">SUMIFS('Cash Flow'!$C$52:$CU$52,'Cash Flow'!$C$11:$CU$11,E$5)</f>
        <v>7336732.50029065</v>
      </c>
      <c r="F8" s="46" t="n">
        <f aca="false">SUMIFS('Cash Flow'!$C$52:$CU$52,'Cash Flow'!$C$11:$CU$11,F$5)</f>
        <v>18984915.1799982</v>
      </c>
      <c r="G8" s="46" t="n">
        <f aca="false">SUMIFS('Cash Flow'!$C$52:$CU$52,'Cash Flow'!$C$11:$CU$11,G$5)</f>
        <v>24326207.2938296</v>
      </c>
      <c r="H8" s="46" t="n">
        <f aca="false">SUMIFS('Cash Flow'!$C$52:$CU$52,'Cash Flow'!$C$11:$CU$11,H$5)</f>
        <v>25713464.1529771</v>
      </c>
    </row>
    <row r="9" customFormat="false" ht="15" hidden="false" customHeight="false" outlineLevel="0" collapsed="false">
      <c r="A9" s="35" t="s">
        <v>174</v>
      </c>
      <c r="B9" s="46" t="n">
        <f aca="false">SUMIFS('Cash Flow'!$C$55:$CU$55,'Cash Flow'!$C$11:$CU$11,B$5)+SUMIFS('Cash Flow'!$C$56:$CU$56,'Cash Flow'!$C$11:$CU$11,B$5)-SUMIFS('Cash Flow'!$C$57:$CU$57,'Cash Flow'!$C$11:$CU$11,B$5)</f>
        <v>0</v>
      </c>
      <c r="C9" s="46" t="n">
        <f aca="false">SUMIFS('Cash Flow'!$C$55:$CU$55,'Cash Flow'!$C$11:$CU$11,C$5)+SUMIFS('Cash Flow'!$C$56:$CU$56,'Cash Flow'!$C$11:$CU$11,C$5)-SUMIFS('Cash Flow'!$C$57:$CU$57,'Cash Flow'!$C$11:$CU$11,C$5)</f>
        <v>0</v>
      </c>
      <c r="D9" s="46" t="n">
        <f aca="false">SUMIFS('Cash Flow'!$C$55:$CU$55,'Cash Flow'!$C$11:$CU$11,D$5)+SUMIFS('Cash Flow'!$C$56:$CU$56,'Cash Flow'!$C$11:$CU$11,D$5)-SUMIFS('Cash Flow'!$C$57:$CU$57,'Cash Flow'!$C$11:$CU$11,D$5)</f>
        <v>0</v>
      </c>
      <c r="E9" s="46" t="n">
        <f aca="false">SUMIFS('Cash Flow'!$C$55:$CU$55,'Cash Flow'!$C$11:$CU$11,E$5)+SUMIFS('Cash Flow'!$C$56:$CU$56,'Cash Flow'!$C$11:$CU$11,E$5)-SUMIFS('Cash Flow'!$C$57:$CU$57,'Cash Flow'!$C$11:$CU$11,E$5)</f>
        <v>0</v>
      </c>
      <c r="F9" s="46" t="n">
        <f aca="false">SUMIFS('Cash Flow'!$C$55:$CU$55,'Cash Flow'!$C$11:$CU$11,F$5)+SUMIFS('Cash Flow'!$C$56:$CU$56,'Cash Flow'!$C$11:$CU$11,F$5)-SUMIFS('Cash Flow'!$C$57:$CU$57,'Cash Flow'!$C$11:$CU$11,F$5)</f>
        <v>0</v>
      </c>
      <c r="G9" s="46" t="n">
        <f aca="false">SUMIFS('Cash Flow'!$C$55:$CU$55,'Cash Flow'!$C$11:$CU$11,G$5)+SUMIFS('Cash Flow'!$C$56:$CU$56,'Cash Flow'!$C$11:$CU$11,G$5)-SUMIFS('Cash Flow'!$C$57:$CU$57,'Cash Flow'!$C$11:$CU$11,G$5)</f>
        <v>0</v>
      </c>
      <c r="H9" s="46" t="n">
        <f aca="false">SUMIFS('Cash Flow'!$C$55:$CU$55,'Cash Flow'!$C$11:$CU$11,H$5)+SUMIFS('Cash Flow'!$C$56:$CU$56,'Cash Flow'!$C$11:$CU$11,H$5)-SUMIFS('Cash Flow'!$C$57:$CU$57,'Cash Flow'!$C$11:$CU$11,H$5)</f>
        <v>8435772890.96594</v>
      </c>
    </row>
    <row r="10" customFormat="false" ht="15" hidden="false" customHeight="false" outlineLevel="0" collapsed="false">
      <c r="A10" s="35" t="s">
        <v>111</v>
      </c>
      <c r="B10" s="46" t="n">
        <f aca="false">SUMIFS('Cash Flow'!$C$24:$CU$24,'Cash Flow'!$C$11:$CU$11,B$5)</f>
        <v>682500000</v>
      </c>
      <c r="C10" s="46" t="n">
        <f aca="false">SUMIFS('Cash Flow'!$C$24:$CU$24,'Cash Flow'!$C$11:$CU$11,C$5)</f>
        <v>466152337.220784</v>
      </c>
      <c r="D10" s="46" t="n">
        <f aca="false">SUMIFS('Cash Flow'!$C$24:$CU$24,'Cash Flow'!$C$11:$CU$11,D$5)</f>
        <v>754250325.558432</v>
      </c>
      <c r="E10" s="46" t="n">
        <f aca="false">SUMIFS('Cash Flow'!$C$24:$CU$24,'Cash Flow'!$C$11:$CU$11,E$5)</f>
        <v>128841337.220784</v>
      </c>
      <c r="F10" s="46" t="n">
        <f aca="false">SUMIFS('Cash Flow'!$C$24:$CU$24,'Cash Flow'!$C$11:$CU$11,F$5)</f>
        <v>0</v>
      </c>
      <c r="G10" s="46" t="n">
        <f aca="false">SUMIFS('Cash Flow'!$C$24:$CU$24,'Cash Flow'!$C$11:$CU$11,G$5)</f>
        <v>0</v>
      </c>
      <c r="H10" s="46" t="n">
        <f aca="false">SUMIFS('Cash Flow'!$C$24:$CU$24,'Cash Flow'!$C$11:$CU$11,H$5)</f>
        <v>0</v>
      </c>
    </row>
    <row r="11" customFormat="false" ht="15" hidden="false" customHeight="false" outlineLevel="0" collapsed="false">
      <c r="A11" s="35" t="s">
        <v>147</v>
      </c>
      <c r="B11" s="46" t="n">
        <f aca="false">SUMIFS('Cash Flow'!$C$62:$CU$62,'Cash Flow'!$C$11:$CU$11,B$5)</f>
        <v>0</v>
      </c>
      <c r="C11" s="46" t="n">
        <f aca="false">SUMIFS('Cash Flow'!$C$62:$CU$62,'Cash Flow'!$C$11:$CU$11,C$5)</f>
        <v>0</v>
      </c>
      <c r="D11" s="46" t="n">
        <f aca="false">SUMIFS('Cash Flow'!$C$62:$CU$62,'Cash Flow'!$C$11:$CU$11,D$5)</f>
        <v>0</v>
      </c>
      <c r="E11" s="46" t="n">
        <f aca="false">SUMIFS('Cash Flow'!$C$62:$CU$62,'Cash Flow'!$C$11:$CU$11,E$5)</f>
        <v>8649785.07286282</v>
      </c>
      <c r="F11" s="46" t="n">
        <f aca="false">SUMIFS('Cash Flow'!$C$62:$CU$62,'Cash Flow'!$C$11:$CU$11,F$5)</f>
        <v>9474242.76231971</v>
      </c>
      <c r="G11" s="46" t="n">
        <f aca="false">SUMIFS('Cash Flow'!$C$62:$CU$62,'Cash Flow'!$C$11:$CU$11,G$5)</f>
        <v>14915534.1879766</v>
      </c>
      <c r="H11" s="46" t="n">
        <f aca="false">SUMIFS('Cash Flow'!$C$62:$CU$62,'Cash Flow'!$C$11:$CU$11,H$5)</f>
        <v>226109990.287168</v>
      </c>
    </row>
    <row r="12" customFormat="false" ht="15" hidden="false" customHeight="false" outlineLevel="0" collapsed="false">
      <c r="A12" s="15" t="s">
        <v>148</v>
      </c>
      <c r="B12" s="46" t="n">
        <f aca="false">SUMIFS('Cash Flow'!$C$63:$CU$63,'Cash Flow'!$C$11:$CU$11,B$5)</f>
        <v>-682500000</v>
      </c>
      <c r="C12" s="46" t="n">
        <f aca="false">SUMIFS('Cash Flow'!$C$63:$CU$63,'Cash Flow'!$C$11:$CU$11,C$5)</f>
        <v>-439683113.540889</v>
      </c>
      <c r="D12" s="46" t="n">
        <f aca="false">SUMIFS('Cash Flow'!$C$63:$CU$63,'Cash Flow'!$C$11:$CU$11,D$5)</f>
        <v>-299335453.13007</v>
      </c>
      <c r="E12" s="46" t="n">
        <f aca="false">SUMIFS('Cash Flow'!$C$63:$CU$63,'Cash Flow'!$C$11:$CU$11,E$5)</f>
        <v>337341617.84165</v>
      </c>
      <c r="F12" s="46" t="n">
        <f aca="false">SUMIFS('Cash Flow'!$C$63:$CU$63,'Cash Flow'!$C$11:$CU$11,F$5)</f>
        <v>369495467.730469</v>
      </c>
      <c r="G12" s="46" t="n">
        <f aca="false">SUMIFS('Cash Flow'!$C$63:$CU$63,'Cash Flow'!$C$11:$CU$11,G$5)</f>
        <v>581705833.331086</v>
      </c>
      <c r="H12" s="46" t="n">
        <f aca="false">SUMIFS('Cash Flow'!$C$63:$CU$63,'Cash Flow'!$C$11:$CU$11,H$5)</f>
        <v>8818289621.19955</v>
      </c>
    </row>
    <row r="13" customFormat="false" ht="15" hidden="false" customHeight="false" outlineLevel="0" collapsed="false">
      <c r="A13" s="15" t="s">
        <v>153</v>
      </c>
      <c r="B13" s="46" t="n">
        <f aca="false">SUMIFS('Cash Flow'!$C$69:$CU$69,'Cash Flow'!$C$11:$CU$11,B$5)</f>
        <v>-682500000</v>
      </c>
      <c r="C13" s="46" t="n">
        <f aca="false">SUMIFS('Cash Flow'!$C$69:$CU$69,'Cash Flow'!$C$11:$CU$11,C$5)</f>
        <v>-413302032.055108</v>
      </c>
      <c r="D13" s="46" t="n">
        <f aca="false">SUMIFS('Cash Flow'!$C$69:$CU$69,'Cash Flow'!$C$11:$CU$11,D$5)</f>
        <v>454914872.428362</v>
      </c>
      <c r="E13" s="46" t="n">
        <f aca="false">SUMIFS('Cash Flow'!$C$69:$CU$69,'Cash Flow'!$C$11:$CU$11,E$5)</f>
        <v>408688110.766257</v>
      </c>
      <c r="F13" s="46" t="n">
        <f aca="false">SUMIFS('Cash Flow'!$C$69:$CU$69,'Cash Flow'!$C$11:$CU$11,F$5)</f>
        <v>263580866.086511</v>
      </c>
      <c r="G13" s="46" t="n">
        <f aca="false">SUMIFS('Cash Flow'!$C$69:$CU$69,'Cash Flow'!$C$11:$CU$11,G$5)</f>
        <v>478036281.210687</v>
      </c>
      <c r="H13" s="46" t="n">
        <f aca="false">SUMIFS('Cash Flow'!$C$69:$CU$69,'Cash Flow'!$C$11:$CU$11,H$5)</f>
        <v>7828697053.00998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175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177</v>
      </c>
      <c r="B5" s="40" t="n">
        <f aca="false">-SUMIF('Cash Flow'!$C$69:$CU$69,"&lt;0")</f>
        <v>1117125121.54198</v>
      </c>
    </row>
    <row r="6" customFormat="false" ht="15" hidden="false" customHeight="false" outlineLevel="0" collapsed="false">
      <c r="A6" s="0" t="s">
        <v>178</v>
      </c>
      <c r="B6" s="40" t="n">
        <f aca="false">SUMIF('Cash Flow'!$C$69:$CU$69,"&gt;0")</f>
        <v>9455240272.98867</v>
      </c>
    </row>
    <row r="7" customFormat="false" ht="15" hidden="false" customHeight="false" outlineLevel="0" collapsed="false">
      <c r="A7" s="0" t="s">
        <v>179</v>
      </c>
      <c r="B7" s="40" t="n">
        <f aca="false">B6-B5</f>
        <v>8338115151.44669</v>
      </c>
    </row>
    <row r="8" customFormat="false" ht="15" hidden="false" customHeight="false" outlineLevel="0" collapsed="false">
      <c r="A8" s="0" t="s">
        <v>180</v>
      </c>
      <c r="B8" s="42" t="n">
        <f aca="false">(BuildMonths+HoldMonths)/12/2</f>
        <v>3</v>
      </c>
    </row>
    <row r="9" customFormat="false" ht="15" hidden="false" customHeight="false" outlineLevel="0" collapsed="false">
      <c r="A9" s="0" t="s">
        <v>181</v>
      </c>
      <c r="B9" s="40" t="n">
        <f aca="false">MIN(B7,B5*((1+Pref)^B8-1))</f>
        <v>369768415.230395</v>
      </c>
    </row>
    <row r="10" customFormat="false" ht="15" hidden="false" customHeight="false" outlineLevel="0" collapsed="false">
      <c r="A10" s="0" t="s">
        <v>182</v>
      </c>
      <c r="B10" s="40" t="n">
        <f aca="false">MIN(B7-B9,Promote*B9/(1-Promote))</f>
        <v>123256138.410132</v>
      </c>
    </row>
    <row r="11" customFormat="false" ht="15" hidden="false" customHeight="false" outlineLevel="0" collapsed="false">
      <c r="A11" s="0" t="s">
        <v>183</v>
      </c>
      <c r="B11" s="40" t="n">
        <f aca="false">B7-B9-B10</f>
        <v>7845090597.80616</v>
      </c>
    </row>
    <row r="12" customFormat="false" ht="15" hidden="false" customHeight="false" outlineLevel="0" collapsed="false">
      <c r="A12" s="0" t="s">
        <v>184</v>
      </c>
      <c r="B12" s="40" t="n">
        <f aca="false">B11*Promote</f>
        <v>1961272649.45154</v>
      </c>
    </row>
    <row r="13" customFormat="false" ht="15" hidden="false" customHeight="false" outlineLevel="0" collapsed="false">
      <c r="A13" s="0" t="s">
        <v>185</v>
      </c>
      <c r="B13" s="40" t="n">
        <f aca="false">(B5+B9)*GPShare+B10+B12+(B11-B12)*GPShare</f>
        <v>2821599936.37437</v>
      </c>
    </row>
    <row r="14" customFormat="false" ht="15" hidden="false" customHeight="false" outlineLevel="0" collapsed="false">
      <c r="A14" s="0" t="s">
        <v>186</v>
      </c>
      <c r="B14" s="40" t="n">
        <f aca="false">B6-B13</f>
        <v>6633640336.61429</v>
      </c>
    </row>
    <row r="15" customFormat="false" ht="15" hidden="false" customHeight="false" outlineLevel="0" collapsed="false">
      <c r="A15" s="0" t="s">
        <v>31</v>
      </c>
      <c r="B15" s="45" t="n">
        <f aca="false">B13/(B5*GPShare)</f>
        <v>25.2576894204983</v>
      </c>
    </row>
    <row r="16" customFormat="false" ht="15" hidden="false" customHeight="false" outlineLevel="0" collapsed="false">
      <c r="A16" s="0" t="s">
        <v>30</v>
      </c>
      <c r="B16" s="45" t="n">
        <f aca="false">B14/(B5*(1-GPShare))</f>
        <v>6.5979283278073</v>
      </c>
    </row>
    <row r="17" customFormat="false" ht="15" hidden="false" customHeight="false" outlineLevel="0" collapsed="false">
      <c r="A17" s="0" t="s">
        <v>187</v>
      </c>
      <c r="B17" s="40" t="n">
        <f aca="false">B10+B12</f>
        <v>2084528787.86167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188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189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19</v>
      </c>
      <c r="B5" s="38" t="n">
        <f aca="false">XIRR('Cash Flow'!$C$63:$CU$63,'Cash Flow'!$C$10:$CU$10)</f>
        <v>0.471095714036363</v>
      </c>
    </row>
    <row r="6" customFormat="false" ht="15" hidden="false" customHeight="false" outlineLevel="0" collapsed="false">
      <c r="A6" s="0" t="s">
        <v>17</v>
      </c>
      <c r="B6" s="38" t="n">
        <f aca="false">XIRR('Cash Flow'!$C$69:$CU$69,'Cash Flow'!$C$10:$CU$10)</f>
        <v>0.574485778787928</v>
      </c>
    </row>
    <row r="7" customFormat="false" ht="15" hidden="false" customHeight="false" outlineLevel="0" collapsed="false">
      <c r="A7" s="0" t="s">
        <v>190</v>
      </c>
      <c r="B7" s="40" t="n">
        <f aca="false">XNPV(DiscRate,'Cash Flow'!$C$63:$CU$63,'Cash Flow'!$C$10:$CU$10)</f>
        <v>4537635298.72681</v>
      </c>
    </row>
    <row r="8" customFormat="false" ht="15" hidden="false" customHeight="false" outlineLevel="0" collapsed="false">
      <c r="A8" s="0" t="s">
        <v>191</v>
      </c>
      <c r="B8" s="40" t="n">
        <f aca="false">'Cash Flow'!B63</f>
        <v>8685313973.4318</v>
      </c>
    </row>
    <row r="9" customFormat="false" ht="15" hidden="false" customHeight="false" outlineLevel="0" collapsed="false">
      <c r="A9" s="0" t="s">
        <v>192</v>
      </c>
      <c r="B9" s="40" t="n">
        <f aca="false">'Cash Flow'!B69</f>
        <v>8338115151.44669</v>
      </c>
    </row>
    <row r="10" customFormat="false" ht="15" hidden="false" customHeight="false" outlineLevel="0" collapsed="false">
      <c r="A10" s="0" t="s">
        <v>193</v>
      </c>
      <c r="B10" s="40" t="n">
        <f aca="false">'Cash Flow'!B24+Financing!B15+Financing!B16</f>
        <v>2106264605.86982</v>
      </c>
    </row>
    <row r="11" customFormat="false" ht="15" hidden="false" customHeight="false" outlineLevel="0" collapsed="false">
      <c r="A11" s="0" t="s">
        <v>23</v>
      </c>
      <c r="B11" s="39" t="n">
        <f aca="false">B8/B10</f>
        <v>4.12356260900326</v>
      </c>
    </row>
    <row r="12" customFormat="false" ht="15" hidden="false" customHeight="false" outlineLevel="0" collapsed="false">
      <c r="A12" s="0" t="s">
        <v>25</v>
      </c>
      <c r="B12" s="45" t="n">
        <f aca="false">Waterfall!B6/Waterfall!B5</f>
        <v>8.4639044370764</v>
      </c>
    </row>
    <row r="13" customFormat="false" ht="15" hidden="false" customHeight="false" outlineLevel="0" collapsed="false">
      <c r="A13" s="0" t="s">
        <v>194</v>
      </c>
      <c r="B13" s="40" t="n">
        <f aca="false">MAX(Financing!C19:CU19)</f>
        <v>983993350.134821</v>
      </c>
    </row>
    <row r="14" customFormat="false" ht="15" hidden="false" customHeight="false" outlineLevel="0" collapsed="false">
      <c r="A14" s="0" t="s">
        <v>195</v>
      </c>
      <c r="B14" s="40" t="n">
        <f aca="false">-MIN('Cash Flow'!C70:CU70)</f>
        <v>1095802032.05511</v>
      </c>
    </row>
    <row r="15" customFormat="false" ht="15" hidden="false" customHeight="false" outlineLevel="0" collapsed="false">
      <c r="A15" s="0" t="s">
        <v>24</v>
      </c>
      <c r="B15" s="45" t="n">
        <f aca="false">_xlfn.MINIFS(Financing!C20:CU20,Financing!C20:CU20,"&gt;0")</f>
        <v>5.74645524523621</v>
      </c>
    </row>
    <row r="16" customFormat="false" ht="15" hidden="false" customHeight="false" outlineLevel="0" collapsed="false">
      <c r="A16" s="0" t="s">
        <v>26</v>
      </c>
      <c r="B16" s="39" t="n">
        <f aca="false">MAX(Financing!C21:CU21)</f>
        <v>0.112218748650386</v>
      </c>
    </row>
    <row r="17" customFormat="false" ht="15" hidden="false" customHeight="false" outlineLevel="0" collapsed="false">
      <c r="A17" s="0" t="s">
        <v>196</v>
      </c>
      <c r="B17" s="40" t="n">
        <f aca="false">'Cash Flow'!B55+'Cash Flow'!B56</f>
        <v>8564236437.52887</v>
      </c>
    </row>
    <row r="18" customFormat="false" ht="15" hidden="false" customHeight="false" outlineLevel="0" collapsed="false">
      <c r="A18" s="0" t="s">
        <v>30</v>
      </c>
      <c r="B18" s="45" t="n">
        <f aca="false">Waterfall!B16</f>
        <v>6.5979283278073</v>
      </c>
    </row>
    <row r="19" customFormat="false" ht="15" hidden="false" customHeight="false" outlineLevel="0" collapsed="false">
      <c r="A19" s="0" t="s">
        <v>31</v>
      </c>
      <c r="B19" s="45" t="n">
        <f aca="false">Waterfall!B15</f>
        <v>25.2576894204983</v>
      </c>
    </row>
    <row r="20" customFormat="false" ht="15" hidden="false" customHeight="false" outlineLevel="0" collapsed="false">
      <c r="A20" s="0" t="s">
        <v>187</v>
      </c>
      <c r="B20" s="40" t="n">
        <f aca="false">Waterfall!B17</f>
        <v>2084528787.86167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1" t="s">
        <v>197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198</v>
      </c>
      <c r="B2" s="2"/>
      <c r="C2" s="2"/>
      <c r="D2" s="2"/>
      <c r="E2" s="2"/>
      <c r="F2" s="2"/>
      <c r="G2" s="2"/>
      <c r="H2" s="2"/>
    </row>
    <row r="5" customFormat="false" ht="15" hidden="false" customHeight="false" outlineLevel="0" collapsed="false">
      <c r="A5" s="15" t="s">
        <v>199</v>
      </c>
      <c r="B5" s="47" t="n">
        <v>-0.1</v>
      </c>
      <c r="C5" s="47" t="n">
        <v>-0.05</v>
      </c>
      <c r="D5" s="47" t="n">
        <v>0</v>
      </c>
      <c r="E5" s="47" t="n">
        <v>0.05</v>
      </c>
      <c r="F5" s="47" t="n">
        <v>0.1</v>
      </c>
    </row>
    <row r="6" customFormat="false" ht="15" hidden="false" customHeight="false" outlineLevel="0" collapsed="false">
      <c r="A6" s="48" t="n">
        <v>-0.1</v>
      </c>
      <c r="B6" s="49" t="n">
        <f aca="false">(Returns!$B$8+'Cash Flow'!$B$34*B$5*(1-SalesComm)-'Cash Flow'!$B$21*(1+SoftCosts+Contingency)*$A6)/1000000</f>
        <v>8728.1008734318</v>
      </c>
      <c r="C6" s="49" t="n">
        <f aca="false">(Returns!$B$8+'Cash Flow'!$B$34*C$5*(1-SalesComm)-'Cash Flow'!$B$21*(1+SoftCosts+Contingency)*$A6)/1000000</f>
        <v>8774.1696234318</v>
      </c>
      <c r="D6" s="49" t="n">
        <f aca="false">(Returns!$B$8+'Cash Flow'!$B$34*D$5*(1-SalesComm)-'Cash Flow'!$B$21*(1+SoftCosts+Contingency)*$A6)/1000000</f>
        <v>8820.2383734318</v>
      </c>
      <c r="E6" s="49" t="n">
        <f aca="false">(Returns!$B$8+'Cash Flow'!$B$34*E$5*(1-SalesComm)-'Cash Flow'!$B$21*(1+SoftCosts+Contingency)*$A6)/1000000</f>
        <v>8866.3071234318</v>
      </c>
      <c r="F6" s="49" t="n">
        <f aca="false">(Returns!$B$8+'Cash Flow'!$B$34*F$5*(1-SalesComm)-'Cash Flow'!$B$21*(1+SoftCosts+Contingency)*$A6)/1000000</f>
        <v>8912.3758734318</v>
      </c>
    </row>
    <row r="7" customFormat="false" ht="15" hidden="false" customHeight="false" outlineLevel="0" collapsed="false">
      <c r="A7" s="48" t="n">
        <v>-0.05</v>
      </c>
      <c r="B7" s="49" t="n">
        <f aca="false">(Returns!$B$8+'Cash Flow'!$B$34*B$5*(1-SalesComm)-'Cash Flow'!$B$21*(1+SoftCosts+Contingency)*$A7)/1000000</f>
        <v>8660.6386734318</v>
      </c>
      <c r="C7" s="49" t="n">
        <f aca="false">(Returns!$B$8+'Cash Flow'!$B$34*C$5*(1-SalesComm)-'Cash Flow'!$B$21*(1+SoftCosts+Contingency)*$A7)/1000000</f>
        <v>8706.7074234318</v>
      </c>
      <c r="D7" s="49" t="n">
        <f aca="false">(Returns!$B$8+'Cash Flow'!$B$34*D$5*(1-SalesComm)-'Cash Flow'!$B$21*(1+SoftCosts+Contingency)*$A7)/1000000</f>
        <v>8752.7761734318</v>
      </c>
      <c r="E7" s="49" t="n">
        <f aca="false">(Returns!$B$8+'Cash Flow'!$B$34*E$5*(1-SalesComm)-'Cash Flow'!$B$21*(1+SoftCosts+Contingency)*$A7)/1000000</f>
        <v>8798.8449234318</v>
      </c>
      <c r="F7" s="49" t="n">
        <f aca="false">(Returns!$B$8+'Cash Flow'!$B$34*F$5*(1-SalesComm)-'Cash Flow'!$B$21*(1+SoftCosts+Contingency)*$A7)/1000000</f>
        <v>8844.9136734318</v>
      </c>
    </row>
    <row r="8" customFormat="false" ht="15" hidden="false" customHeight="false" outlineLevel="0" collapsed="false">
      <c r="A8" s="48" t="n">
        <v>0</v>
      </c>
      <c r="B8" s="49" t="n">
        <f aca="false">(Returns!$B$8+'Cash Flow'!$B$34*B$5*(1-SalesComm)-'Cash Flow'!$B$21*(1+SoftCosts+Contingency)*$A8)/1000000</f>
        <v>8593.1764734318</v>
      </c>
      <c r="C8" s="49" t="n">
        <f aca="false">(Returns!$B$8+'Cash Flow'!$B$34*C$5*(1-SalesComm)-'Cash Flow'!$B$21*(1+SoftCosts+Contingency)*$A8)/1000000</f>
        <v>8639.2452234318</v>
      </c>
      <c r="D8" s="49" t="n">
        <f aca="false">(Returns!$B$8+'Cash Flow'!$B$34*D$5*(1-SalesComm)-'Cash Flow'!$B$21*(1+SoftCosts+Contingency)*$A8)/1000000</f>
        <v>8685.3139734318</v>
      </c>
      <c r="E8" s="49" t="n">
        <f aca="false">(Returns!$B$8+'Cash Flow'!$B$34*E$5*(1-SalesComm)-'Cash Flow'!$B$21*(1+SoftCosts+Contingency)*$A8)/1000000</f>
        <v>8731.3827234318</v>
      </c>
      <c r="F8" s="49" t="n">
        <f aca="false">(Returns!$B$8+'Cash Flow'!$B$34*F$5*(1-SalesComm)-'Cash Flow'!$B$21*(1+SoftCosts+Contingency)*$A8)/1000000</f>
        <v>8777.4514734318</v>
      </c>
    </row>
    <row r="9" customFormat="false" ht="15" hidden="false" customHeight="false" outlineLevel="0" collapsed="false">
      <c r="A9" s="48" t="n">
        <v>0.05</v>
      </c>
      <c r="B9" s="49" t="n">
        <f aca="false">(Returns!$B$8+'Cash Flow'!$B$34*B$5*(1-SalesComm)-'Cash Flow'!$B$21*(1+SoftCosts+Contingency)*$A9)/1000000</f>
        <v>8525.7142734318</v>
      </c>
      <c r="C9" s="49" t="n">
        <f aca="false">(Returns!$B$8+'Cash Flow'!$B$34*C$5*(1-SalesComm)-'Cash Flow'!$B$21*(1+SoftCosts+Contingency)*$A9)/1000000</f>
        <v>8571.7830234318</v>
      </c>
      <c r="D9" s="49" t="n">
        <f aca="false">(Returns!$B$8+'Cash Flow'!$B$34*D$5*(1-SalesComm)-'Cash Flow'!$B$21*(1+SoftCosts+Contingency)*$A9)/1000000</f>
        <v>8617.8517734318</v>
      </c>
      <c r="E9" s="49" t="n">
        <f aca="false">(Returns!$B$8+'Cash Flow'!$B$34*E$5*(1-SalesComm)-'Cash Flow'!$B$21*(1+SoftCosts+Contingency)*$A9)/1000000</f>
        <v>8663.9205234318</v>
      </c>
      <c r="F9" s="49" t="n">
        <f aca="false">(Returns!$B$8+'Cash Flow'!$B$34*F$5*(1-SalesComm)-'Cash Flow'!$B$21*(1+SoftCosts+Contingency)*$A9)/1000000</f>
        <v>8709.9892734318</v>
      </c>
    </row>
    <row r="10" customFormat="false" ht="15" hidden="false" customHeight="false" outlineLevel="0" collapsed="false">
      <c r="A10" s="48" t="n">
        <v>0.1</v>
      </c>
      <c r="B10" s="49" t="n">
        <f aca="false">(Returns!$B$8+'Cash Flow'!$B$34*B$5*(1-SalesComm)-'Cash Flow'!$B$21*(1+SoftCosts+Contingency)*$A10)/1000000</f>
        <v>8458.2520734318</v>
      </c>
      <c r="C10" s="49" t="n">
        <f aca="false">(Returns!$B$8+'Cash Flow'!$B$34*C$5*(1-SalesComm)-'Cash Flow'!$B$21*(1+SoftCosts+Contingency)*$A10)/1000000</f>
        <v>8504.3208234318</v>
      </c>
      <c r="D10" s="49" t="n">
        <f aca="false">(Returns!$B$8+'Cash Flow'!$B$34*D$5*(1-SalesComm)-'Cash Flow'!$B$21*(1+SoftCosts+Contingency)*$A10)/1000000</f>
        <v>8550.3895734318</v>
      </c>
      <c r="E10" s="49" t="n">
        <f aca="false">(Returns!$B$8+'Cash Flow'!$B$34*E$5*(1-SalesComm)-'Cash Flow'!$B$21*(1+SoftCosts+Contingency)*$A10)/1000000</f>
        <v>8596.4583234318</v>
      </c>
      <c r="F10" s="49" t="n">
        <f aca="false">(Returns!$B$8+'Cash Flow'!$B$34*F$5*(1-SalesComm)-'Cash Flow'!$B$21*(1+SoftCosts+Contingency)*$A10)/1000000</f>
        <v>8642.5270734318</v>
      </c>
    </row>
    <row r="12" customFormat="false" ht="15" hidden="false" customHeight="false" outlineLevel="0" collapsed="false">
      <c r="A12" s="23" t="s">
        <v>200</v>
      </c>
    </row>
  </sheetData>
  <conditionalFormatting sqref="B6:F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1" t="s">
        <v>201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202</v>
      </c>
      <c r="B2" s="2"/>
      <c r="C2" s="2"/>
      <c r="D2" s="2"/>
      <c r="E2" s="2"/>
    </row>
    <row r="5" customFormat="false" ht="15" hidden="false" customHeight="false" outlineLevel="0" collapsed="false">
      <c r="A5" s="0" t="s">
        <v>203</v>
      </c>
      <c r="B5" s="50" t="n">
        <f aca="false">'Cash Flow'!B15</f>
        <v>1</v>
      </c>
      <c r="C5" s="15" t="str">
        <f aca="false">IF(ABS(B5-1)&lt;0.000001,"OK","CHECK")</f>
        <v>OK</v>
      </c>
    </row>
    <row r="6" customFormat="false" ht="15" hidden="false" customHeight="false" outlineLevel="0" collapsed="false">
      <c r="A6" s="0" t="s">
        <v>204</v>
      </c>
      <c r="B6" s="50" t="n">
        <f aca="false">'Cash Flow'!B32-'Cash Flow'!B34</f>
        <v>0</v>
      </c>
      <c r="C6" s="15" t="str">
        <f aca="false">IF(ABS(B6)&lt;1,"OK","CHECK")</f>
        <v>OK</v>
      </c>
    </row>
    <row r="7" customFormat="false" ht="15" hidden="false" customHeight="false" outlineLevel="0" collapsed="false">
      <c r="A7" s="0" t="s">
        <v>205</v>
      </c>
      <c r="B7" s="50" t="n">
        <f aca="false">Financing!CU19</f>
        <v>0</v>
      </c>
      <c r="C7" s="15" t="str">
        <f aca="false">IF(ABS(B7)&lt;1,"OK","CHECK")</f>
        <v>OK</v>
      </c>
    </row>
    <row r="8" customFormat="false" ht="15" hidden="false" customHeight="false" outlineLevel="0" collapsed="false">
      <c r="A8" s="0" t="s">
        <v>206</v>
      </c>
      <c r="B8" s="50" t="n">
        <f aca="false">Financing!B13-Financing!B7</f>
        <v>0</v>
      </c>
      <c r="C8" s="15" t="str">
        <f aca="false">IF(B8&lt;=1,"OK","CHECK")</f>
        <v>OK</v>
      </c>
    </row>
    <row r="9" customFormat="false" ht="15" hidden="false" customHeight="false" outlineLevel="0" collapsed="false">
      <c r="A9" s="0" t="s">
        <v>207</v>
      </c>
      <c r="B9" s="50" t="n">
        <f aca="false">Returns!B15-MinDSCR</f>
        <v>4.49645524523621</v>
      </c>
      <c r="C9" s="15" t="str">
        <f aca="false">IF(B9&gt;=0,"OK","BREACH")</f>
        <v>OK</v>
      </c>
    </row>
    <row r="10" customFormat="false" ht="15" hidden="false" customHeight="false" outlineLevel="0" collapsed="false">
      <c r="A10" s="0" t="s">
        <v>208</v>
      </c>
      <c r="B10" s="50" t="n">
        <f aca="false">MaxLTV-Returns!B16</f>
        <v>0.487781251349614</v>
      </c>
      <c r="C10" s="15" t="str">
        <f aca="false">IF(B10&gt;=0,"OK","BREACH")</f>
        <v>OK</v>
      </c>
    </row>
    <row r="11" customFormat="false" ht="15" hidden="false" customHeight="false" outlineLevel="0" collapsed="false">
      <c r="A11" s="0" t="s">
        <v>209</v>
      </c>
      <c r="B11" s="50" t="n">
        <f aca="false">Waterfall!B13+Waterfall!B14-Waterfall!B6</f>
        <v>0</v>
      </c>
      <c r="C11" s="15" t="str">
        <f aca="false">IF(ABS(B11)&lt;1,"OK","CHECK")</f>
        <v>OK</v>
      </c>
    </row>
    <row r="12" customFormat="false" ht="15" hidden="false" customHeight="false" outlineLevel="0" collapsed="false">
      <c r="A12" s="0" t="s">
        <v>210</v>
      </c>
      <c r="B12" s="50" t="n">
        <f aca="false">SUM(Annual!B13:H13)-'Cash Flow'!B69</f>
        <v>0</v>
      </c>
      <c r="C12" s="15" t="str">
        <f aca="false">IF(ABS(B12)&lt;1,"OK","CHECK")</f>
        <v>OK</v>
      </c>
    </row>
    <row r="14" customFormat="false" ht="15" hidden="false" customHeight="false" outlineLevel="0" collapsed="false">
      <c r="A14" s="15" t="s">
        <v>211</v>
      </c>
      <c r="C14" s="6" t="str">
        <f aca="false">IF(COUNTIF(C5:C12,"OK")=8,"OK","CHECK")</f>
        <v>OK</v>
      </c>
    </row>
  </sheetData>
  <conditionalFormatting sqref="C5:C14">
    <cfRule type="cellIs" priority="2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2026-10-28T03:45:21Z</dcterms:created>
  <dc:creator>openpyxl</dc:creator>
  <dc:description/>
  <dc:language>en-US</dc:language>
  <cp:lastModifiedBy/>
  <dcterms:modified xsi:type="dcterms:W3CDTF">2026-10-28T04:20:35Z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