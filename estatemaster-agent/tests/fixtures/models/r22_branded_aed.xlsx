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Curves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<sst xmlns="http://schemas.openxmlformats.org/spreadsheetml/2006/main" count="85" uniqueCount="85">
  <si>
    <t xml:space="preserve">MARSA BRANDED RESIDENCES AND HOTEL – DUBAI (AED)</t>
  </si>
  <si>
    <t xml:space="preserve">Model start</t>
  </si>
  <si>
    <t xml:space="preserve">Residences (units)</t>
  </si>
  <si>
    <t xml:space="preserve">Average unit size (sq ft)</t>
  </si>
  <si>
    <t xml:space="preserve">Sale price (AED per sq ft)</t>
  </si>
  <si>
    <t xml:space="preserve">Branding fee on sales</t>
  </si>
  <si>
    <t xml:space="preserve">Booking payment</t>
  </si>
  <si>
    <t xml:space="preserve">Each construction instalment</t>
  </si>
  <si>
    <t xml:space="preserve">Paid on handover</t>
  </si>
  <si>
    <t xml:space="preserve">Residences build cost (AED per sq ft)</t>
  </si>
  <si>
    <t xml:space="preserve">Land (AED)</t>
  </si>
  <si>
    <t xml:space="preserve">Build (quarters)</t>
  </si>
  <si>
    <t xml:space="preserve">Hotel keys</t>
  </si>
  <si>
    <t xml:space="preserve">Hotel capex (AED per key)</t>
  </si>
  <si>
    <t xml:space="preserve">ADR year 1 (AED)</t>
  </si>
  <si>
    <t xml:space="preserve">ADR growth a year</t>
  </si>
  <si>
    <t xml:space="preserve">Other revenue (% of rooms)</t>
  </si>
  <si>
    <t xml:space="preserve">GOP margin</t>
  </si>
  <si>
    <t xml:space="preserve">Base management fee (% of revenue)</t>
  </si>
  <si>
    <t xml:space="preserve">Owner's priority (% of hotel capex a year)</t>
  </si>
  <si>
    <t xml:space="preserve">Incentive fee (% of GOP above the priority)</t>
  </si>
  <si>
    <t xml:space="preserve">Equity commitment (AED)</t>
  </si>
  <si>
    <t xml:space="preserve">Facility rate</t>
  </si>
  <si>
    <t xml:space="preserve">Hotel exit cap</t>
  </si>
  <si>
    <t xml:space="preserve">Exit quarter</t>
  </si>
  <si>
    <t xml:space="preserve">Instalment milestones (% complete)</t>
  </si>
  <si>
    <t xml:space="preserve">Milestone 1</t>
  </si>
  <si>
    <t xml:space="preserve">Milestone 2</t>
  </si>
  <si>
    <t xml:space="preserve">Milestone 3</t>
  </si>
  <si>
    <t xml:space="preserve">Milestone 4</t>
  </si>
  <si>
    <t xml:space="preserve">Seasonality (occupancy index) Q1, Q2, Q3, Q4</t>
  </si>
  <si>
    <t xml:space="preserve">Build quarter</t>
  </si>
  <si>
    <t xml:space="preserve">Cumulative % complete</t>
  </si>
  <si>
    <t xml:space="preserve">Sales (% of units in the quarter)</t>
  </si>
  <si>
    <t xml:space="preserve">Hotel occupancy by year</t>
  </si>
  <si>
    <t xml:space="preserve">Quarter</t>
  </si>
  <si>
    <t xml:space="preserve">Date</t>
  </si>
  <si>
    <t xml:space="preserve">Units sold</t>
  </si>
  <si>
    <t xml:space="preserve">Sales value</t>
  </si>
  <si>
    <t xml:space="preserve">Cumulative sales value</t>
  </si>
  <si>
    <t xml:space="preserve">Booking collected</t>
  </si>
  <si>
    <t xml:space="preserve">Milestone 1 collected</t>
  </si>
  <si>
    <t xml:space="preserve">Milestone 2 collected</t>
  </si>
  <si>
    <t xml:space="preserve">Milestone 3 collected</t>
  </si>
  <si>
    <t xml:space="preserve">Milestone 4 collected</t>
  </si>
  <si>
    <t xml:space="preserve">Handover collected</t>
  </si>
  <si>
    <t xml:space="preserve">Collections</t>
  </si>
  <si>
    <t xml:space="preserve">Escrow released</t>
  </si>
  <si>
    <t xml:space="preserve">Escrow balance</t>
  </si>
  <si>
    <t xml:space="preserve">Branding fee</t>
  </si>
  <si>
    <t xml:space="preserve">Residence build cost</t>
  </si>
  <si>
    <t xml:space="preserve">Hotel capex</t>
  </si>
  <si>
    <t xml:space="preserve">Land</t>
  </si>
  <si>
    <t xml:space="preserve">Hotel open</t>
  </si>
  <si>
    <t xml:space="preserve">Year of operation</t>
  </si>
  <si>
    <t xml:space="preserve">Occupancy</t>
  </si>
  <si>
    <t xml:space="preserve">ADR</t>
  </si>
  <si>
    <t xml:space="preserve">Rooms revenue</t>
  </si>
  <si>
    <t xml:space="preserve">Total hotel revenue</t>
  </si>
  <si>
    <t xml:space="preserve">GOP</t>
  </si>
  <si>
    <t xml:space="preserve">Base fee</t>
  </si>
  <si>
    <t xml:space="preserve">FF&amp;E reserve</t>
  </si>
  <si>
    <t xml:space="preserve">Owner's priority</t>
  </si>
  <si>
    <t xml:space="preserve">Incentive fee</t>
  </si>
  <si>
    <t xml:space="preserve">Hotel EBITDA</t>
  </si>
  <si>
    <t xml:space="preserve">Pre-finance cash flow</t>
  </si>
  <si>
    <t xml:space="preserve">Opening facility</t>
  </si>
  <si>
    <t xml:space="preserve">Interest</t>
  </si>
  <si>
    <t xml:space="preserve">Equity drawn</t>
  </si>
  <si>
    <t xml:space="preserve">Facility drawn</t>
  </si>
  <si>
    <t xml:space="preserve">Facility repaid</t>
  </si>
  <si>
    <t xml:space="preserve">Facility balance</t>
  </si>
  <si>
    <t xml:space="preserve">Hotel sale</t>
  </si>
  <si>
    <t xml:space="preserve">Distributions</t>
  </si>
  <si>
    <t xml:space="preserve">Equity cash flow</t>
  </si>
  <si>
    <t xml:space="preserve">Levered IRR (XIRR)</t>
  </si>
  <si>
    <t xml:space="preserve">Equity multiple</t>
  </si>
  <si>
    <t xml:space="preserve">Residences profit (AED)</t>
  </si>
  <si>
    <t xml:space="preserve">Hotel EBITDA, third year (AED)</t>
  </si>
  <si>
    <t xml:space="preserve">Sales collected by handover</t>
  </si>
  <si>
    <t xml:space="preserve">Operator incentive fee (AED)</t>
  </si>
  <si>
    <t xml:space="preserve">Peak facility (AED)</t>
  </si>
  <si>
    <t xml:space="preserve">Peak escrow balance (AED)</t>
  </si>
  <si>
    <t xml:space="preserve">Equity drawn (AED)</t>
  </si>
  <si>
    <t xml:space="preserve">Net profit (AED)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</si>
</sst>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#,##0"/>
    <numFmt numFmtId="167" formatCode="0.00%"/>
    <numFmt numFmtId="168" formatCode="0"/>
    <numFmt numFmtId="169" formatCode="General"/>
    <numFmt numFmtId="170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46295</v>
      </c>
    </row>
    <row r="4" customFormat="false" ht="15" hidden="false" customHeight="false" outlineLevel="0" collapsed="false">
      <c r="A4" s="0" t="s">
        <v>2</v>
      </c>
      <c r="B4" s="2" t="n">
        <v>220</v>
      </c>
    </row>
    <row r="5" customFormat="false" ht="15" hidden="false" customHeight="false" outlineLevel="0" collapsed="false">
      <c r="A5" s="0" t="s">
        <v>3</v>
      </c>
      <c r="B5" s="2" t="n">
        <v>1850</v>
      </c>
    </row>
    <row r="6" customFormat="false" ht="15" hidden="false" customHeight="false" outlineLevel="0" collapsed="false">
      <c r="A6" s="0" t="s">
        <v>4</v>
      </c>
      <c r="B6" s="2" t="n">
        <v>3400</v>
      </c>
    </row>
    <row r="7" customFormat="false" ht="15" hidden="false" customHeight="false" outlineLevel="0" collapsed="false">
      <c r="A7" s="0" t="s">
        <v>5</v>
      </c>
      <c r="B7" s="3" t="n">
        <v>0.05</v>
      </c>
    </row>
    <row r="8" customFormat="false" ht="15" hidden="false" customHeight="false" outlineLevel="0" collapsed="false">
      <c r="A8" s="0" t="s">
        <v>6</v>
      </c>
      <c r="B8" s="3" t="n">
        <v>0.1</v>
      </c>
    </row>
    <row r="9" customFormat="false" ht="15" hidden="false" customHeight="false" outlineLevel="0" collapsed="false">
      <c r="A9" s="0" t="s">
        <v>7</v>
      </c>
      <c r="B9" s="3" t="n">
        <v>0.1</v>
      </c>
    </row>
    <row r="10" customFormat="false" ht="15" hidden="false" customHeight="false" outlineLevel="0" collapsed="false">
      <c r="A10" s="0" t="s">
        <v>8</v>
      </c>
      <c r="B10" s="3" t="n">
        <v>0.5</v>
      </c>
    </row>
    <row r="11" customFormat="false" ht="15" hidden="false" customHeight="false" outlineLevel="0" collapsed="false">
      <c r="A11" s="0" t="s">
        <v>9</v>
      </c>
      <c r="B11" s="2" t="n">
        <v>1150</v>
      </c>
    </row>
    <row r="12" customFormat="false" ht="15" hidden="false" customHeight="false" outlineLevel="0" collapsed="false">
      <c r="A12" s="0" t="s">
        <v>10</v>
      </c>
      <c r="B12" s="2" t="n">
        <v>260000000</v>
      </c>
    </row>
    <row r="13" customFormat="false" ht="15" hidden="false" customHeight="false" outlineLevel="0" collapsed="false">
      <c r="A13" s="0" t="s">
        <v>11</v>
      </c>
      <c r="B13" s="4" t="n">
        <v>12</v>
      </c>
    </row>
    <row r="14" customFormat="false" ht="15" hidden="false" customHeight="false" outlineLevel="0" collapsed="false">
      <c r="A14" s="0" t="s">
        <v>12</v>
      </c>
      <c r="B14" s="2" t="n">
        <v>250</v>
      </c>
    </row>
    <row r="15" customFormat="false" ht="15" hidden="false" customHeight="false" outlineLevel="0" collapsed="false">
      <c r="A15" s="0" t="s">
        <v>13</v>
      </c>
      <c r="B15" s="2" t="n">
        <v>1900000</v>
      </c>
    </row>
    <row r="16" customFormat="false" ht="15" hidden="false" customHeight="false" outlineLevel="0" collapsed="false">
      <c r="A16" s="0" t="s">
        <v>14</v>
      </c>
      <c r="B16" s="2" t="n">
        <v>1450</v>
      </c>
    </row>
    <row r="17" customFormat="false" ht="15" hidden="false" customHeight="false" outlineLevel="0" collapsed="false">
      <c r="A17" s="0" t="s">
        <v>15</v>
      </c>
      <c r="B17" s="3" t="n">
        <v>0.04</v>
      </c>
    </row>
    <row r="18" customFormat="false" ht="15" hidden="false" customHeight="false" outlineLevel="0" collapsed="false">
      <c r="A18" s="0" t="s">
        <v>16</v>
      </c>
      <c r="B18" s="3" t="n">
        <v>0.45</v>
      </c>
    </row>
    <row r="19" customFormat="false" ht="15" hidden="false" customHeight="false" outlineLevel="0" collapsed="false">
      <c r="A19" s="0" t="s">
        <v>17</v>
      </c>
      <c r="B19" s="3" t="n">
        <v>0.38</v>
      </c>
    </row>
    <row r="20" customFormat="false" ht="15" hidden="false" customHeight="false" outlineLevel="0" collapsed="false">
      <c r="A20" s="0" t="s">
        <v>18</v>
      </c>
      <c r="B20" s="3" t="n">
        <v>0.03</v>
      </c>
    </row>
    <row r="21" customFormat="false" ht="15" hidden="false" customHeight="false" outlineLevel="0" collapsed="false">
      <c r="A21" s="0" t="s">
        <v>19</v>
      </c>
      <c r="B21" s="3" t="n">
        <v>0.1</v>
      </c>
    </row>
    <row r="22" customFormat="false" ht="15" hidden="false" customHeight="false" outlineLevel="0" collapsed="false">
      <c r="A22" s="0" t="s">
        <v>20</v>
      </c>
      <c r="B22" s="3" t="n">
        <v>0.08</v>
      </c>
    </row>
    <row r="23" customFormat="false" ht="15" hidden="false" customHeight="false" outlineLevel="0" collapsed="false">
      <c r="A23" s="0" t="s">
        <v>21</v>
      </c>
      <c r="B23" s="2" t="n">
        <v>420000000</v>
      </c>
    </row>
    <row r="24" customFormat="false" ht="15" hidden="false" customHeight="false" outlineLevel="0" collapsed="false">
      <c r="A24" s="0" t="s">
        <v>22</v>
      </c>
      <c r="B24" s="3" t="n">
        <v>0.075</v>
      </c>
    </row>
    <row r="25" customFormat="false" ht="15" hidden="false" customHeight="false" outlineLevel="0" collapsed="false">
      <c r="A25" s="0" t="s">
        <v>23</v>
      </c>
      <c r="B25" s="3" t="n">
        <v>0.07</v>
      </c>
    </row>
    <row r="26" customFormat="false" ht="15" hidden="false" customHeight="false" outlineLevel="0" collapsed="false">
      <c r="A26" s="0" t="s">
        <v>24</v>
      </c>
      <c r="B26" s="4" t="n">
        <v>32</v>
      </c>
    </row>
    <row r="30" customFormat="false" ht="15" hidden="false" customHeight="false" outlineLevel="0" collapsed="false">
      <c r="A30" s="0" t="s">
        <v>25</v>
      </c>
    </row>
    <row r="31" customFormat="false" ht="15" hidden="false" customHeight="false" outlineLevel="0" collapsed="false">
      <c r="A31" s="0" t="s">
        <v>26</v>
      </c>
      <c r="B31" s="3" t="n">
        <v>0.2</v>
      </c>
    </row>
    <row r="32" customFormat="false" ht="15" hidden="false" customHeight="false" outlineLevel="0" collapsed="false">
      <c r="A32" s="0" t="s">
        <v>27</v>
      </c>
      <c r="B32" s="3" t="n">
        <v>0.4</v>
      </c>
    </row>
    <row r="33" customFormat="false" ht="15" hidden="false" customHeight="false" outlineLevel="0" collapsed="false">
      <c r="A33" s="0" t="s">
        <v>28</v>
      </c>
      <c r="B33" s="3" t="n">
        <v>0.6</v>
      </c>
    </row>
    <row r="34" customFormat="false" ht="15" hidden="false" customHeight="false" outlineLevel="0" collapsed="false">
      <c r="A34" s="0" t="s">
        <v>29</v>
      </c>
      <c r="B34" s="3" t="n">
        <v>0.8</v>
      </c>
    </row>
    <row r="36" customFormat="false" ht="15" hidden="false" customHeight="false" outlineLevel="0" collapsed="false">
      <c r="A36" s="0" t="s">
        <v>30</v>
      </c>
      <c r="B36" s="0" t="n">
        <v>1.15</v>
      </c>
      <c r="C36" s="0" t="n">
        <v>0.95</v>
      </c>
      <c r="D36" s="0" t="n">
        <v>0.7</v>
      </c>
      <c r="E36" s="0" t="n">
        <v>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31</v>
      </c>
      <c r="B1" s="0" t="s">
        <v>32</v>
      </c>
      <c r="C1" s="0" t="s">
        <v>33</v>
      </c>
      <c r="D1" s="0" t="s">
        <v>34</v>
      </c>
    </row>
    <row r="2" customFormat="false" ht="15" hidden="false" customHeight="false" outlineLevel="0" collapsed="false">
      <c r="A2" s="0" t="n">
        <v>1</v>
      </c>
      <c r="B2" s="0" t="n">
        <v>0.03</v>
      </c>
      <c r="C2" s="0" t="n">
        <v>0.18</v>
      </c>
      <c r="D2" s="0" t="n">
        <v>0.58</v>
      </c>
    </row>
    <row r="3" customFormat="false" ht="15" hidden="false" customHeight="false" outlineLevel="0" collapsed="false">
      <c r="A3" s="0" t="n">
        <v>2</v>
      </c>
      <c r="B3" s="0" t="n">
        <v>0.08</v>
      </c>
      <c r="C3" s="0" t="n">
        <v>0.12</v>
      </c>
      <c r="D3" s="0" t="n">
        <v>0.66</v>
      </c>
    </row>
    <row r="4" customFormat="false" ht="15" hidden="false" customHeight="false" outlineLevel="0" collapsed="false">
      <c r="A4" s="0" t="n">
        <v>3</v>
      </c>
      <c r="B4" s="0" t="n">
        <v>0.15</v>
      </c>
      <c r="C4" s="0" t="n">
        <v>0.09</v>
      </c>
      <c r="D4" s="0" t="n">
        <v>0.72</v>
      </c>
    </row>
    <row r="5" customFormat="false" ht="15" hidden="false" customHeight="false" outlineLevel="0" collapsed="false">
      <c r="A5" s="0" t="n">
        <v>4</v>
      </c>
      <c r="B5" s="0" t="n">
        <v>0.24</v>
      </c>
      <c r="C5" s="0" t="n">
        <v>0.08</v>
      </c>
      <c r="D5" s="0" t="n">
        <v>0.74</v>
      </c>
    </row>
    <row r="6" customFormat="false" ht="15" hidden="false" customHeight="false" outlineLevel="0" collapsed="false">
      <c r="A6" s="0" t="n">
        <v>5</v>
      </c>
      <c r="B6" s="0" t="n">
        <v>0.34</v>
      </c>
      <c r="C6" s="0" t="n">
        <v>0.07</v>
      </c>
    </row>
    <row r="7" customFormat="false" ht="15" hidden="false" customHeight="false" outlineLevel="0" collapsed="false">
      <c r="A7" s="0" t="n">
        <v>6</v>
      </c>
      <c r="B7" s="0" t="n">
        <v>0.45</v>
      </c>
      <c r="C7" s="0" t="n">
        <v>0.07</v>
      </c>
    </row>
    <row r="8" customFormat="false" ht="15" hidden="false" customHeight="false" outlineLevel="0" collapsed="false">
      <c r="A8" s="0" t="n">
        <v>7</v>
      </c>
      <c r="B8" s="0" t="n">
        <v>0.56</v>
      </c>
      <c r="C8" s="0" t="n">
        <v>0.06</v>
      </c>
    </row>
    <row r="9" customFormat="false" ht="15" hidden="false" customHeight="false" outlineLevel="0" collapsed="false">
      <c r="A9" s="0" t="n">
        <v>8</v>
      </c>
      <c r="B9" s="0" t="n">
        <v>0.67</v>
      </c>
      <c r="C9" s="0" t="n">
        <v>0.06</v>
      </c>
    </row>
    <row r="10" customFormat="false" ht="15" hidden="false" customHeight="false" outlineLevel="0" collapsed="false">
      <c r="A10" s="0" t="n">
        <v>9</v>
      </c>
      <c r="B10" s="0" t="n">
        <v>0.77</v>
      </c>
      <c r="C10" s="0" t="n">
        <v>0.05</v>
      </c>
    </row>
    <row r="11" customFormat="false" ht="15" hidden="false" customHeight="false" outlineLevel="0" collapsed="false">
      <c r="A11" s="0" t="n">
        <v>10</v>
      </c>
      <c r="B11" s="0" t="n">
        <v>0.86</v>
      </c>
      <c r="C11" s="0" t="n">
        <v>0.05</v>
      </c>
    </row>
    <row r="12" customFormat="false" ht="15" hidden="false" customHeight="false" outlineLevel="0" collapsed="false">
      <c r="A12" s="0" t="n">
        <v>11</v>
      </c>
      <c r="B12" s="0" t="n">
        <v>0.94</v>
      </c>
      <c r="C12" s="0" t="n">
        <v>0.04</v>
      </c>
    </row>
    <row r="13" customFormat="false" ht="15" hidden="false" customHeight="false" outlineLevel="0" collapsed="false">
      <c r="A13" s="0" t="n">
        <v>12</v>
      </c>
      <c r="B13" s="0" t="n">
        <v>1</v>
      </c>
      <c r="C13" s="0" t="n">
        <v>0.04</v>
      </c>
    </row>
    <row r="14" customFormat="false" ht="15" hidden="false" customHeight="false" outlineLevel="0" collapsed="false">
      <c r="A14" s="0" t="n">
        <v>13</v>
      </c>
      <c r="B14" s="0" t="n">
        <v>1</v>
      </c>
      <c r="C14" s="0" t="n">
        <v>0.03</v>
      </c>
    </row>
    <row r="15" customFormat="false" ht="15" hidden="false" customHeight="false" outlineLevel="0" collapsed="false">
      <c r="A15" s="0" t="n">
        <v>14</v>
      </c>
      <c r="B15" s="0" t="n">
        <v>1</v>
      </c>
      <c r="C15" s="0" t="n">
        <v>0.02</v>
      </c>
    </row>
    <row r="16" customFormat="false" ht="15" hidden="false" customHeight="false" outlineLevel="0" collapsed="false">
      <c r="A16" s="0" t="n">
        <v>15</v>
      </c>
      <c r="B16" s="0" t="n">
        <v>1</v>
      </c>
      <c r="C16" s="0" t="n">
        <v>0.02</v>
      </c>
    </row>
    <row r="17" customFormat="false" ht="15" hidden="false" customHeight="false" outlineLevel="0" collapsed="false">
      <c r="A17" s="0" t="n">
        <v>16</v>
      </c>
      <c r="B17" s="0" t="n">
        <v>1</v>
      </c>
      <c r="C17" s="0" t="n">
        <v>0.02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35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</row>
    <row r="4" customFormat="false" ht="15" hidden="false" customHeight="false" outlineLevel="0" collapsed="false">
      <c r="A4" s="0" t="s">
        <v>36</v>
      </c>
      <c r="B4" s="1" t="n">
        <f aca="false">EOMONTH(Inputs!$B$3,3*B$3)</f>
        <v>46295</v>
      </c>
      <c r="C4" s="1" t="n">
        <f aca="false">EOMONTH(Inputs!$B$3,3*C$3)</f>
        <v>46387</v>
      </c>
      <c r="D4" s="1" t="n">
        <f aca="false">EOMONTH(Inputs!$B$3,3*D$3)</f>
        <v>46477</v>
      </c>
      <c r="E4" s="1" t="n">
        <f aca="false">EOMONTH(Inputs!$B$3,3*E$3)</f>
        <v>46568</v>
      </c>
      <c r="F4" s="1" t="n">
        <f aca="false">EOMONTH(Inputs!$B$3,3*F$3)</f>
        <v>46660</v>
      </c>
      <c r="G4" s="1" t="n">
        <f aca="false">EOMONTH(Inputs!$B$3,3*G$3)</f>
        <v>46752</v>
      </c>
      <c r="H4" s="1" t="n">
        <f aca="false">EOMONTH(Inputs!$B$3,3*H$3)</f>
        <v>46843</v>
      </c>
      <c r="I4" s="1" t="n">
        <f aca="false">EOMONTH(Inputs!$B$3,3*I$3)</f>
        <v>46934</v>
      </c>
      <c r="J4" s="1" t="n">
        <f aca="false">EOMONTH(Inputs!$B$3,3*J$3)</f>
        <v>47026</v>
      </c>
      <c r="K4" s="1" t="n">
        <f aca="false">EOMONTH(Inputs!$B$3,3*K$3)</f>
        <v>47118</v>
      </c>
      <c r="L4" s="1" t="n">
        <f aca="false">EOMONTH(Inputs!$B$3,3*L$3)</f>
        <v>47208</v>
      </c>
      <c r="M4" s="1" t="n">
        <f aca="false">EOMONTH(Inputs!$B$3,3*M$3)</f>
        <v>47299</v>
      </c>
      <c r="N4" s="1" t="n">
        <f aca="false">EOMONTH(Inputs!$B$3,3*N$3)</f>
        <v>47391</v>
      </c>
      <c r="O4" s="1" t="n">
        <f aca="false">EOMONTH(Inputs!$B$3,3*O$3)</f>
        <v>47483</v>
      </c>
      <c r="P4" s="1" t="n">
        <f aca="false">EOMONTH(Inputs!$B$3,3*P$3)</f>
        <v>47573</v>
      </c>
      <c r="Q4" s="1" t="n">
        <f aca="false">EOMONTH(Inputs!$B$3,3*Q$3)</f>
        <v>47664</v>
      </c>
      <c r="R4" s="1" t="n">
        <f aca="false">EOMONTH(Inputs!$B$3,3*R$3)</f>
        <v>47756</v>
      </c>
      <c r="S4" s="1" t="n">
        <f aca="false">EOMONTH(Inputs!$B$3,3*S$3)</f>
        <v>47848</v>
      </c>
      <c r="T4" s="1" t="n">
        <f aca="false">EOMONTH(Inputs!$B$3,3*T$3)</f>
        <v>47938</v>
      </c>
      <c r="U4" s="1" t="n">
        <f aca="false">EOMONTH(Inputs!$B$3,3*U$3)</f>
        <v>48029</v>
      </c>
      <c r="V4" s="1" t="n">
        <f aca="false">EOMONTH(Inputs!$B$3,3*V$3)</f>
        <v>48121</v>
      </c>
      <c r="W4" s="1" t="n">
        <f aca="false">EOMONTH(Inputs!$B$3,3*W$3)</f>
        <v>48213</v>
      </c>
      <c r="X4" s="1" t="n">
        <f aca="false">EOMONTH(Inputs!$B$3,3*X$3)</f>
        <v>48304</v>
      </c>
      <c r="Y4" s="1" t="n">
        <f aca="false">EOMONTH(Inputs!$B$3,3*Y$3)</f>
        <v>48395</v>
      </c>
      <c r="Z4" s="1" t="n">
        <f aca="false">EOMONTH(Inputs!$B$3,3*Z$3)</f>
        <v>48487</v>
      </c>
      <c r="AA4" s="1" t="n">
        <f aca="false">EOMONTH(Inputs!$B$3,3*AA$3)</f>
        <v>48579</v>
      </c>
      <c r="AB4" s="1" t="n">
        <f aca="false">EOMONTH(Inputs!$B$3,3*AB$3)</f>
        <v>48669</v>
      </c>
      <c r="AC4" s="1" t="n">
        <f aca="false">EOMONTH(Inputs!$B$3,3*AC$3)</f>
        <v>48760</v>
      </c>
      <c r="AD4" s="1" t="n">
        <f aca="false">EOMONTH(Inputs!$B$3,3*AD$3)</f>
        <v>48852</v>
      </c>
      <c r="AE4" s="1" t="n">
        <f aca="false">EOMONTH(Inputs!$B$3,3*AE$3)</f>
        <v>48944</v>
      </c>
      <c r="AF4" s="1" t="n">
        <f aca="false">EOMONTH(Inputs!$B$3,3*AF$3)</f>
        <v>49034</v>
      </c>
      <c r="AG4" s="1" t="n">
        <f aca="false">EOMONTH(Inputs!$B$3,3*AG$3)</f>
        <v>49125</v>
      </c>
      <c r="AH4" s="1" t="n">
        <f aca="false">EOMONTH(Inputs!$B$3,3*AH$3)</f>
        <v>49217</v>
      </c>
    </row>
    <row r="5" customFormat="false" ht="15" hidden="false" customHeight="false" outlineLevel="0" collapsed="false">
      <c r="A5" s="0" t="s">
        <v>37</v>
      </c>
      <c r="B5" s="0" t="n">
        <f aca="false">IF(AND(B$3&gt;=1,B$3&lt;=16),Inputs!$B$4*INDEX(Curves!$C$2:$C$17,MAX(1,B$3)),0)</f>
        <v>0</v>
      </c>
      <c r="C5" s="0" t="n">
        <f aca="false">IF(AND(C$3&gt;=1,C$3&lt;=16),Inputs!$B$4*INDEX(Curves!$C$2:$C$17,MAX(1,C$3)),0)</f>
        <v>39.6</v>
      </c>
      <c r="D5" s="0" t="n">
        <f aca="false">IF(AND(D$3&gt;=1,D$3&lt;=16),Inputs!$B$4*INDEX(Curves!$C$2:$C$17,MAX(1,D$3)),0)</f>
        <v>26.4</v>
      </c>
      <c r="E5" s="0" t="n">
        <f aca="false">IF(AND(E$3&gt;=1,E$3&lt;=16),Inputs!$B$4*INDEX(Curves!$C$2:$C$17,MAX(1,E$3)),0)</f>
        <v>19.8</v>
      </c>
      <c r="F5" s="0" t="n">
        <f aca="false">IF(AND(F$3&gt;=1,F$3&lt;=16),Inputs!$B$4*INDEX(Curves!$C$2:$C$17,MAX(1,F$3)),0)</f>
        <v>17.6</v>
      </c>
      <c r="G5" s="0" t="n">
        <f aca="false">IF(AND(G$3&gt;=1,G$3&lt;=16),Inputs!$B$4*INDEX(Curves!$C$2:$C$17,MAX(1,G$3)),0)</f>
        <v>15.4</v>
      </c>
      <c r="H5" s="0" t="n">
        <f aca="false">IF(AND(H$3&gt;=1,H$3&lt;=16),Inputs!$B$4*INDEX(Curves!$C$2:$C$17,MAX(1,H$3)),0)</f>
        <v>15.4</v>
      </c>
      <c r="I5" s="0" t="n">
        <f aca="false">IF(AND(I$3&gt;=1,I$3&lt;=16),Inputs!$B$4*INDEX(Curves!$C$2:$C$17,MAX(1,I$3)),0)</f>
        <v>13.2</v>
      </c>
      <c r="J5" s="0" t="n">
        <f aca="false">IF(AND(J$3&gt;=1,J$3&lt;=16),Inputs!$B$4*INDEX(Curves!$C$2:$C$17,MAX(1,J$3)),0)</f>
        <v>13.2</v>
      </c>
      <c r="K5" s="0" t="n">
        <f aca="false">IF(AND(K$3&gt;=1,K$3&lt;=16),Inputs!$B$4*INDEX(Curves!$C$2:$C$17,MAX(1,K$3)),0)</f>
        <v>11</v>
      </c>
      <c r="L5" s="0" t="n">
        <f aca="false">IF(AND(L$3&gt;=1,L$3&lt;=16),Inputs!$B$4*INDEX(Curves!$C$2:$C$17,MAX(1,L$3)),0)</f>
        <v>11</v>
      </c>
      <c r="M5" s="0" t="n">
        <f aca="false">IF(AND(M$3&gt;=1,M$3&lt;=16),Inputs!$B$4*INDEX(Curves!$C$2:$C$17,MAX(1,M$3)),0)</f>
        <v>8.8</v>
      </c>
      <c r="N5" s="0" t="n">
        <f aca="false">IF(AND(N$3&gt;=1,N$3&lt;=16),Inputs!$B$4*INDEX(Curves!$C$2:$C$17,MAX(1,N$3)),0)</f>
        <v>8.8</v>
      </c>
      <c r="O5" s="0" t="n">
        <f aca="false">IF(AND(O$3&gt;=1,O$3&lt;=16),Inputs!$B$4*INDEX(Curves!$C$2:$C$17,MAX(1,O$3)),0)</f>
        <v>6.6</v>
      </c>
      <c r="P5" s="0" t="n">
        <f aca="false">IF(AND(P$3&gt;=1,P$3&lt;=16),Inputs!$B$4*INDEX(Curves!$C$2:$C$17,MAX(1,P$3)),0)</f>
        <v>4.4</v>
      </c>
      <c r="Q5" s="0" t="n">
        <f aca="false">IF(AND(Q$3&gt;=1,Q$3&lt;=16),Inputs!$B$4*INDEX(Curves!$C$2:$C$17,MAX(1,Q$3)),0)</f>
        <v>4.4</v>
      </c>
      <c r="R5" s="0" t="n">
        <f aca="false">IF(AND(R$3&gt;=1,R$3&lt;=16),Inputs!$B$4*INDEX(Curves!$C$2:$C$17,MAX(1,R$3)),0)</f>
        <v>4.4</v>
      </c>
      <c r="S5" s="0" t="n">
        <f aca="false">IF(AND(S$3&gt;=1,S$3&lt;=16),Inputs!$B$4*INDEX(Curves!$C$2:$C$17,MAX(1,S$3)),0)</f>
        <v>0</v>
      </c>
      <c r="T5" s="0" t="n">
        <f aca="false">IF(AND(T$3&gt;=1,T$3&lt;=16),Inputs!$B$4*INDEX(Curves!$C$2:$C$17,MAX(1,T$3)),0)</f>
        <v>0</v>
      </c>
      <c r="U5" s="0" t="n">
        <f aca="false">IF(AND(U$3&gt;=1,U$3&lt;=16),Inputs!$B$4*INDEX(Curves!$C$2:$C$17,MAX(1,U$3)),0)</f>
        <v>0</v>
      </c>
      <c r="V5" s="0" t="n">
        <f aca="false">IF(AND(V$3&gt;=1,V$3&lt;=16),Inputs!$B$4*INDEX(Curves!$C$2:$C$17,MAX(1,V$3)),0)</f>
        <v>0</v>
      </c>
      <c r="W5" s="0" t="n">
        <f aca="false">IF(AND(W$3&gt;=1,W$3&lt;=16),Inputs!$B$4*INDEX(Curves!$C$2:$C$17,MAX(1,W$3)),0)</f>
        <v>0</v>
      </c>
      <c r="X5" s="0" t="n">
        <f aca="false">IF(AND(X$3&gt;=1,X$3&lt;=16),Inputs!$B$4*INDEX(Curves!$C$2:$C$17,MAX(1,X$3)),0)</f>
        <v>0</v>
      </c>
      <c r="Y5" s="0" t="n">
        <f aca="false">IF(AND(Y$3&gt;=1,Y$3&lt;=16),Inputs!$B$4*INDEX(Curves!$C$2:$C$17,MAX(1,Y$3)),0)</f>
        <v>0</v>
      </c>
      <c r="Z5" s="0" t="n">
        <f aca="false">IF(AND(Z$3&gt;=1,Z$3&lt;=16),Inputs!$B$4*INDEX(Curves!$C$2:$C$17,MAX(1,Z$3)),0)</f>
        <v>0</v>
      </c>
      <c r="AA5" s="0" t="n">
        <f aca="false">IF(AND(AA$3&gt;=1,AA$3&lt;=16),Inputs!$B$4*INDEX(Curves!$C$2:$C$17,MAX(1,AA$3)),0)</f>
        <v>0</v>
      </c>
      <c r="AB5" s="0" t="n">
        <f aca="false">IF(AND(AB$3&gt;=1,AB$3&lt;=16),Inputs!$B$4*INDEX(Curves!$C$2:$C$17,MAX(1,AB$3)),0)</f>
        <v>0</v>
      </c>
      <c r="AC5" s="0" t="n">
        <f aca="false">IF(AND(AC$3&gt;=1,AC$3&lt;=16),Inputs!$B$4*INDEX(Curves!$C$2:$C$17,MAX(1,AC$3)),0)</f>
        <v>0</v>
      </c>
      <c r="AD5" s="0" t="n">
        <f aca="false">IF(AND(AD$3&gt;=1,AD$3&lt;=16),Inputs!$B$4*INDEX(Curves!$C$2:$C$17,MAX(1,AD$3)),0)</f>
        <v>0</v>
      </c>
      <c r="AE5" s="0" t="n">
        <f aca="false">IF(AND(AE$3&gt;=1,AE$3&lt;=16),Inputs!$B$4*INDEX(Curves!$C$2:$C$17,MAX(1,AE$3)),0)</f>
        <v>0</v>
      </c>
      <c r="AF5" s="0" t="n">
        <f aca="false">IF(AND(AF$3&gt;=1,AF$3&lt;=16),Inputs!$B$4*INDEX(Curves!$C$2:$C$17,MAX(1,AF$3)),0)</f>
        <v>0</v>
      </c>
      <c r="AG5" s="0" t="n">
        <f aca="false">IF(AND(AG$3&gt;=1,AG$3&lt;=16),Inputs!$B$4*INDEX(Curves!$C$2:$C$17,MAX(1,AG$3)),0)</f>
        <v>0</v>
      </c>
      <c r="AH5" s="0" t="n">
        <f aca="false">IF(AND(AH$3&gt;=1,AH$3&lt;=16),Inputs!$B$4*INDEX(Curves!$C$2:$C$17,MAX(1,AH$3)),0)</f>
        <v>0</v>
      </c>
    </row>
    <row r="6" customFormat="false" ht="15" hidden="false" customHeight="false" outlineLevel="0" collapsed="false">
      <c r="A6" s="0" t="s">
        <v>38</v>
      </c>
      <c r="B6" s="0" t="n">
        <f aca="false">B5*Inputs!$B$5*Inputs!$B$6</f>
        <v>0</v>
      </c>
      <c r="C6" s="0" t="n">
        <f aca="false">C5*Inputs!$B$5*Inputs!$B$6</f>
        <v>249084000</v>
      </c>
      <c r="D6" s="0" t="n">
        <f aca="false">D5*Inputs!$B$5*Inputs!$B$6</f>
        <v>166056000</v>
      </c>
      <c r="E6" s="0" t="n">
        <f aca="false">E5*Inputs!$B$5*Inputs!$B$6</f>
        <v>124542000</v>
      </c>
      <c r="F6" s="0" t="n">
        <f aca="false">F5*Inputs!$B$5*Inputs!$B$6</f>
        <v>110704000</v>
      </c>
      <c r="G6" s="0" t="n">
        <f aca="false">G5*Inputs!$B$5*Inputs!$B$6</f>
        <v>96866000</v>
      </c>
      <c r="H6" s="0" t="n">
        <f aca="false">H5*Inputs!$B$5*Inputs!$B$6</f>
        <v>96866000</v>
      </c>
      <c r="I6" s="0" t="n">
        <f aca="false">I5*Inputs!$B$5*Inputs!$B$6</f>
        <v>83028000</v>
      </c>
      <c r="J6" s="0" t="n">
        <f aca="false">J5*Inputs!$B$5*Inputs!$B$6</f>
        <v>83028000</v>
      </c>
      <c r="K6" s="0" t="n">
        <f aca="false">K5*Inputs!$B$5*Inputs!$B$6</f>
        <v>69190000</v>
      </c>
      <c r="L6" s="0" t="n">
        <f aca="false">L5*Inputs!$B$5*Inputs!$B$6</f>
        <v>69190000</v>
      </c>
      <c r="M6" s="0" t="n">
        <f aca="false">M5*Inputs!$B$5*Inputs!$B$6</f>
        <v>55352000</v>
      </c>
      <c r="N6" s="0" t="n">
        <f aca="false">N5*Inputs!$B$5*Inputs!$B$6</f>
        <v>55352000</v>
      </c>
      <c r="O6" s="0" t="n">
        <f aca="false">O5*Inputs!$B$5*Inputs!$B$6</f>
        <v>41514000</v>
      </c>
      <c r="P6" s="0" t="n">
        <f aca="false">P5*Inputs!$B$5*Inputs!$B$6</f>
        <v>27676000</v>
      </c>
      <c r="Q6" s="0" t="n">
        <f aca="false">Q5*Inputs!$B$5*Inputs!$B$6</f>
        <v>27676000</v>
      </c>
      <c r="R6" s="0" t="n">
        <f aca="false">R5*Inputs!$B$5*Inputs!$B$6</f>
        <v>27676000</v>
      </c>
      <c r="S6" s="0" t="n">
        <f aca="false">S5*Inputs!$B$5*Inputs!$B$6</f>
        <v>0</v>
      </c>
      <c r="T6" s="0" t="n">
        <f aca="false">T5*Inputs!$B$5*Inputs!$B$6</f>
        <v>0</v>
      </c>
      <c r="U6" s="0" t="n">
        <f aca="false">U5*Inputs!$B$5*Inputs!$B$6</f>
        <v>0</v>
      </c>
      <c r="V6" s="0" t="n">
        <f aca="false">V5*Inputs!$B$5*Inputs!$B$6</f>
        <v>0</v>
      </c>
      <c r="W6" s="0" t="n">
        <f aca="false">W5*Inputs!$B$5*Inputs!$B$6</f>
        <v>0</v>
      </c>
      <c r="X6" s="0" t="n">
        <f aca="false">X5*Inputs!$B$5*Inputs!$B$6</f>
        <v>0</v>
      </c>
      <c r="Y6" s="0" t="n">
        <f aca="false">Y5*Inputs!$B$5*Inputs!$B$6</f>
        <v>0</v>
      </c>
      <c r="Z6" s="0" t="n">
        <f aca="false">Z5*Inputs!$B$5*Inputs!$B$6</f>
        <v>0</v>
      </c>
      <c r="AA6" s="0" t="n">
        <f aca="false">AA5*Inputs!$B$5*Inputs!$B$6</f>
        <v>0</v>
      </c>
      <c r="AB6" s="0" t="n">
        <f aca="false">AB5*Inputs!$B$5*Inputs!$B$6</f>
        <v>0</v>
      </c>
      <c r="AC6" s="0" t="n">
        <f aca="false">AC5*Inputs!$B$5*Inputs!$B$6</f>
        <v>0</v>
      </c>
      <c r="AD6" s="0" t="n">
        <f aca="false">AD5*Inputs!$B$5*Inputs!$B$6</f>
        <v>0</v>
      </c>
      <c r="AE6" s="0" t="n">
        <f aca="false">AE5*Inputs!$B$5*Inputs!$B$6</f>
        <v>0</v>
      </c>
      <c r="AF6" s="0" t="n">
        <f aca="false">AF5*Inputs!$B$5*Inputs!$B$6</f>
        <v>0</v>
      </c>
      <c r="AG6" s="0" t="n">
        <f aca="false">AG5*Inputs!$B$5*Inputs!$B$6</f>
        <v>0</v>
      </c>
      <c r="AH6" s="0" t="n">
        <f aca="false">AH5*Inputs!$B$5*Inputs!$B$6</f>
        <v>0</v>
      </c>
    </row>
    <row r="7" customFormat="false" ht="15" hidden="false" customHeight="false" outlineLevel="0" collapsed="false">
      <c r="A7" s="0" t="s">
        <v>39</v>
      </c>
      <c r="B7" s="0" t="n">
        <f aca="false">SUM($B$6:B6)</f>
        <v>0</v>
      </c>
      <c r="C7" s="0" t="n">
        <f aca="false">SUM($B$6:C6)</f>
        <v>249084000</v>
      </c>
      <c r="D7" s="0" t="n">
        <f aca="false">SUM($B$6:D6)</f>
        <v>415140000</v>
      </c>
      <c r="E7" s="0" t="n">
        <f aca="false">SUM($B$6:E6)</f>
        <v>539682000</v>
      </c>
      <c r="F7" s="0" t="n">
        <f aca="false">SUM($B$6:F6)</f>
        <v>650386000</v>
      </c>
      <c r="G7" s="0" t="n">
        <f aca="false">SUM($B$6:G6)</f>
        <v>747252000</v>
      </c>
      <c r="H7" s="0" t="n">
        <f aca="false">SUM($B$6:H6)</f>
        <v>844118000</v>
      </c>
      <c r="I7" s="0" t="n">
        <f aca="false">SUM($B$6:I6)</f>
        <v>927146000</v>
      </c>
      <c r="J7" s="0" t="n">
        <f aca="false">SUM($B$6:J6)</f>
        <v>1010174000</v>
      </c>
      <c r="K7" s="0" t="n">
        <f aca="false">SUM($B$6:K6)</f>
        <v>1079364000</v>
      </c>
      <c r="L7" s="0" t="n">
        <f aca="false">SUM($B$6:L6)</f>
        <v>1148554000</v>
      </c>
      <c r="M7" s="0" t="n">
        <f aca="false">SUM($B$6:M6)</f>
        <v>1203906000</v>
      </c>
      <c r="N7" s="0" t="n">
        <f aca="false">SUM($B$6:N6)</f>
        <v>1259258000</v>
      </c>
      <c r="O7" s="0" t="n">
        <f aca="false">SUM($B$6:O6)</f>
        <v>1300772000</v>
      </c>
      <c r="P7" s="0" t="n">
        <f aca="false">SUM($B$6:P6)</f>
        <v>1328448000</v>
      </c>
      <c r="Q7" s="0" t="n">
        <f aca="false">SUM($B$6:Q6)</f>
        <v>1356124000</v>
      </c>
      <c r="R7" s="0" t="n">
        <f aca="false">SUM($B$6:R6)</f>
        <v>1383800000</v>
      </c>
      <c r="S7" s="0" t="n">
        <f aca="false">SUM($B$6:S6)</f>
        <v>1383800000</v>
      </c>
      <c r="T7" s="0" t="n">
        <f aca="false">SUM($B$6:T6)</f>
        <v>1383800000</v>
      </c>
      <c r="U7" s="0" t="n">
        <f aca="false">SUM($B$6:U6)</f>
        <v>1383800000</v>
      </c>
      <c r="V7" s="0" t="n">
        <f aca="false">SUM($B$6:V6)</f>
        <v>1383800000</v>
      </c>
      <c r="W7" s="0" t="n">
        <f aca="false">SUM($B$6:W6)</f>
        <v>1383800000</v>
      </c>
      <c r="X7" s="0" t="n">
        <f aca="false">SUM($B$6:X6)</f>
        <v>1383800000</v>
      </c>
      <c r="Y7" s="0" t="n">
        <f aca="false">SUM($B$6:Y6)</f>
        <v>1383800000</v>
      </c>
      <c r="Z7" s="0" t="n">
        <f aca="false">SUM($B$6:Z6)</f>
        <v>1383800000</v>
      </c>
      <c r="AA7" s="0" t="n">
        <f aca="false">SUM($B$6:AA6)</f>
        <v>1383800000</v>
      </c>
      <c r="AB7" s="0" t="n">
        <f aca="false">SUM($B$6:AB6)</f>
        <v>1383800000</v>
      </c>
      <c r="AC7" s="0" t="n">
        <f aca="false">SUM($B$6:AC6)</f>
        <v>1383800000</v>
      </c>
      <c r="AD7" s="0" t="n">
        <f aca="false">SUM($B$6:AD6)</f>
        <v>1383800000</v>
      </c>
      <c r="AE7" s="0" t="n">
        <f aca="false">SUM($B$6:AE6)</f>
        <v>1383800000</v>
      </c>
      <c r="AF7" s="0" t="n">
        <f aca="false">SUM($B$6:AF6)</f>
        <v>1383800000</v>
      </c>
      <c r="AG7" s="0" t="n">
        <f aca="false">SUM($B$6:AG6)</f>
        <v>1383800000</v>
      </c>
      <c r="AH7" s="0" t="n">
        <f aca="false">SUM($B$6:AH6)</f>
        <v>1383800000</v>
      </c>
    </row>
    <row r="8" customFormat="false" ht="15" hidden="false" customHeight="false" outlineLevel="0" collapsed="false">
      <c r="A8" s="0" t="s">
        <v>40</v>
      </c>
      <c r="B8" s="0" t="n">
        <f aca="false">IF(B$3&lt;Inputs!$B$13,B6*Inputs!$B$8,0)</f>
        <v>0</v>
      </c>
      <c r="C8" s="0" t="n">
        <f aca="false">IF(C$3&lt;Inputs!$B$13,C6*Inputs!$B$8,0)</f>
        <v>24908400</v>
      </c>
      <c r="D8" s="0" t="n">
        <f aca="false">IF(D$3&lt;Inputs!$B$13,D6*Inputs!$B$8,0)</f>
        <v>16605600</v>
      </c>
      <c r="E8" s="0" t="n">
        <f aca="false">IF(E$3&lt;Inputs!$B$13,E6*Inputs!$B$8,0)</f>
        <v>12454200</v>
      </c>
      <c r="F8" s="0" t="n">
        <f aca="false">IF(F$3&lt;Inputs!$B$13,F6*Inputs!$B$8,0)</f>
        <v>11070400</v>
      </c>
      <c r="G8" s="0" t="n">
        <f aca="false">IF(G$3&lt;Inputs!$B$13,G6*Inputs!$B$8,0)</f>
        <v>9686600</v>
      </c>
      <c r="H8" s="0" t="n">
        <f aca="false">IF(H$3&lt;Inputs!$B$13,H6*Inputs!$B$8,0)</f>
        <v>9686600</v>
      </c>
      <c r="I8" s="0" t="n">
        <f aca="false">IF(I$3&lt;Inputs!$B$13,I6*Inputs!$B$8,0)</f>
        <v>8302800</v>
      </c>
      <c r="J8" s="0" t="n">
        <f aca="false">IF(J$3&lt;Inputs!$B$13,J6*Inputs!$B$8,0)</f>
        <v>8302800</v>
      </c>
      <c r="K8" s="0" t="n">
        <f aca="false">IF(K$3&lt;Inputs!$B$13,K6*Inputs!$B$8,0)</f>
        <v>6919000</v>
      </c>
      <c r="L8" s="0" t="n">
        <f aca="false">IF(L$3&lt;Inputs!$B$13,L6*Inputs!$B$8,0)</f>
        <v>6919000</v>
      </c>
      <c r="M8" s="0" t="n">
        <f aca="false">IF(M$3&lt;Inputs!$B$13,M6*Inputs!$B$8,0)</f>
        <v>5535200</v>
      </c>
      <c r="N8" s="0" t="n">
        <f aca="false">IF(N$3&lt;Inputs!$B$13,N6*Inputs!$B$8,0)</f>
        <v>0</v>
      </c>
      <c r="O8" s="0" t="n">
        <f aca="false">IF(O$3&lt;Inputs!$B$13,O6*Inputs!$B$8,0)</f>
        <v>0</v>
      </c>
      <c r="P8" s="0" t="n">
        <f aca="false">IF(P$3&lt;Inputs!$B$13,P6*Inputs!$B$8,0)</f>
        <v>0</v>
      </c>
      <c r="Q8" s="0" t="n">
        <f aca="false">IF(Q$3&lt;Inputs!$B$13,Q6*Inputs!$B$8,0)</f>
        <v>0</v>
      </c>
      <c r="R8" s="0" t="n">
        <f aca="false">IF(R$3&lt;Inputs!$B$13,R6*Inputs!$B$8,0)</f>
        <v>0</v>
      </c>
      <c r="S8" s="0" t="n">
        <f aca="false">IF(S$3&lt;Inputs!$B$13,S6*Inputs!$B$8,0)</f>
        <v>0</v>
      </c>
      <c r="T8" s="0" t="n">
        <f aca="false">IF(T$3&lt;Inputs!$B$13,T6*Inputs!$B$8,0)</f>
        <v>0</v>
      </c>
      <c r="U8" s="0" t="n">
        <f aca="false">IF(U$3&lt;Inputs!$B$13,U6*Inputs!$B$8,0)</f>
        <v>0</v>
      </c>
      <c r="V8" s="0" t="n">
        <f aca="false">IF(V$3&lt;Inputs!$B$13,V6*Inputs!$B$8,0)</f>
        <v>0</v>
      </c>
      <c r="W8" s="0" t="n">
        <f aca="false">IF(W$3&lt;Inputs!$B$13,W6*Inputs!$B$8,0)</f>
        <v>0</v>
      </c>
      <c r="X8" s="0" t="n">
        <f aca="false">IF(X$3&lt;Inputs!$B$13,X6*Inputs!$B$8,0)</f>
        <v>0</v>
      </c>
      <c r="Y8" s="0" t="n">
        <f aca="false">IF(Y$3&lt;Inputs!$B$13,Y6*Inputs!$B$8,0)</f>
        <v>0</v>
      </c>
      <c r="Z8" s="0" t="n">
        <f aca="false">IF(Z$3&lt;Inputs!$B$13,Z6*Inputs!$B$8,0)</f>
        <v>0</v>
      </c>
      <c r="AA8" s="0" t="n">
        <f aca="false">IF(AA$3&lt;Inputs!$B$13,AA6*Inputs!$B$8,0)</f>
        <v>0</v>
      </c>
      <c r="AB8" s="0" t="n">
        <f aca="false">IF(AB$3&lt;Inputs!$B$13,AB6*Inputs!$B$8,0)</f>
        <v>0</v>
      </c>
      <c r="AC8" s="0" t="n">
        <f aca="false">IF(AC$3&lt;Inputs!$B$13,AC6*Inputs!$B$8,0)</f>
        <v>0</v>
      </c>
      <c r="AD8" s="0" t="n">
        <f aca="false">IF(AD$3&lt;Inputs!$B$13,AD6*Inputs!$B$8,0)</f>
        <v>0</v>
      </c>
      <c r="AE8" s="0" t="n">
        <f aca="false">IF(AE$3&lt;Inputs!$B$13,AE6*Inputs!$B$8,0)</f>
        <v>0</v>
      </c>
      <c r="AF8" s="0" t="n">
        <f aca="false">IF(AF$3&lt;Inputs!$B$13,AF6*Inputs!$B$8,0)</f>
        <v>0</v>
      </c>
      <c r="AG8" s="0" t="n">
        <f aca="false">IF(AG$3&lt;Inputs!$B$13,AG6*Inputs!$B$8,0)</f>
        <v>0</v>
      </c>
      <c r="AH8" s="0" t="n">
        <f aca="false">IF(AH$3&lt;Inputs!$B$13,AH6*Inputs!$B$8,0)</f>
        <v>0</v>
      </c>
    </row>
    <row r="9" customFormat="false" ht="15" hidden="false" customHeight="false" outlineLevel="0" collapsed="false">
      <c r="A9" s="0" t="s">
        <v>41</v>
      </c>
      <c r="B9" s="0" t="n">
        <f aca="false">IF(B$3&gt;=Inputs!$B$13,0,IF(B$3=(COUNTIF(Curves!$B$2:$B$13,"&lt;"&amp;Inputs!$B$31)+1),B7*Inputs!$B$9,IF(B$3&gt;(COUNTIF(Curves!$B$2:$B$13,"&lt;"&amp;Inputs!$B$31)+1),B6*Inputs!$B$9,0)))</f>
        <v>0</v>
      </c>
      <c r="C9" s="0" t="n">
        <f aca="false">IF(C$3&gt;=Inputs!$B$13,0,IF(C$3=(COUNTIF(Curves!$B$2:$B$13,"&lt;"&amp;Inputs!$B$31)+1),C7*Inputs!$B$9,IF(C$3&gt;(COUNTIF(Curves!$B$2:$B$13,"&lt;"&amp;Inputs!$B$31)+1),C6*Inputs!$B$9,0)))</f>
        <v>0</v>
      </c>
      <c r="D9" s="0" t="n">
        <f aca="false">IF(D$3&gt;=Inputs!$B$13,0,IF(D$3=(COUNTIF(Curves!$B$2:$B$13,"&lt;"&amp;Inputs!$B$31)+1),D7*Inputs!$B$9,IF(D$3&gt;(COUNTIF(Curves!$B$2:$B$13,"&lt;"&amp;Inputs!$B$31)+1),D6*Inputs!$B$9,0)))</f>
        <v>0</v>
      </c>
      <c r="E9" s="0" t="n">
        <f aca="false">IF(E$3&gt;=Inputs!$B$13,0,IF(E$3=(COUNTIF(Curves!$B$2:$B$13,"&lt;"&amp;Inputs!$B$31)+1),E7*Inputs!$B$9,IF(E$3&gt;(COUNTIF(Curves!$B$2:$B$13,"&lt;"&amp;Inputs!$B$31)+1),E6*Inputs!$B$9,0)))</f>
        <v>0</v>
      </c>
      <c r="F9" s="0" t="n">
        <f aca="false">IF(F$3&gt;=Inputs!$B$13,0,IF(F$3=(COUNTIF(Curves!$B$2:$B$13,"&lt;"&amp;Inputs!$B$31)+1),F7*Inputs!$B$9,IF(F$3&gt;(COUNTIF(Curves!$B$2:$B$13,"&lt;"&amp;Inputs!$B$31)+1),F6*Inputs!$B$9,0)))</f>
        <v>65038600</v>
      </c>
      <c r="G9" s="0" t="n">
        <f aca="false">IF(G$3&gt;=Inputs!$B$13,0,IF(G$3=(COUNTIF(Curves!$B$2:$B$13,"&lt;"&amp;Inputs!$B$31)+1),G7*Inputs!$B$9,IF(G$3&gt;(COUNTIF(Curves!$B$2:$B$13,"&lt;"&amp;Inputs!$B$31)+1),G6*Inputs!$B$9,0)))</f>
        <v>9686600</v>
      </c>
      <c r="H9" s="0" t="n">
        <f aca="false">IF(H$3&gt;=Inputs!$B$13,0,IF(H$3=(COUNTIF(Curves!$B$2:$B$13,"&lt;"&amp;Inputs!$B$31)+1),H7*Inputs!$B$9,IF(H$3&gt;(COUNTIF(Curves!$B$2:$B$13,"&lt;"&amp;Inputs!$B$31)+1),H6*Inputs!$B$9,0)))</f>
        <v>9686600</v>
      </c>
      <c r="I9" s="0" t="n">
        <f aca="false">IF(I$3&gt;=Inputs!$B$13,0,IF(I$3=(COUNTIF(Curves!$B$2:$B$13,"&lt;"&amp;Inputs!$B$31)+1),I7*Inputs!$B$9,IF(I$3&gt;(COUNTIF(Curves!$B$2:$B$13,"&lt;"&amp;Inputs!$B$31)+1),I6*Inputs!$B$9,0)))</f>
        <v>8302800</v>
      </c>
      <c r="J9" s="0" t="n">
        <f aca="false">IF(J$3&gt;=Inputs!$B$13,0,IF(J$3=(COUNTIF(Curves!$B$2:$B$13,"&lt;"&amp;Inputs!$B$31)+1),J7*Inputs!$B$9,IF(J$3&gt;(COUNTIF(Curves!$B$2:$B$13,"&lt;"&amp;Inputs!$B$31)+1),J6*Inputs!$B$9,0)))</f>
        <v>8302800</v>
      </c>
      <c r="K9" s="0" t="n">
        <f aca="false">IF(K$3&gt;=Inputs!$B$13,0,IF(K$3=(COUNTIF(Curves!$B$2:$B$13,"&lt;"&amp;Inputs!$B$31)+1),K7*Inputs!$B$9,IF(K$3&gt;(COUNTIF(Curves!$B$2:$B$13,"&lt;"&amp;Inputs!$B$31)+1),K6*Inputs!$B$9,0)))</f>
        <v>6919000</v>
      </c>
      <c r="L9" s="0" t="n">
        <f aca="false">IF(L$3&gt;=Inputs!$B$13,0,IF(L$3=(COUNTIF(Curves!$B$2:$B$13,"&lt;"&amp;Inputs!$B$31)+1),L7*Inputs!$B$9,IF(L$3&gt;(COUNTIF(Curves!$B$2:$B$13,"&lt;"&amp;Inputs!$B$31)+1),L6*Inputs!$B$9,0)))</f>
        <v>6919000</v>
      </c>
      <c r="M9" s="0" t="n">
        <f aca="false">IF(M$3&gt;=Inputs!$B$13,0,IF(M$3=(COUNTIF(Curves!$B$2:$B$13,"&lt;"&amp;Inputs!$B$31)+1),M7*Inputs!$B$9,IF(M$3&gt;(COUNTIF(Curves!$B$2:$B$13,"&lt;"&amp;Inputs!$B$31)+1),M6*Inputs!$B$9,0)))</f>
        <v>5535200</v>
      </c>
      <c r="N9" s="0" t="n">
        <f aca="false">IF(N$3&gt;=Inputs!$B$13,0,IF(N$3=(COUNTIF(Curves!$B$2:$B$13,"&lt;"&amp;Inputs!$B$31)+1),N7*Inputs!$B$9,IF(N$3&gt;(COUNTIF(Curves!$B$2:$B$13,"&lt;"&amp;Inputs!$B$31)+1),N6*Inputs!$B$9,0)))</f>
        <v>0</v>
      </c>
      <c r="O9" s="0" t="n">
        <f aca="false">IF(O$3&gt;=Inputs!$B$13,0,IF(O$3=(COUNTIF(Curves!$B$2:$B$13,"&lt;"&amp;Inputs!$B$31)+1),O7*Inputs!$B$9,IF(O$3&gt;(COUNTIF(Curves!$B$2:$B$13,"&lt;"&amp;Inputs!$B$31)+1),O6*Inputs!$B$9,0)))</f>
        <v>0</v>
      </c>
      <c r="P9" s="0" t="n">
        <f aca="false">IF(P$3&gt;=Inputs!$B$13,0,IF(P$3=(COUNTIF(Curves!$B$2:$B$13,"&lt;"&amp;Inputs!$B$31)+1),P7*Inputs!$B$9,IF(P$3&gt;(COUNTIF(Curves!$B$2:$B$13,"&lt;"&amp;Inputs!$B$31)+1),P6*Inputs!$B$9,0)))</f>
        <v>0</v>
      </c>
      <c r="Q9" s="0" t="n">
        <f aca="false">IF(Q$3&gt;=Inputs!$B$13,0,IF(Q$3=(COUNTIF(Curves!$B$2:$B$13,"&lt;"&amp;Inputs!$B$31)+1),Q7*Inputs!$B$9,IF(Q$3&gt;(COUNTIF(Curves!$B$2:$B$13,"&lt;"&amp;Inputs!$B$31)+1),Q6*Inputs!$B$9,0)))</f>
        <v>0</v>
      </c>
      <c r="R9" s="0" t="n">
        <f aca="false">IF(R$3&gt;=Inputs!$B$13,0,IF(R$3=(COUNTIF(Curves!$B$2:$B$13,"&lt;"&amp;Inputs!$B$31)+1),R7*Inputs!$B$9,IF(R$3&gt;(COUNTIF(Curves!$B$2:$B$13,"&lt;"&amp;Inputs!$B$31)+1),R6*Inputs!$B$9,0)))</f>
        <v>0</v>
      </c>
      <c r="S9" s="0" t="n">
        <f aca="false">IF(S$3&gt;=Inputs!$B$13,0,IF(S$3=(COUNTIF(Curves!$B$2:$B$13,"&lt;"&amp;Inputs!$B$31)+1),S7*Inputs!$B$9,IF(S$3&gt;(COUNTIF(Curves!$B$2:$B$13,"&lt;"&amp;Inputs!$B$31)+1),S6*Inputs!$B$9,0)))</f>
        <v>0</v>
      </c>
      <c r="T9" s="0" t="n">
        <f aca="false">IF(T$3&gt;=Inputs!$B$13,0,IF(T$3=(COUNTIF(Curves!$B$2:$B$13,"&lt;"&amp;Inputs!$B$31)+1),T7*Inputs!$B$9,IF(T$3&gt;(COUNTIF(Curves!$B$2:$B$13,"&lt;"&amp;Inputs!$B$31)+1),T6*Inputs!$B$9,0)))</f>
        <v>0</v>
      </c>
      <c r="U9" s="0" t="n">
        <f aca="false">IF(U$3&gt;=Inputs!$B$13,0,IF(U$3=(COUNTIF(Curves!$B$2:$B$13,"&lt;"&amp;Inputs!$B$31)+1),U7*Inputs!$B$9,IF(U$3&gt;(COUNTIF(Curves!$B$2:$B$13,"&lt;"&amp;Inputs!$B$31)+1),U6*Inputs!$B$9,0)))</f>
        <v>0</v>
      </c>
      <c r="V9" s="0" t="n">
        <f aca="false">IF(V$3&gt;=Inputs!$B$13,0,IF(V$3=(COUNTIF(Curves!$B$2:$B$13,"&lt;"&amp;Inputs!$B$31)+1),V7*Inputs!$B$9,IF(V$3&gt;(COUNTIF(Curves!$B$2:$B$13,"&lt;"&amp;Inputs!$B$31)+1),V6*Inputs!$B$9,0)))</f>
        <v>0</v>
      </c>
      <c r="W9" s="0" t="n">
        <f aca="false">IF(W$3&gt;=Inputs!$B$13,0,IF(W$3=(COUNTIF(Curves!$B$2:$B$13,"&lt;"&amp;Inputs!$B$31)+1),W7*Inputs!$B$9,IF(W$3&gt;(COUNTIF(Curves!$B$2:$B$13,"&lt;"&amp;Inputs!$B$31)+1),W6*Inputs!$B$9,0)))</f>
        <v>0</v>
      </c>
      <c r="X9" s="0" t="n">
        <f aca="false">IF(X$3&gt;=Inputs!$B$13,0,IF(X$3=(COUNTIF(Curves!$B$2:$B$13,"&lt;"&amp;Inputs!$B$31)+1),X7*Inputs!$B$9,IF(X$3&gt;(COUNTIF(Curves!$B$2:$B$13,"&lt;"&amp;Inputs!$B$31)+1),X6*Inputs!$B$9,0)))</f>
        <v>0</v>
      </c>
      <c r="Y9" s="0" t="n">
        <f aca="false">IF(Y$3&gt;=Inputs!$B$13,0,IF(Y$3=(COUNTIF(Curves!$B$2:$B$13,"&lt;"&amp;Inputs!$B$31)+1),Y7*Inputs!$B$9,IF(Y$3&gt;(COUNTIF(Curves!$B$2:$B$13,"&lt;"&amp;Inputs!$B$31)+1),Y6*Inputs!$B$9,0)))</f>
        <v>0</v>
      </c>
      <c r="Z9" s="0" t="n">
        <f aca="false">IF(Z$3&gt;=Inputs!$B$13,0,IF(Z$3=(COUNTIF(Curves!$B$2:$B$13,"&lt;"&amp;Inputs!$B$31)+1),Z7*Inputs!$B$9,IF(Z$3&gt;(COUNTIF(Curves!$B$2:$B$13,"&lt;"&amp;Inputs!$B$31)+1),Z6*Inputs!$B$9,0)))</f>
        <v>0</v>
      </c>
      <c r="AA9" s="0" t="n">
        <f aca="false">IF(AA$3&gt;=Inputs!$B$13,0,IF(AA$3=(COUNTIF(Curves!$B$2:$B$13,"&lt;"&amp;Inputs!$B$31)+1),AA7*Inputs!$B$9,IF(AA$3&gt;(COUNTIF(Curves!$B$2:$B$13,"&lt;"&amp;Inputs!$B$31)+1),AA6*Inputs!$B$9,0)))</f>
        <v>0</v>
      </c>
      <c r="AB9" s="0" t="n">
        <f aca="false">IF(AB$3&gt;=Inputs!$B$13,0,IF(AB$3=(COUNTIF(Curves!$B$2:$B$13,"&lt;"&amp;Inputs!$B$31)+1),AB7*Inputs!$B$9,IF(AB$3&gt;(COUNTIF(Curves!$B$2:$B$13,"&lt;"&amp;Inputs!$B$31)+1),AB6*Inputs!$B$9,0)))</f>
        <v>0</v>
      </c>
      <c r="AC9" s="0" t="n">
        <f aca="false">IF(AC$3&gt;=Inputs!$B$13,0,IF(AC$3=(COUNTIF(Curves!$B$2:$B$13,"&lt;"&amp;Inputs!$B$31)+1),AC7*Inputs!$B$9,IF(AC$3&gt;(COUNTIF(Curves!$B$2:$B$13,"&lt;"&amp;Inputs!$B$31)+1),AC6*Inputs!$B$9,0)))</f>
        <v>0</v>
      </c>
      <c r="AD9" s="0" t="n">
        <f aca="false">IF(AD$3&gt;=Inputs!$B$13,0,IF(AD$3=(COUNTIF(Curves!$B$2:$B$13,"&lt;"&amp;Inputs!$B$31)+1),AD7*Inputs!$B$9,IF(AD$3&gt;(COUNTIF(Curves!$B$2:$B$13,"&lt;"&amp;Inputs!$B$31)+1),AD6*Inputs!$B$9,0)))</f>
        <v>0</v>
      </c>
      <c r="AE9" s="0" t="n">
        <f aca="false">IF(AE$3&gt;=Inputs!$B$13,0,IF(AE$3=(COUNTIF(Curves!$B$2:$B$13,"&lt;"&amp;Inputs!$B$31)+1),AE7*Inputs!$B$9,IF(AE$3&gt;(COUNTIF(Curves!$B$2:$B$13,"&lt;"&amp;Inputs!$B$31)+1),AE6*Inputs!$B$9,0)))</f>
        <v>0</v>
      </c>
      <c r="AF9" s="0" t="n">
        <f aca="false">IF(AF$3&gt;=Inputs!$B$13,0,IF(AF$3=(COUNTIF(Curves!$B$2:$B$13,"&lt;"&amp;Inputs!$B$31)+1),AF7*Inputs!$B$9,IF(AF$3&gt;(COUNTIF(Curves!$B$2:$B$13,"&lt;"&amp;Inputs!$B$31)+1),AF6*Inputs!$B$9,0)))</f>
        <v>0</v>
      </c>
      <c r="AG9" s="0" t="n">
        <f aca="false">IF(AG$3&gt;=Inputs!$B$13,0,IF(AG$3=(COUNTIF(Curves!$B$2:$B$13,"&lt;"&amp;Inputs!$B$31)+1),AG7*Inputs!$B$9,IF(AG$3&gt;(COUNTIF(Curves!$B$2:$B$13,"&lt;"&amp;Inputs!$B$31)+1),AG6*Inputs!$B$9,0)))</f>
        <v>0</v>
      </c>
      <c r="AH9" s="0" t="n">
        <f aca="false">IF(AH$3&gt;=Inputs!$B$13,0,IF(AH$3=(COUNTIF(Curves!$B$2:$B$13,"&lt;"&amp;Inputs!$B$31)+1),AH7*Inputs!$B$9,IF(AH$3&gt;(COUNTIF(Curves!$B$2:$B$13,"&lt;"&amp;Inputs!$B$31)+1),AH6*Inputs!$B$9,0)))</f>
        <v>0</v>
      </c>
    </row>
    <row r="10" customFormat="false" ht="15" hidden="false" customHeight="false" outlineLevel="0" collapsed="false">
      <c r="A10" s="0" t="s">
        <v>42</v>
      </c>
      <c r="B10" s="0" t="n">
        <f aca="false">IF(B$3&gt;=Inputs!$B$13,0,IF(B$3=(COUNTIF(Curves!$B$2:$B$13,"&lt;"&amp;Inputs!$B$32)+1),B7*Inputs!$B$9,IF(B$3&gt;(COUNTIF(Curves!$B$2:$B$13,"&lt;"&amp;Inputs!$B$32)+1),B6*Inputs!$B$9,0)))</f>
        <v>0</v>
      </c>
      <c r="C10" s="0" t="n">
        <f aca="false">IF(C$3&gt;=Inputs!$B$13,0,IF(C$3=(COUNTIF(Curves!$B$2:$B$13,"&lt;"&amp;Inputs!$B$32)+1),C7*Inputs!$B$9,IF(C$3&gt;(COUNTIF(Curves!$B$2:$B$13,"&lt;"&amp;Inputs!$B$32)+1),C6*Inputs!$B$9,0)))</f>
        <v>0</v>
      </c>
      <c r="D10" s="0" t="n">
        <f aca="false">IF(D$3&gt;=Inputs!$B$13,0,IF(D$3=(COUNTIF(Curves!$B$2:$B$13,"&lt;"&amp;Inputs!$B$32)+1),D7*Inputs!$B$9,IF(D$3&gt;(COUNTIF(Curves!$B$2:$B$13,"&lt;"&amp;Inputs!$B$32)+1),D6*Inputs!$B$9,0)))</f>
        <v>0</v>
      </c>
      <c r="E10" s="0" t="n">
        <f aca="false">IF(E$3&gt;=Inputs!$B$13,0,IF(E$3=(COUNTIF(Curves!$B$2:$B$13,"&lt;"&amp;Inputs!$B$32)+1),E7*Inputs!$B$9,IF(E$3&gt;(COUNTIF(Curves!$B$2:$B$13,"&lt;"&amp;Inputs!$B$32)+1),E6*Inputs!$B$9,0)))</f>
        <v>0</v>
      </c>
      <c r="F10" s="0" t="n">
        <f aca="false">IF(F$3&gt;=Inputs!$B$13,0,IF(F$3=(COUNTIF(Curves!$B$2:$B$13,"&lt;"&amp;Inputs!$B$32)+1),F7*Inputs!$B$9,IF(F$3&gt;(COUNTIF(Curves!$B$2:$B$13,"&lt;"&amp;Inputs!$B$32)+1),F6*Inputs!$B$9,0)))</f>
        <v>0</v>
      </c>
      <c r="G10" s="0" t="n">
        <f aca="false">IF(G$3&gt;=Inputs!$B$13,0,IF(G$3=(COUNTIF(Curves!$B$2:$B$13,"&lt;"&amp;Inputs!$B$32)+1),G7*Inputs!$B$9,IF(G$3&gt;(COUNTIF(Curves!$B$2:$B$13,"&lt;"&amp;Inputs!$B$32)+1),G6*Inputs!$B$9,0)))</f>
        <v>0</v>
      </c>
      <c r="H10" s="0" t="n">
        <f aca="false">IF(H$3&gt;=Inputs!$B$13,0,IF(H$3=(COUNTIF(Curves!$B$2:$B$13,"&lt;"&amp;Inputs!$B$32)+1),H7*Inputs!$B$9,IF(H$3&gt;(COUNTIF(Curves!$B$2:$B$13,"&lt;"&amp;Inputs!$B$32)+1),H6*Inputs!$B$9,0)))</f>
        <v>84411800</v>
      </c>
      <c r="I10" s="0" t="n">
        <f aca="false">IF(I$3&gt;=Inputs!$B$13,0,IF(I$3=(COUNTIF(Curves!$B$2:$B$13,"&lt;"&amp;Inputs!$B$32)+1),I7*Inputs!$B$9,IF(I$3&gt;(COUNTIF(Curves!$B$2:$B$13,"&lt;"&amp;Inputs!$B$32)+1),I6*Inputs!$B$9,0)))</f>
        <v>8302800</v>
      </c>
      <c r="J10" s="0" t="n">
        <f aca="false">IF(J$3&gt;=Inputs!$B$13,0,IF(J$3=(COUNTIF(Curves!$B$2:$B$13,"&lt;"&amp;Inputs!$B$32)+1),J7*Inputs!$B$9,IF(J$3&gt;(COUNTIF(Curves!$B$2:$B$13,"&lt;"&amp;Inputs!$B$32)+1),J6*Inputs!$B$9,0)))</f>
        <v>8302800</v>
      </c>
      <c r="K10" s="0" t="n">
        <f aca="false">IF(K$3&gt;=Inputs!$B$13,0,IF(K$3=(COUNTIF(Curves!$B$2:$B$13,"&lt;"&amp;Inputs!$B$32)+1),K7*Inputs!$B$9,IF(K$3&gt;(COUNTIF(Curves!$B$2:$B$13,"&lt;"&amp;Inputs!$B$32)+1),K6*Inputs!$B$9,0)))</f>
        <v>6919000</v>
      </c>
      <c r="L10" s="0" t="n">
        <f aca="false">IF(L$3&gt;=Inputs!$B$13,0,IF(L$3=(COUNTIF(Curves!$B$2:$B$13,"&lt;"&amp;Inputs!$B$32)+1),L7*Inputs!$B$9,IF(L$3&gt;(COUNTIF(Curves!$B$2:$B$13,"&lt;"&amp;Inputs!$B$32)+1),L6*Inputs!$B$9,0)))</f>
        <v>6919000</v>
      </c>
      <c r="M10" s="0" t="n">
        <f aca="false">IF(M$3&gt;=Inputs!$B$13,0,IF(M$3=(COUNTIF(Curves!$B$2:$B$13,"&lt;"&amp;Inputs!$B$32)+1),M7*Inputs!$B$9,IF(M$3&gt;(COUNTIF(Curves!$B$2:$B$13,"&lt;"&amp;Inputs!$B$32)+1),M6*Inputs!$B$9,0)))</f>
        <v>5535200</v>
      </c>
      <c r="N10" s="0" t="n">
        <f aca="false">IF(N$3&gt;=Inputs!$B$13,0,IF(N$3=(COUNTIF(Curves!$B$2:$B$13,"&lt;"&amp;Inputs!$B$32)+1),N7*Inputs!$B$9,IF(N$3&gt;(COUNTIF(Curves!$B$2:$B$13,"&lt;"&amp;Inputs!$B$32)+1),N6*Inputs!$B$9,0)))</f>
        <v>0</v>
      </c>
      <c r="O10" s="0" t="n">
        <f aca="false">IF(O$3&gt;=Inputs!$B$13,0,IF(O$3=(COUNTIF(Curves!$B$2:$B$13,"&lt;"&amp;Inputs!$B$32)+1),O7*Inputs!$B$9,IF(O$3&gt;(COUNTIF(Curves!$B$2:$B$13,"&lt;"&amp;Inputs!$B$32)+1),O6*Inputs!$B$9,0)))</f>
        <v>0</v>
      </c>
      <c r="P10" s="0" t="n">
        <f aca="false">IF(P$3&gt;=Inputs!$B$13,0,IF(P$3=(COUNTIF(Curves!$B$2:$B$13,"&lt;"&amp;Inputs!$B$32)+1),P7*Inputs!$B$9,IF(P$3&gt;(COUNTIF(Curves!$B$2:$B$13,"&lt;"&amp;Inputs!$B$32)+1),P6*Inputs!$B$9,0)))</f>
        <v>0</v>
      </c>
      <c r="Q10" s="0" t="n">
        <f aca="false">IF(Q$3&gt;=Inputs!$B$13,0,IF(Q$3=(COUNTIF(Curves!$B$2:$B$13,"&lt;"&amp;Inputs!$B$32)+1),Q7*Inputs!$B$9,IF(Q$3&gt;(COUNTIF(Curves!$B$2:$B$13,"&lt;"&amp;Inputs!$B$32)+1),Q6*Inputs!$B$9,0)))</f>
        <v>0</v>
      </c>
      <c r="R10" s="0" t="n">
        <f aca="false">IF(R$3&gt;=Inputs!$B$13,0,IF(R$3=(COUNTIF(Curves!$B$2:$B$13,"&lt;"&amp;Inputs!$B$32)+1),R7*Inputs!$B$9,IF(R$3&gt;(COUNTIF(Curves!$B$2:$B$13,"&lt;"&amp;Inputs!$B$32)+1),R6*Inputs!$B$9,0)))</f>
        <v>0</v>
      </c>
      <c r="S10" s="0" t="n">
        <f aca="false">IF(S$3&gt;=Inputs!$B$13,0,IF(S$3=(COUNTIF(Curves!$B$2:$B$13,"&lt;"&amp;Inputs!$B$32)+1),S7*Inputs!$B$9,IF(S$3&gt;(COUNTIF(Curves!$B$2:$B$13,"&lt;"&amp;Inputs!$B$32)+1),S6*Inputs!$B$9,0)))</f>
        <v>0</v>
      </c>
      <c r="T10" s="0" t="n">
        <f aca="false">IF(T$3&gt;=Inputs!$B$13,0,IF(T$3=(COUNTIF(Curves!$B$2:$B$13,"&lt;"&amp;Inputs!$B$32)+1),T7*Inputs!$B$9,IF(T$3&gt;(COUNTIF(Curves!$B$2:$B$13,"&lt;"&amp;Inputs!$B$32)+1),T6*Inputs!$B$9,0)))</f>
        <v>0</v>
      </c>
      <c r="U10" s="0" t="n">
        <f aca="false">IF(U$3&gt;=Inputs!$B$13,0,IF(U$3=(COUNTIF(Curves!$B$2:$B$13,"&lt;"&amp;Inputs!$B$32)+1),U7*Inputs!$B$9,IF(U$3&gt;(COUNTIF(Curves!$B$2:$B$13,"&lt;"&amp;Inputs!$B$32)+1),U6*Inputs!$B$9,0)))</f>
        <v>0</v>
      </c>
      <c r="V10" s="0" t="n">
        <f aca="false">IF(V$3&gt;=Inputs!$B$13,0,IF(V$3=(COUNTIF(Curves!$B$2:$B$13,"&lt;"&amp;Inputs!$B$32)+1),V7*Inputs!$B$9,IF(V$3&gt;(COUNTIF(Curves!$B$2:$B$13,"&lt;"&amp;Inputs!$B$32)+1),V6*Inputs!$B$9,0)))</f>
        <v>0</v>
      </c>
      <c r="W10" s="0" t="n">
        <f aca="false">IF(W$3&gt;=Inputs!$B$13,0,IF(W$3=(COUNTIF(Curves!$B$2:$B$13,"&lt;"&amp;Inputs!$B$32)+1),W7*Inputs!$B$9,IF(W$3&gt;(COUNTIF(Curves!$B$2:$B$13,"&lt;"&amp;Inputs!$B$32)+1),W6*Inputs!$B$9,0)))</f>
        <v>0</v>
      </c>
      <c r="X10" s="0" t="n">
        <f aca="false">IF(X$3&gt;=Inputs!$B$13,0,IF(X$3=(COUNTIF(Curves!$B$2:$B$13,"&lt;"&amp;Inputs!$B$32)+1),X7*Inputs!$B$9,IF(X$3&gt;(COUNTIF(Curves!$B$2:$B$13,"&lt;"&amp;Inputs!$B$32)+1),X6*Inputs!$B$9,0)))</f>
        <v>0</v>
      </c>
      <c r="Y10" s="0" t="n">
        <f aca="false">IF(Y$3&gt;=Inputs!$B$13,0,IF(Y$3=(COUNTIF(Curves!$B$2:$B$13,"&lt;"&amp;Inputs!$B$32)+1),Y7*Inputs!$B$9,IF(Y$3&gt;(COUNTIF(Curves!$B$2:$B$13,"&lt;"&amp;Inputs!$B$32)+1),Y6*Inputs!$B$9,0)))</f>
        <v>0</v>
      </c>
      <c r="Z10" s="0" t="n">
        <f aca="false">IF(Z$3&gt;=Inputs!$B$13,0,IF(Z$3=(COUNTIF(Curves!$B$2:$B$13,"&lt;"&amp;Inputs!$B$32)+1),Z7*Inputs!$B$9,IF(Z$3&gt;(COUNTIF(Curves!$B$2:$B$13,"&lt;"&amp;Inputs!$B$32)+1),Z6*Inputs!$B$9,0)))</f>
        <v>0</v>
      </c>
      <c r="AA10" s="0" t="n">
        <f aca="false">IF(AA$3&gt;=Inputs!$B$13,0,IF(AA$3=(COUNTIF(Curves!$B$2:$B$13,"&lt;"&amp;Inputs!$B$32)+1),AA7*Inputs!$B$9,IF(AA$3&gt;(COUNTIF(Curves!$B$2:$B$13,"&lt;"&amp;Inputs!$B$32)+1),AA6*Inputs!$B$9,0)))</f>
        <v>0</v>
      </c>
      <c r="AB10" s="0" t="n">
        <f aca="false">IF(AB$3&gt;=Inputs!$B$13,0,IF(AB$3=(COUNTIF(Curves!$B$2:$B$13,"&lt;"&amp;Inputs!$B$32)+1),AB7*Inputs!$B$9,IF(AB$3&gt;(COUNTIF(Curves!$B$2:$B$13,"&lt;"&amp;Inputs!$B$32)+1),AB6*Inputs!$B$9,0)))</f>
        <v>0</v>
      </c>
      <c r="AC10" s="0" t="n">
        <f aca="false">IF(AC$3&gt;=Inputs!$B$13,0,IF(AC$3=(COUNTIF(Curves!$B$2:$B$13,"&lt;"&amp;Inputs!$B$32)+1),AC7*Inputs!$B$9,IF(AC$3&gt;(COUNTIF(Curves!$B$2:$B$13,"&lt;"&amp;Inputs!$B$32)+1),AC6*Inputs!$B$9,0)))</f>
        <v>0</v>
      </c>
      <c r="AD10" s="0" t="n">
        <f aca="false">IF(AD$3&gt;=Inputs!$B$13,0,IF(AD$3=(COUNTIF(Curves!$B$2:$B$13,"&lt;"&amp;Inputs!$B$32)+1),AD7*Inputs!$B$9,IF(AD$3&gt;(COUNTIF(Curves!$B$2:$B$13,"&lt;"&amp;Inputs!$B$32)+1),AD6*Inputs!$B$9,0)))</f>
        <v>0</v>
      </c>
      <c r="AE10" s="0" t="n">
        <f aca="false">IF(AE$3&gt;=Inputs!$B$13,0,IF(AE$3=(COUNTIF(Curves!$B$2:$B$13,"&lt;"&amp;Inputs!$B$32)+1),AE7*Inputs!$B$9,IF(AE$3&gt;(COUNTIF(Curves!$B$2:$B$13,"&lt;"&amp;Inputs!$B$32)+1),AE6*Inputs!$B$9,0)))</f>
        <v>0</v>
      </c>
      <c r="AF10" s="0" t="n">
        <f aca="false">IF(AF$3&gt;=Inputs!$B$13,0,IF(AF$3=(COUNTIF(Curves!$B$2:$B$13,"&lt;"&amp;Inputs!$B$32)+1),AF7*Inputs!$B$9,IF(AF$3&gt;(COUNTIF(Curves!$B$2:$B$13,"&lt;"&amp;Inputs!$B$32)+1),AF6*Inputs!$B$9,0)))</f>
        <v>0</v>
      </c>
      <c r="AG10" s="0" t="n">
        <f aca="false">IF(AG$3&gt;=Inputs!$B$13,0,IF(AG$3=(COUNTIF(Curves!$B$2:$B$13,"&lt;"&amp;Inputs!$B$32)+1),AG7*Inputs!$B$9,IF(AG$3&gt;(COUNTIF(Curves!$B$2:$B$13,"&lt;"&amp;Inputs!$B$32)+1),AG6*Inputs!$B$9,0)))</f>
        <v>0</v>
      </c>
      <c r="AH10" s="0" t="n">
        <f aca="false">IF(AH$3&gt;=Inputs!$B$13,0,IF(AH$3=(COUNTIF(Curves!$B$2:$B$13,"&lt;"&amp;Inputs!$B$32)+1),AH7*Inputs!$B$9,IF(AH$3&gt;(COUNTIF(Curves!$B$2:$B$13,"&lt;"&amp;Inputs!$B$32)+1),AH6*Inputs!$B$9,0)))</f>
        <v>0</v>
      </c>
    </row>
    <row r="11" customFormat="false" ht="15" hidden="false" customHeight="false" outlineLevel="0" collapsed="false">
      <c r="A11" s="0" t="s">
        <v>43</v>
      </c>
      <c r="B11" s="0" t="n">
        <f aca="false">IF(B$3&gt;=Inputs!$B$13,0,IF(B$3=(COUNTIF(Curves!$B$2:$B$13,"&lt;"&amp;Inputs!$B$33)+1),B7*Inputs!$B$9,IF(B$3&gt;(COUNTIF(Curves!$B$2:$B$13,"&lt;"&amp;Inputs!$B$33)+1),B6*Inputs!$B$9,0)))</f>
        <v>0</v>
      </c>
      <c r="C11" s="0" t="n">
        <f aca="false">IF(C$3&gt;=Inputs!$B$13,0,IF(C$3=(COUNTIF(Curves!$B$2:$B$13,"&lt;"&amp;Inputs!$B$33)+1),C7*Inputs!$B$9,IF(C$3&gt;(COUNTIF(Curves!$B$2:$B$13,"&lt;"&amp;Inputs!$B$33)+1),C6*Inputs!$B$9,0)))</f>
        <v>0</v>
      </c>
      <c r="D11" s="0" t="n">
        <f aca="false">IF(D$3&gt;=Inputs!$B$13,0,IF(D$3=(COUNTIF(Curves!$B$2:$B$13,"&lt;"&amp;Inputs!$B$33)+1),D7*Inputs!$B$9,IF(D$3&gt;(COUNTIF(Curves!$B$2:$B$13,"&lt;"&amp;Inputs!$B$33)+1),D6*Inputs!$B$9,0)))</f>
        <v>0</v>
      </c>
      <c r="E11" s="0" t="n">
        <f aca="false">IF(E$3&gt;=Inputs!$B$13,0,IF(E$3=(COUNTIF(Curves!$B$2:$B$13,"&lt;"&amp;Inputs!$B$33)+1),E7*Inputs!$B$9,IF(E$3&gt;(COUNTIF(Curves!$B$2:$B$13,"&lt;"&amp;Inputs!$B$33)+1),E6*Inputs!$B$9,0)))</f>
        <v>0</v>
      </c>
      <c r="F11" s="0" t="n">
        <f aca="false">IF(F$3&gt;=Inputs!$B$13,0,IF(F$3=(COUNTIF(Curves!$B$2:$B$13,"&lt;"&amp;Inputs!$B$33)+1),F7*Inputs!$B$9,IF(F$3&gt;(COUNTIF(Curves!$B$2:$B$13,"&lt;"&amp;Inputs!$B$33)+1),F6*Inputs!$B$9,0)))</f>
        <v>0</v>
      </c>
      <c r="G11" s="0" t="n">
        <f aca="false">IF(G$3&gt;=Inputs!$B$13,0,IF(G$3=(COUNTIF(Curves!$B$2:$B$13,"&lt;"&amp;Inputs!$B$33)+1),G7*Inputs!$B$9,IF(G$3&gt;(COUNTIF(Curves!$B$2:$B$13,"&lt;"&amp;Inputs!$B$33)+1),G6*Inputs!$B$9,0)))</f>
        <v>0</v>
      </c>
      <c r="H11" s="0" t="n">
        <f aca="false">IF(H$3&gt;=Inputs!$B$13,0,IF(H$3=(COUNTIF(Curves!$B$2:$B$13,"&lt;"&amp;Inputs!$B$33)+1),H7*Inputs!$B$9,IF(H$3&gt;(COUNTIF(Curves!$B$2:$B$13,"&lt;"&amp;Inputs!$B$33)+1),H6*Inputs!$B$9,0)))</f>
        <v>0</v>
      </c>
      <c r="I11" s="0" t="n">
        <f aca="false">IF(I$3&gt;=Inputs!$B$13,0,IF(I$3=(COUNTIF(Curves!$B$2:$B$13,"&lt;"&amp;Inputs!$B$33)+1),I7*Inputs!$B$9,IF(I$3&gt;(COUNTIF(Curves!$B$2:$B$13,"&lt;"&amp;Inputs!$B$33)+1),I6*Inputs!$B$9,0)))</f>
        <v>0</v>
      </c>
      <c r="J11" s="0" t="n">
        <f aca="false">IF(J$3&gt;=Inputs!$B$13,0,IF(J$3=(COUNTIF(Curves!$B$2:$B$13,"&lt;"&amp;Inputs!$B$33)+1),J7*Inputs!$B$9,IF(J$3&gt;(COUNTIF(Curves!$B$2:$B$13,"&lt;"&amp;Inputs!$B$33)+1),J6*Inputs!$B$9,0)))</f>
        <v>101017400</v>
      </c>
      <c r="K11" s="0" t="n">
        <f aca="false">IF(K$3&gt;=Inputs!$B$13,0,IF(K$3=(COUNTIF(Curves!$B$2:$B$13,"&lt;"&amp;Inputs!$B$33)+1),K7*Inputs!$B$9,IF(K$3&gt;(COUNTIF(Curves!$B$2:$B$13,"&lt;"&amp;Inputs!$B$33)+1),K6*Inputs!$B$9,0)))</f>
        <v>6919000</v>
      </c>
      <c r="L11" s="0" t="n">
        <f aca="false">IF(L$3&gt;=Inputs!$B$13,0,IF(L$3=(COUNTIF(Curves!$B$2:$B$13,"&lt;"&amp;Inputs!$B$33)+1),L7*Inputs!$B$9,IF(L$3&gt;(COUNTIF(Curves!$B$2:$B$13,"&lt;"&amp;Inputs!$B$33)+1),L6*Inputs!$B$9,0)))</f>
        <v>6919000</v>
      </c>
      <c r="M11" s="0" t="n">
        <f aca="false">IF(M$3&gt;=Inputs!$B$13,0,IF(M$3=(COUNTIF(Curves!$B$2:$B$13,"&lt;"&amp;Inputs!$B$33)+1),M7*Inputs!$B$9,IF(M$3&gt;(COUNTIF(Curves!$B$2:$B$13,"&lt;"&amp;Inputs!$B$33)+1),M6*Inputs!$B$9,0)))</f>
        <v>5535200</v>
      </c>
      <c r="N11" s="0" t="n">
        <f aca="false">IF(N$3&gt;=Inputs!$B$13,0,IF(N$3=(COUNTIF(Curves!$B$2:$B$13,"&lt;"&amp;Inputs!$B$33)+1),N7*Inputs!$B$9,IF(N$3&gt;(COUNTIF(Curves!$B$2:$B$13,"&lt;"&amp;Inputs!$B$33)+1),N6*Inputs!$B$9,0)))</f>
        <v>0</v>
      </c>
      <c r="O11" s="0" t="n">
        <f aca="false">IF(O$3&gt;=Inputs!$B$13,0,IF(O$3=(COUNTIF(Curves!$B$2:$B$13,"&lt;"&amp;Inputs!$B$33)+1),O7*Inputs!$B$9,IF(O$3&gt;(COUNTIF(Curves!$B$2:$B$13,"&lt;"&amp;Inputs!$B$33)+1),O6*Inputs!$B$9,0)))</f>
        <v>0</v>
      </c>
      <c r="P11" s="0" t="n">
        <f aca="false">IF(P$3&gt;=Inputs!$B$13,0,IF(P$3=(COUNTIF(Curves!$B$2:$B$13,"&lt;"&amp;Inputs!$B$33)+1),P7*Inputs!$B$9,IF(P$3&gt;(COUNTIF(Curves!$B$2:$B$13,"&lt;"&amp;Inputs!$B$33)+1),P6*Inputs!$B$9,0)))</f>
        <v>0</v>
      </c>
      <c r="Q11" s="0" t="n">
        <f aca="false">IF(Q$3&gt;=Inputs!$B$13,0,IF(Q$3=(COUNTIF(Curves!$B$2:$B$13,"&lt;"&amp;Inputs!$B$33)+1),Q7*Inputs!$B$9,IF(Q$3&gt;(COUNTIF(Curves!$B$2:$B$13,"&lt;"&amp;Inputs!$B$33)+1),Q6*Inputs!$B$9,0)))</f>
        <v>0</v>
      </c>
      <c r="R11" s="0" t="n">
        <f aca="false">IF(R$3&gt;=Inputs!$B$13,0,IF(R$3=(COUNTIF(Curves!$B$2:$B$13,"&lt;"&amp;Inputs!$B$33)+1),R7*Inputs!$B$9,IF(R$3&gt;(COUNTIF(Curves!$B$2:$B$13,"&lt;"&amp;Inputs!$B$33)+1),R6*Inputs!$B$9,0)))</f>
        <v>0</v>
      </c>
      <c r="S11" s="0" t="n">
        <f aca="false">IF(S$3&gt;=Inputs!$B$13,0,IF(S$3=(COUNTIF(Curves!$B$2:$B$13,"&lt;"&amp;Inputs!$B$33)+1),S7*Inputs!$B$9,IF(S$3&gt;(COUNTIF(Curves!$B$2:$B$13,"&lt;"&amp;Inputs!$B$33)+1),S6*Inputs!$B$9,0)))</f>
        <v>0</v>
      </c>
      <c r="T11" s="0" t="n">
        <f aca="false">IF(T$3&gt;=Inputs!$B$13,0,IF(T$3=(COUNTIF(Curves!$B$2:$B$13,"&lt;"&amp;Inputs!$B$33)+1),T7*Inputs!$B$9,IF(T$3&gt;(COUNTIF(Curves!$B$2:$B$13,"&lt;"&amp;Inputs!$B$33)+1),T6*Inputs!$B$9,0)))</f>
        <v>0</v>
      </c>
      <c r="U11" s="0" t="n">
        <f aca="false">IF(U$3&gt;=Inputs!$B$13,0,IF(U$3=(COUNTIF(Curves!$B$2:$B$13,"&lt;"&amp;Inputs!$B$33)+1),U7*Inputs!$B$9,IF(U$3&gt;(COUNTIF(Curves!$B$2:$B$13,"&lt;"&amp;Inputs!$B$33)+1),U6*Inputs!$B$9,0)))</f>
        <v>0</v>
      </c>
      <c r="V11" s="0" t="n">
        <f aca="false">IF(V$3&gt;=Inputs!$B$13,0,IF(V$3=(COUNTIF(Curves!$B$2:$B$13,"&lt;"&amp;Inputs!$B$33)+1),V7*Inputs!$B$9,IF(V$3&gt;(COUNTIF(Curves!$B$2:$B$13,"&lt;"&amp;Inputs!$B$33)+1),V6*Inputs!$B$9,0)))</f>
        <v>0</v>
      </c>
      <c r="W11" s="0" t="n">
        <f aca="false">IF(W$3&gt;=Inputs!$B$13,0,IF(W$3=(COUNTIF(Curves!$B$2:$B$13,"&lt;"&amp;Inputs!$B$33)+1),W7*Inputs!$B$9,IF(W$3&gt;(COUNTIF(Curves!$B$2:$B$13,"&lt;"&amp;Inputs!$B$33)+1),W6*Inputs!$B$9,0)))</f>
        <v>0</v>
      </c>
      <c r="X11" s="0" t="n">
        <f aca="false">IF(X$3&gt;=Inputs!$B$13,0,IF(X$3=(COUNTIF(Curves!$B$2:$B$13,"&lt;"&amp;Inputs!$B$33)+1),X7*Inputs!$B$9,IF(X$3&gt;(COUNTIF(Curves!$B$2:$B$13,"&lt;"&amp;Inputs!$B$33)+1),X6*Inputs!$B$9,0)))</f>
        <v>0</v>
      </c>
      <c r="Y11" s="0" t="n">
        <f aca="false">IF(Y$3&gt;=Inputs!$B$13,0,IF(Y$3=(COUNTIF(Curves!$B$2:$B$13,"&lt;"&amp;Inputs!$B$33)+1),Y7*Inputs!$B$9,IF(Y$3&gt;(COUNTIF(Curves!$B$2:$B$13,"&lt;"&amp;Inputs!$B$33)+1),Y6*Inputs!$B$9,0)))</f>
        <v>0</v>
      </c>
      <c r="Z11" s="0" t="n">
        <f aca="false">IF(Z$3&gt;=Inputs!$B$13,0,IF(Z$3=(COUNTIF(Curves!$B$2:$B$13,"&lt;"&amp;Inputs!$B$33)+1),Z7*Inputs!$B$9,IF(Z$3&gt;(COUNTIF(Curves!$B$2:$B$13,"&lt;"&amp;Inputs!$B$33)+1),Z6*Inputs!$B$9,0)))</f>
        <v>0</v>
      </c>
      <c r="AA11" s="0" t="n">
        <f aca="false">IF(AA$3&gt;=Inputs!$B$13,0,IF(AA$3=(COUNTIF(Curves!$B$2:$B$13,"&lt;"&amp;Inputs!$B$33)+1),AA7*Inputs!$B$9,IF(AA$3&gt;(COUNTIF(Curves!$B$2:$B$13,"&lt;"&amp;Inputs!$B$33)+1),AA6*Inputs!$B$9,0)))</f>
        <v>0</v>
      </c>
      <c r="AB11" s="0" t="n">
        <f aca="false">IF(AB$3&gt;=Inputs!$B$13,0,IF(AB$3=(COUNTIF(Curves!$B$2:$B$13,"&lt;"&amp;Inputs!$B$33)+1),AB7*Inputs!$B$9,IF(AB$3&gt;(COUNTIF(Curves!$B$2:$B$13,"&lt;"&amp;Inputs!$B$33)+1),AB6*Inputs!$B$9,0)))</f>
        <v>0</v>
      </c>
      <c r="AC11" s="0" t="n">
        <f aca="false">IF(AC$3&gt;=Inputs!$B$13,0,IF(AC$3=(COUNTIF(Curves!$B$2:$B$13,"&lt;"&amp;Inputs!$B$33)+1),AC7*Inputs!$B$9,IF(AC$3&gt;(COUNTIF(Curves!$B$2:$B$13,"&lt;"&amp;Inputs!$B$33)+1),AC6*Inputs!$B$9,0)))</f>
        <v>0</v>
      </c>
      <c r="AD11" s="0" t="n">
        <f aca="false">IF(AD$3&gt;=Inputs!$B$13,0,IF(AD$3=(COUNTIF(Curves!$B$2:$B$13,"&lt;"&amp;Inputs!$B$33)+1),AD7*Inputs!$B$9,IF(AD$3&gt;(COUNTIF(Curves!$B$2:$B$13,"&lt;"&amp;Inputs!$B$33)+1),AD6*Inputs!$B$9,0)))</f>
        <v>0</v>
      </c>
      <c r="AE11" s="0" t="n">
        <f aca="false">IF(AE$3&gt;=Inputs!$B$13,0,IF(AE$3=(COUNTIF(Curves!$B$2:$B$13,"&lt;"&amp;Inputs!$B$33)+1),AE7*Inputs!$B$9,IF(AE$3&gt;(COUNTIF(Curves!$B$2:$B$13,"&lt;"&amp;Inputs!$B$33)+1),AE6*Inputs!$B$9,0)))</f>
        <v>0</v>
      </c>
      <c r="AF11" s="0" t="n">
        <f aca="false">IF(AF$3&gt;=Inputs!$B$13,0,IF(AF$3=(COUNTIF(Curves!$B$2:$B$13,"&lt;"&amp;Inputs!$B$33)+1),AF7*Inputs!$B$9,IF(AF$3&gt;(COUNTIF(Curves!$B$2:$B$13,"&lt;"&amp;Inputs!$B$33)+1),AF6*Inputs!$B$9,0)))</f>
        <v>0</v>
      </c>
      <c r="AG11" s="0" t="n">
        <f aca="false">IF(AG$3&gt;=Inputs!$B$13,0,IF(AG$3=(COUNTIF(Curves!$B$2:$B$13,"&lt;"&amp;Inputs!$B$33)+1),AG7*Inputs!$B$9,IF(AG$3&gt;(COUNTIF(Curves!$B$2:$B$13,"&lt;"&amp;Inputs!$B$33)+1),AG6*Inputs!$B$9,0)))</f>
        <v>0</v>
      </c>
      <c r="AH11" s="0" t="n">
        <f aca="false">IF(AH$3&gt;=Inputs!$B$13,0,IF(AH$3=(COUNTIF(Curves!$B$2:$B$13,"&lt;"&amp;Inputs!$B$33)+1),AH7*Inputs!$B$9,IF(AH$3&gt;(COUNTIF(Curves!$B$2:$B$13,"&lt;"&amp;Inputs!$B$33)+1),AH6*Inputs!$B$9,0)))</f>
        <v>0</v>
      </c>
    </row>
    <row r="12" customFormat="false" ht="15" hidden="false" customHeight="false" outlineLevel="0" collapsed="false">
      <c r="A12" s="0" t="s">
        <v>44</v>
      </c>
      <c r="B12" s="0" t="n">
        <f aca="false">IF(B$3&gt;=Inputs!$B$13,0,IF(B$3=(COUNTIF(Curves!$B$2:$B$13,"&lt;"&amp;Inputs!$B$34)+1),B7*Inputs!$B$9,IF(B$3&gt;(COUNTIF(Curves!$B$2:$B$13,"&lt;"&amp;Inputs!$B$34)+1),B6*Inputs!$B$9,0)))</f>
        <v>0</v>
      </c>
      <c r="C12" s="0" t="n">
        <f aca="false">IF(C$3&gt;=Inputs!$B$13,0,IF(C$3=(COUNTIF(Curves!$B$2:$B$13,"&lt;"&amp;Inputs!$B$34)+1),C7*Inputs!$B$9,IF(C$3&gt;(COUNTIF(Curves!$B$2:$B$13,"&lt;"&amp;Inputs!$B$34)+1),C6*Inputs!$B$9,0)))</f>
        <v>0</v>
      </c>
      <c r="D12" s="0" t="n">
        <f aca="false">IF(D$3&gt;=Inputs!$B$13,0,IF(D$3=(COUNTIF(Curves!$B$2:$B$13,"&lt;"&amp;Inputs!$B$34)+1),D7*Inputs!$B$9,IF(D$3&gt;(COUNTIF(Curves!$B$2:$B$13,"&lt;"&amp;Inputs!$B$34)+1),D6*Inputs!$B$9,0)))</f>
        <v>0</v>
      </c>
      <c r="E12" s="0" t="n">
        <f aca="false">IF(E$3&gt;=Inputs!$B$13,0,IF(E$3=(COUNTIF(Curves!$B$2:$B$13,"&lt;"&amp;Inputs!$B$34)+1),E7*Inputs!$B$9,IF(E$3&gt;(COUNTIF(Curves!$B$2:$B$13,"&lt;"&amp;Inputs!$B$34)+1),E6*Inputs!$B$9,0)))</f>
        <v>0</v>
      </c>
      <c r="F12" s="0" t="n">
        <f aca="false">IF(F$3&gt;=Inputs!$B$13,0,IF(F$3=(COUNTIF(Curves!$B$2:$B$13,"&lt;"&amp;Inputs!$B$34)+1),F7*Inputs!$B$9,IF(F$3&gt;(COUNTIF(Curves!$B$2:$B$13,"&lt;"&amp;Inputs!$B$34)+1),F6*Inputs!$B$9,0)))</f>
        <v>0</v>
      </c>
      <c r="G12" s="0" t="n">
        <f aca="false">IF(G$3&gt;=Inputs!$B$13,0,IF(G$3=(COUNTIF(Curves!$B$2:$B$13,"&lt;"&amp;Inputs!$B$34)+1),G7*Inputs!$B$9,IF(G$3&gt;(COUNTIF(Curves!$B$2:$B$13,"&lt;"&amp;Inputs!$B$34)+1),G6*Inputs!$B$9,0)))</f>
        <v>0</v>
      </c>
      <c r="H12" s="0" t="n">
        <f aca="false">IF(H$3&gt;=Inputs!$B$13,0,IF(H$3=(COUNTIF(Curves!$B$2:$B$13,"&lt;"&amp;Inputs!$B$34)+1),H7*Inputs!$B$9,IF(H$3&gt;(COUNTIF(Curves!$B$2:$B$13,"&lt;"&amp;Inputs!$B$34)+1),H6*Inputs!$B$9,0)))</f>
        <v>0</v>
      </c>
      <c r="I12" s="0" t="n">
        <f aca="false">IF(I$3&gt;=Inputs!$B$13,0,IF(I$3=(COUNTIF(Curves!$B$2:$B$13,"&lt;"&amp;Inputs!$B$34)+1),I7*Inputs!$B$9,IF(I$3&gt;(COUNTIF(Curves!$B$2:$B$13,"&lt;"&amp;Inputs!$B$34)+1),I6*Inputs!$B$9,0)))</f>
        <v>0</v>
      </c>
      <c r="J12" s="0" t="n">
        <f aca="false">IF(J$3&gt;=Inputs!$B$13,0,IF(J$3=(COUNTIF(Curves!$B$2:$B$13,"&lt;"&amp;Inputs!$B$34)+1),J7*Inputs!$B$9,IF(J$3&gt;(COUNTIF(Curves!$B$2:$B$13,"&lt;"&amp;Inputs!$B$34)+1),J6*Inputs!$B$9,0)))</f>
        <v>0</v>
      </c>
      <c r="K12" s="0" t="n">
        <f aca="false">IF(K$3&gt;=Inputs!$B$13,0,IF(K$3=(COUNTIF(Curves!$B$2:$B$13,"&lt;"&amp;Inputs!$B$34)+1),K7*Inputs!$B$9,IF(K$3&gt;(COUNTIF(Curves!$B$2:$B$13,"&lt;"&amp;Inputs!$B$34)+1),K6*Inputs!$B$9,0)))</f>
        <v>0</v>
      </c>
      <c r="L12" s="0" t="n">
        <f aca="false">IF(L$3&gt;=Inputs!$B$13,0,IF(L$3=(COUNTIF(Curves!$B$2:$B$13,"&lt;"&amp;Inputs!$B$34)+1),L7*Inputs!$B$9,IF(L$3&gt;(COUNTIF(Curves!$B$2:$B$13,"&lt;"&amp;Inputs!$B$34)+1),L6*Inputs!$B$9,0)))</f>
        <v>114855400</v>
      </c>
      <c r="M12" s="0" t="n">
        <f aca="false">IF(M$3&gt;=Inputs!$B$13,0,IF(M$3=(COUNTIF(Curves!$B$2:$B$13,"&lt;"&amp;Inputs!$B$34)+1),M7*Inputs!$B$9,IF(M$3&gt;(COUNTIF(Curves!$B$2:$B$13,"&lt;"&amp;Inputs!$B$34)+1),M6*Inputs!$B$9,0)))</f>
        <v>5535200</v>
      </c>
      <c r="N12" s="0" t="n">
        <f aca="false">IF(N$3&gt;=Inputs!$B$13,0,IF(N$3=(COUNTIF(Curves!$B$2:$B$13,"&lt;"&amp;Inputs!$B$34)+1),N7*Inputs!$B$9,IF(N$3&gt;(COUNTIF(Curves!$B$2:$B$13,"&lt;"&amp;Inputs!$B$34)+1),N6*Inputs!$B$9,0)))</f>
        <v>0</v>
      </c>
      <c r="O12" s="0" t="n">
        <f aca="false">IF(O$3&gt;=Inputs!$B$13,0,IF(O$3=(COUNTIF(Curves!$B$2:$B$13,"&lt;"&amp;Inputs!$B$34)+1),O7*Inputs!$B$9,IF(O$3&gt;(COUNTIF(Curves!$B$2:$B$13,"&lt;"&amp;Inputs!$B$34)+1),O6*Inputs!$B$9,0)))</f>
        <v>0</v>
      </c>
      <c r="P12" s="0" t="n">
        <f aca="false">IF(P$3&gt;=Inputs!$B$13,0,IF(P$3=(COUNTIF(Curves!$B$2:$B$13,"&lt;"&amp;Inputs!$B$34)+1),P7*Inputs!$B$9,IF(P$3&gt;(COUNTIF(Curves!$B$2:$B$13,"&lt;"&amp;Inputs!$B$34)+1),P6*Inputs!$B$9,0)))</f>
        <v>0</v>
      </c>
      <c r="Q12" s="0" t="n">
        <f aca="false">IF(Q$3&gt;=Inputs!$B$13,0,IF(Q$3=(COUNTIF(Curves!$B$2:$B$13,"&lt;"&amp;Inputs!$B$34)+1),Q7*Inputs!$B$9,IF(Q$3&gt;(COUNTIF(Curves!$B$2:$B$13,"&lt;"&amp;Inputs!$B$34)+1),Q6*Inputs!$B$9,0)))</f>
        <v>0</v>
      </c>
      <c r="R12" s="0" t="n">
        <f aca="false">IF(R$3&gt;=Inputs!$B$13,0,IF(R$3=(COUNTIF(Curves!$B$2:$B$13,"&lt;"&amp;Inputs!$B$34)+1),R7*Inputs!$B$9,IF(R$3&gt;(COUNTIF(Curves!$B$2:$B$13,"&lt;"&amp;Inputs!$B$34)+1),R6*Inputs!$B$9,0)))</f>
        <v>0</v>
      </c>
      <c r="S12" s="0" t="n">
        <f aca="false">IF(S$3&gt;=Inputs!$B$13,0,IF(S$3=(COUNTIF(Curves!$B$2:$B$13,"&lt;"&amp;Inputs!$B$34)+1),S7*Inputs!$B$9,IF(S$3&gt;(COUNTIF(Curves!$B$2:$B$13,"&lt;"&amp;Inputs!$B$34)+1),S6*Inputs!$B$9,0)))</f>
        <v>0</v>
      </c>
      <c r="T12" s="0" t="n">
        <f aca="false">IF(T$3&gt;=Inputs!$B$13,0,IF(T$3=(COUNTIF(Curves!$B$2:$B$13,"&lt;"&amp;Inputs!$B$34)+1),T7*Inputs!$B$9,IF(T$3&gt;(COUNTIF(Curves!$B$2:$B$13,"&lt;"&amp;Inputs!$B$34)+1),T6*Inputs!$B$9,0)))</f>
        <v>0</v>
      </c>
      <c r="U12" s="0" t="n">
        <f aca="false">IF(U$3&gt;=Inputs!$B$13,0,IF(U$3=(COUNTIF(Curves!$B$2:$B$13,"&lt;"&amp;Inputs!$B$34)+1),U7*Inputs!$B$9,IF(U$3&gt;(COUNTIF(Curves!$B$2:$B$13,"&lt;"&amp;Inputs!$B$34)+1),U6*Inputs!$B$9,0)))</f>
        <v>0</v>
      </c>
      <c r="V12" s="0" t="n">
        <f aca="false">IF(V$3&gt;=Inputs!$B$13,0,IF(V$3=(COUNTIF(Curves!$B$2:$B$13,"&lt;"&amp;Inputs!$B$34)+1),V7*Inputs!$B$9,IF(V$3&gt;(COUNTIF(Curves!$B$2:$B$13,"&lt;"&amp;Inputs!$B$34)+1),V6*Inputs!$B$9,0)))</f>
        <v>0</v>
      </c>
      <c r="W12" s="0" t="n">
        <f aca="false">IF(W$3&gt;=Inputs!$B$13,0,IF(W$3=(COUNTIF(Curves!$B$2:$B$13,"&lt;"&amp;Inputs!$B$34)+1),W7*Inputs!$B$9,IF(W$3&gt;(COUNTIF(Curves!$B$2:$B$13,"&lt;"&amp;Inputs!$B$34)+1),W6*Inputs!$B$9,0)))</f>
        <v>0</v>
      </c>
      <c r="X12" s="0" t="n">
        <f aca="false">IF(X$3&gt;=Inputs!$B$13,0,IF(X$3=(COUNTIF(Curves!$B$2:$B$13,"&lt;"&amp;Inputs!$B$34)+1),X7*Inputs!$B$9,IF(X$3&gt;(COUNTIF(Curves!$B$2:$B$13,"&lt;"&amp;Inputs!$B$34)+1),X6*Inputs!$B$9,0)))</f>
        <v>0</v>
      </c>
      <c r="Y12" s="0" t="n">
        <f aca="false">IF(Y$3&gt;=Inputs!$B$13,0,IF(Y$3=(COUNTIF(Curves!$B$2:$B$13,"&lt;"&amp;Inputs!$B$34)+1),Y7*Inputs!$B$9,IF(Y$3&gt;(COUNTIF(Curves!$B$2:$B$13,"&lt;"&amp;Inputs!$B$34)+1),Y6*Inputs!$B$9,0)))</f>
        <v>0</v>
      </c>
      <c r="Z12" s="0" t="n">
        <f aca="false">IF(Z$3&gt;=Inputs!$B$13,0,IF(Z$3=(COUNTIF(Curves!$B$2:$B$13,"&lt;"&amp;Inputs!$B$34)+1),Z7*Inputs!$B$9,IF(Z$3&gt;(COUNTIF(Curves!$B$2:$B$13,"&lt;"&amp;Inputs!$B$34)+1),Z6*Inputs!$B$9,0)))</f>
        <v>0</v>
      </c>
      <c r="AA12" s="0" t="n">
        <f aca="false">IF(AA$3&gt;=Inputs!$B$13,0,IF(AA$3=(COUNTIF(Curves!$B$2:$B$13,"&lt;"&amp;Inputs!$B$34)+1),AA7*Inputs!$B$9,IF(AA$3&gt;(COUNTIF(Curves!$B$2:$B$13,"&lt;"&amp;Inputs!$B$34)+1),AA6*Inputs!$B$9,0)))</f>
        <v>0</v>
      </c>
      <c r="AB12" s="0" t="n">
        <f aca="false">IF(AB$3&gt;=Inputs!$B$13,0,IF(AB$3=(COUNTIF(Curves!$B$2:$B$13,"&lt;"&amp;Inputs!$B$34)+1),AB7*Inputs!$B$9,IF(AB$3&gt;(COUNTIF(Curves!$B$2:$B$13,"&lt;"&amp;Inputs!$B$34)+1),AB6*Inputs!$B$9,0)))</f>
        <v>0</v>
      </c>
      <c r="AC12" s="0" t="n">
        <f aca="false">IF(AC$3&gt;=Inputs!$B$13,0,IF(AC$3=(COUNTIF(Curves!$B$2:$B$13,"&lt;"&amp;Inputs!$B$34)+1),AC7*Inputs!$B$9,IF(AC$3&gt;(COUNTIF(Curves!$B$2:$B$13,"&lt;"&amp;Inputs!$B$34)+1),AC6*Inputs!$B$9,0)))</f>
        <v>0</v>
      </c>
      <c r="AD12" s="0" t="n">
        <f aca="false">IF(AD$3&gt;=Inputs!$B$13,0,IF(AD$3=(COUNTIF(Curves!$B$2:$B$13,"&lt;"&amp;Inputs!$B$34)+1),AD7*Inputs!$B$9,IF(AD$3&gt;(COUNTIF(Curves!$B$2:$B$13,"&lt;"&amp;Inputs!$B$34)+1),AD6*Inputs!$B$9,0)))</f>
        <v>0</v>
      </c>
      <c r="AE12" s="0" t="n">
        <f aca="false">IF(AE$3&gt;=Inputs!$B$13,0,IF(AE$3=(COUNTIF(Curves!$B$2:$B$13,"&lt;"&amp;Inputs!$B$34)+1),AE7*Inputs!$B$9,IF(AE$3&gt;(COUNTIF(Curves!$B$2:$B$13,"&lt;"&amp;Inputs!$B$34)+1),AE6*Inputs!$B$9,0)))</f>
        <v>0</v>
      </c>
      <c r="AF12" s="0" t="n">
        <f aca="false">IF(AF$3&gt;=Inputs!$B$13,0,IF(AF$3=(COUNTIF(Curves!$B$2:$B$13,"&lt;"&amp;Inputs!$B$34)+1),AF7*Inputs!$B$9,IF(AF$3&gt;(COUNTIF(Curves!$B$2:$B$13,"&lt;"&amp;Inputs!$B$34)+1),AF6*Inputs!$B$9,0)))</f>
        <v>0</v>
      </c>
      <c r="AG12" s="0" t="n">
        <f aca="false">IF(AG$3&gt;=Inputs!$B$13,0,IF(AG$3=(COUNTIF(Curves!$B$2:$B$13,"&lt;"&amp;Inputs!$B$34)+1),AG7*Inputs!$B$9,IF(AG$3&gt;(COUNTIF(Curves!$B$2:$B$13,"&lt;"&amp;Inputs!$B$34)+1),AG6*Inputs!$B$9,0)))</f>
        <v>0</v>
      </c>
      <c r="AH12" s="0" t="n">
        <f aca="false">IF(AH$3&gt;=Inputs!$B$13,0,IF(AH$3=(COUNTIF(Curves!$B$2:$B$13,"&lt;"&amp;Inputs!$B$34)+1),AH7*Inputs!$B$9,IF(AH$3&gt;(COUNTIF(Curves!$B$2:$B$13,"&lt;"&amp;Inputs!$B$34)+1),AH6*Inputs!$B$9,0)))</f>
        <v>0</v>
      </c>
    </row>
    <row r="13" customFormat="false" ht="15" hidden="false" customHeight="false" outlineLevel="0" collapsed="false">
      <c r="A13" s="0" t="s">
        <v>45</v>
      </c>
      <c r="B13" s="0" t="n">
        <f aca="false">IF(B$3=Inputs!$B$13,B7*Inputs!$B$10+B6*(Inputs!$B$8+4*Inputs!$B$9),IF(B$3&gt;Inputs!$B$13,B6,0))</f>
        <v>0</v>
      </c>
      <c r="C13" s="0" t="n">
        <f aca="false">IF(C$3=Inputs!$B$13,C7*Inputs!$B$10+C6*(Inputs!$B$8+4*Inputs!$B$9),IF(C$3&gt;Inputs!$B$13,C6,0))</f>
        <v>0</v>
      </c>
      <c r="D13" s="0" t="n">
        <f aca="false">IF(D$3=Inputs!$B$13,D7*Inputs!$B$10+D6*(Inputs!$B$8+4*Inputs!$B$9),IF(D$3&gt;Inputs!$B$13,D6,0))</f>
        <v>0</v>
      </c>
      <c r="E13" s="0" t="n">
        <f aca="false">IF(E$3=Inputs!$B$13,E7*Inputs!$B$10+E6*(Inputs!$B$8+4*Inputs!$B$9),IF(E$3&gt;Inputs!$B$13,E6,0))</f>
        <v>0</v>
      </c>
      <c r="F13" s="0" t="n">
        <f aca="false">IF(F$3=Inputs!$B$13,F7*Inputs!$B$10+F6*(Inputs!$B$8+4*Inputs!$B$9),IF(F$3&gt;Inputs!$B$13,F6,0))</f>
        <v>0</v>
      </c>
      <c r="G13" s="0" t="n">
        <f aca="false">IF(G$3=Inputs!$B$13,G7*Inputs!$B$10+G6*(Inputs!$B$8+4*Inputs!$B$9),IF(G$3&gt;Inputs!$B$13,G6,0))</f>
        <v>0</v>
      </c>
      <c r="H13" s="0" t="n">
        <f aca="false">IF(H$3=Inputs!$B$13,H7*Inputs!$B$10+H6*(Inputs!$B$8+4*Inputs!$B$9),IF(H$3&gt;Inputs!$B$13,H6,0))</f>
        <v>0</v>
      </c>
      <c r="I13" s="0" t="n">
        <f aca="false">IF(I$3=Inputs!$B$13,I7*Inputs!$B$10+I6*(Inputs!$B$8+4*Inputs!$B$9),IF(I$3&gt;Inputs!$B$13,I6,0))</f>
        <v>0</v>
      </c>
      <c r="J13" s="0" t="n">
        <f aca="false">IF(J$3=Inputs!$B$13,J7*Inputs!$B$10+J6*(Inputs!$B$8+4*Inputs!$B$9),IF(J$3&gt;Inputs!$B$13,J6,0))</f>
        <v>0</v>
      </c>
      <c r="K13" s="0" t="n">
        <f aca="false">IF(K$3=Inputs!$B$13,K7*Inputs!$B$10+K6*(Inputs!$B$8+4*Inputs!$B$9),IF(K$3&gt;Inputs!$B$13,K6,0))</f>
        <v>0</v>
      </c>
      <c r="L13" s="0" t="n">
        <f aca="false">IF(L$3=Inputs!$B$13,L7*Inputs!$B$10+L6*(Inputs!$B$8+4*Inputs!$B$9),IF(L$3&gt;Inputs!$B$13,L6,0))</f>
        <v>0</v>
      </c>
      <c r="M13" s="0" t="n">
        <f aca="false">IF(M$3=Inputs!$B$13,M7*Inputs!$B$10+M6*(Inputs!$B$8+4*Inputs!$B$9),IF(M$3&gt;Inputs!$B$13,M6,0))</f>
        <v>0</v>
      </c>
      <c r="N13" s="0" t="n">
        <f aca="false">IF(N$3=Inputs!$B$13,N7*Inputs!$B$10+N6*(Inputs!$B$8+4*Inputs!$B$9),IF(N$3&gt;Inputs!$B$13,N6,0))</f>
        <v>657305000</v>
      </c>
      <c r="O13" s="0" t="n">
        <f aca="false">IF(O$3=Inputs!$B$13,O7*Inputs!$B$10+O6*(Inputs!$B$8+4*Inputs!$B$9),IF(O$3&gt;Inputs!$B$13,O6,0))</f>
        <v>41514000</v>
      </c>
      <c r="P13" s="0" t="n">
        <f aca="false">IF(P$3=Inputs!$B$13,P7*Inputs!$B$10+P6*(Inputs!$B$8+4*Inputs!$B$9),IF(P$3&gt;Inputs!$B$13,P6,0))</f>
        <v>27676000</v>
      </c>
      <c r="Q13" s="0" t="n">
        <f aca="false">IF(Q$3=Inputs!$B$13,Q7*Inputs!$B$10+Q6*(Inputs!$B$8+4*Inputs!$B$9),IF(Q$3&gt;Inputs!$B$13,Q6,0))</f>
        <v>27676000</v>
      </c>
      <c r="R13" s="0" t="n">
        <f aca="false">IF(R$3=Inputs!$B$13,R7*Inputs!$B$10+R6*(Inputs!$B$8+4*Inputs!$B$9),IF(R$3&gt;Inputs!$B$13,R6,0))</f>
        <v>27676000</v>
      </c>
      <c r="S13" s="0" t="n">
        <f aca="false">IF(S$3=Inputs!$B$13,S7*Inputs!$B$10+S6*(Inputs!$B$8+4*Inputs!$B$9),IF(S$3&gt;Inputs!$B$13,S6,0))</f>
        <v>0</v>
      </c>
      <c r="T13" s="0" t="n">
        <f aca="false">IF(T$3=Inputs!$B$13,T7*Inputs!$B$10+T6*(Inputs!$B$8+4*Inputs!$B$9),IF(T$3&gt;Inputs!$B$13,T6,0))</f>
        <v>0</v>
      </c>
      <c r="U13" s="0" t="n">
        <f aca="false">IF(U$3=Inputs!$B$13,U7*Inputs!$B$10+U6*(Inputs!$B$8+4*Inputs!$B$9),IF(U$3&gt;Inputs!$B$13,U6,0))</f>
        <v>0</v>
      </c>
      <c r="V13" s="0" t="n">
        <f aca="false">IF(V$3=Inputs!$B$13,V7*Inputs!$B$10+V6*(Inputs!$B$8+4*Inputs!$B$9),IF(V$3&gt;Inputs!$B$13,V6,0))</f>
        <v>0</v>
      </c>
      <c r="W13" s="0" t="n">
        <f aca="false">IF(W$3=Inputs!$B$13,W7*Inputs!$B$10+W6*(Inputs!$B$8+4*Inputs!$B$9),IF(W$3&gt;Inputs!$B$13,W6,0))</f>
        <v>0</v>
      </c>
      <c r="X13" s="0" t="n">
        <f aca="false">IF(X$3=Inputs!$B$13,X7*Inputs!$B$10+X6*(Inputs!$B$8+4*Inputs!$B$9),IF(X$3&gt;Inputs!$B$13,X6,0))</f>
        <v>0</v>
      </c>
      <c r="Y13" s="0" t="n">
        <f aca="false">IF(Y$3=Inputs!$B$13,Y7*Inputs!$B$10+Y6*(Inputs!$B$8+4*Inputs!$B$9),IF(Y$3&gt;Inputs!$B$13,Y6,0))</f>
        <v>0</v>
      </c>
      <c r="Z13" s="0" t="n">
        <f aca="false">IF(Z$3=Inputs!$B$13,Z7*Inputs!$B$10+Z6*(Inputs!$B$8+4*Inputs!$B$9),IF(Z$3&gt;Inputs!$B$13,Z6,0))</f>
        <v>0</v>
      </c>
      <c r="AA13" s="0" t="n">
        <f aca="false">IF(AA$3=Inputs!$B$13,AA7*Inputs!$B$10+AA6*(Inputs!$B$8+4*Inputs!$B$9),IF(AA$3&gt;Inputs!$B$13,AA6,0))</f>
        <v>0</v>
      </c>
      <c r="AB13" s="0" t="n">
        <f aca="false">IF(AB$3=Inputs!$B$13,AB7*Inputs!$B$10+AB6*(Inputs!$B$8+4*Inputs!$B$9),IF(AB$3&gt;Inputs!$B$13,AB6,0))</f>
        <v>0</v>
      </c>
      <c r="AC13" s="0" t="n">
        <f aca="false">IF(AC$3=Inputs!$B$13,AC7*Inputs!$B$10+AC6*(Inputs!$B$8+4*Inputs!$B$9),IF(AC$3&gt;Inputs!$B$13,AC6,0))</f>
        <v>0</v>
      </c>
      <c r="AD13" s="0" t="n">
        <f aca="false">IF(AD$3=Inputs!$B$13,AD7*Inputs!$B$10+AD6*(Inputs!$B$8+4*Inputs!$B$9),IF(AD$3&gt;Inputs!$B$13,AD6,0))</f>
        <v>0</v>
      </c>
      <c r="AE13" s="0" t="n">
        <f aca="false">IF(AE$3=Inputs!$B$13,AE7*Inputs!$B$10+AE6*(Inputs!$B$8+4*Inputs!$B$9),IF(AE$3&gt;Inputs!$B$13,AE6,0))</f>
        <v>0</v>
      </c>
      <c r="AF13" s="0" t="n">
        <f aca="false">IF(AF$3=Inputs!$B$13,AF7*Inputs!$B$10+AF6*(Inputs!$B$8+4*Inputs!$B$9),IF(AF$3&gt;Inputs!$B$13,AF6,0))</f>
        <v>0</v>
      </c>
      <c r="AG13" s="0" t="n">
        <f aca="false">IF(AG$3=Inputs!$B$13,AG7*Inputs!$B$10+AG6*(Inputs!$B$8+4*Inputs!$B$9),IF(AG$3&gt;Inputs!$B$13,AG6,0))</f>
        <v>0</v>
      </c>
      <c r="AH13" s="0" t="n">
        <f aca="false">IF(AH$3=Inputs!$B$13,AH7*Inputs!$B$10+AH6*(Inputs!$B$8+4*Inputs!$B$9),IF(AH$3&gt;Inputs!$B$13,AH6,0))</f>
        <v>0</v>
      </c>
    </row>
    <row r="14" customFormat="false" ht="15" hidden="false" customHeight="false" outlineLevel="0" collapsed="false">
      <c r="A14" s="0" t="s">
        <v>46</v>
      </c>
      <c r="B14" s="0" t="n">
        <f aca="false">SUM(B8:B13)</f>
        <v>0</v>
      </c>
      <c r="C14" s="0" t="n">
        <f aca="false">SUM(C8:C13)</f>
        <v>24908400</v>
      </c>
      <c r="D14" s="0" t="n">
        <f aca="false">SUM(D8:D13)</f>
        <v>16605600</v>
      </c>
      <c r="E14" s="0" t="n">
        <f aca="false">SUM(E8:E13)</f>
        <v>12454200</v>
      </c>
      <c r="F14" s="0" t="n">
        <f aca="false">SUM(F8:F13)</f>
        <v>76109000</v>
      </c>
      <c r="G14" s="0" t="n">
        <f aca="false">SUM(G8:G13)</f>
        <v>19373200</v>
      </c>
      <c r="H14" s="0" t="n">
        <f aca="false">SUM(H8:H13)</f>
        <v>103785000</v>
      </c>
      <c r="I14" s="0" t="n">
        <f aca="false">SUM(I8:I13)</f>
        <v>24908400</v>
      </c>
      <c r="J14" s="0" t="n">
        <f aca="false">SUM(J8:J13)</f>
        <v>125925800</v>
      </c>
      <c r="K14" s="0" t="n">
        <f aca="false">SUM(K8:K13)</f>
        <v>27676000</v>
      </c>
      <c r="L14" s="0" t="n">
        <f aca="false">SUM(L8:L13)</f>
        <v>142531400</v>
      </c>
      <c r="M14" s="0" t="n">
        <f aca="false">SUM(M8:M13)</f>
        <v>27676000</v>
      </c>
      <c r="N14" s="0" t="n">
        <f aca="false">SUM(N8:N13)</f>
        <v>657305000</v>
      </c>
      <c r="O14" s="0" t="n">
        <f aca="false">SUM(O8:O13)</f>
        <v>41514000</v>
      </c>
      <c r="P14" s="0" t="n">
        <f aca="false">SUM(P8:P13)</f>
        <v>27676000</v>
      </c>
      <c r="Q14" s="0" t="n">
        <f aca="false">SUM(Q8:Q13)</f>
        <v>27676000</v>
      </c>
      <c r="R14" s="0" t="n">
        <f aca="false">SUM(R8:R13)</f>
        <v>27676000</v>
      </c>
      <c r="S14" s="0" t="n">
        <f aca="false">SUM(S8:S13)</f>
        <v>0</v>
      </c>
      <c r="T14" s="0" t="n">
        <f aca="false">SUM(T8:T13)</f>
        <v>0</v>
      </c>
      <c r="U14" s="0" t="n">
        <f aca="false">SUM(U8:U13)</f>
        <v>0</v>
      </c>
      <c r="V14" s="0" t="n">
        <f aca="false">SUM(V8:V13)</f>
        <v>0</v>
      </c>
      <c r="W14" s="0" t="n">
        <f aca="false">SUM(W8:W13)</f>
        <v>0</v>
      </c>
      <c r="X14" s="0" t="n">
        <f aca="false">SUM(X8:X13)</f>
        <v>0</v>
      </c>
      <c r="Y14" s="0" t="n">
        <f aca="false">SUM(Y8:Y13)</f>
        <v>0</v>
      </c>
      <c r="Z14" s="0" t="n">
        <f aca="false">SUM(Z8:Z13)</f>
        <v>0</v>
      </c>
      <c r="AA14" s="0" t="n">
        <f aca="false">SUM(AA8:AA13)</f>
        <v>0</v>
      </c>
      <c r="AB14" s="0" t="n">
        <f aca="false">SUM(AB8:AB13)</f>
        <v>0</v>
      </c>
      <c r="AC14" s="0" t="n">
        <f aca="false">SUM(AC8:AC13)</f>
        <v>0</v>
      </c>
      <c r="AD14" s="0" t="n">
        <f aca="false">SUM(AD8:AD13)</f>
        <v>0</v>
      </c>
      <c r="AE14" s="0" t="n">
        <f aca="false">SUM(AE8:AE13)</f>
        <v>0</v>
      </c>
      <c r="AF14" s="0" t="n">
        <f aca="false">SUM(AF8:AF13)</f>
        <v>0</v>
      </c>
      <c r="AG14" s="0" t="n">
        <f aca="false">SUM(AG8:AG13)</f>
        <v>0</v>
      </c>
      <c r="AH14" s="0" t="n">
        <f aca="false">SUM(AH8:AH13)</f>
        <v>0</v>
      </c>
    </row>
    <row r="15" customFormat="false" ht="15" hidden="false" customHeight="false" outlineLevel="0" collapsed="false">
      <c r="A15" s="0" t="s">
        <v>47</v>
      </c>
      <c r="B15" s="0" t="n">
        <f aca="false">IF(B$3&gt;=Inputs!$B$13,B14+0,MIN(0+B14,B18))</f>
        <v>0</v>
      </c>
      <c r="C15" s="0" t="n">
        <f aca="false">IF(C$3&gt;=Inputs!$B$13,C14+B16,MIN(B16+C14,C18))</f>
        <v>14041500</v>
      </c>
      <c r="D15" s="0" t="n">
        <f aca="false">IF(D$3&gt;=Inputs!$B$13,D14+C16,MIN(C16+D14,D18))</f>
        <v>23402500</v>
      </c>
      <c r="E15" s="0" t="n">
        <f aca="false">IF(E$3&gt;=Inputs!$B$13,E14+D16,MIN(D16+E14,E18))</f>
        <v>16524200</v>
      </c>
      <c r="F15" s="0" t="n">
        <f aca="false">IF(F$3&gt;=Inputs!$B$13,F14+E16,MIN(E16+F14,F18))</f>
        <v>42124500</v>
      </c>
      <c r="G15" s="0" t="n">
        <f aca="false">IF(G$3&gt;=Inputs!$B$13,G14+F16,MIN(F16+G14,G18))</f>
        <v>46805000</v>
      </c>
      <c r="H15" s="0" t="n">
        <f aca="false">IF(H$3&gt;=Inputs!$B$13,H14+G16,MIN(G16+H14,H18))</f>
        <v>51485500</v>
      </c>
      <c r="I15" s="0" t="n">
        <f aca="false">IF(I$3&gt;=Inputs!$B$13,I14+H16,MIN(H16+I14,I18))</f>
        <v>51485500</v>
      </c>
      <c r="J15" s="0" t="n">
        <f aca="false">IF(J$3&gt;=Inputs!$B$13,J14+I16,MIN(I16+J14,J18))</f>
        <v>51485500</v>
      </c>
      <c r="K15" s="0" t="n">
        <f aca="false">IF(K$3&gt;=Inputs!$B$13,K14+J16,MIN(J16+K14,K18))</f>
        <v>46805000</v>
      </c>
      <c r="L15" s="0" t="n">
        <f aca="false">IF(L$3&gt;=Inputs!$B$13,L14+K16,MIN(K16+L14,L18))</f>
        <v>42124500</v>
      </c>
      <c r="M15" s="0" t="n">
        <f aca="false">IF(M$3&gt;=Inputs!$B$13,M14+L16,MIN(L16+M14,M18))</f>
        <v>37444000</v>
      </c>
      <c r="N15" s="0" t="n">
        <f aca="false">IF(N$3&gt;=Inputs!$B$13,N14+M16,MIN(M16+N14,N18))</f>
        <v>835530300</v>
      </c>
      <c r="O15" s="0" t="n">
        <f aca="false">IF(O$3&gt;=Inputs!$B$13,O14+N16,MIN(N16+O14,O18))</f>
        <v>41514000</v>
      </c>
      <c r="P15" s="0" t="n">
        <f aca="false">IF(P$3&gt;=Inputs!$B$13,P14+O16,MIN(O16+P14,P18))</f>
        <v>27676000</v>
      </c>
      <c r="Q15" s="0" t="n">
        <f aca="false">IF(Q$3&gt;=Inputs!$B$13,Q14+P16,MIN(P16+Q14,Q18))</f>
        <v>27676000</v>
      </c>
      <c r="R15" s="0" t="n">
        <f aca="false">IF(R$3&gt;=Inputs!$B$13,R14+Q16,MIN(Q16+R14,R18))</f>
        <v>27676000</v>
      </c>
      <c r="S15" s="0" t="n">
        <f aca="false">IF(S$3&gt;=Inputs!$B$13,S14+R16,MIN(R16+S14,S18))</f>
        <v>0</v>
      </c>
      <c r="T15" s="0" t="n">
        <f aca="false">IF(T$3&gt;=Inputs!$B$13,T14+S16,MIN(S16+T14,T18))</f>
        <v>0</v>
      </c>
      <c r="U15" s="0" t="n">
        <f aca="false">IF(U$3&gt;=Inputs!$B$13,U14+T16,MIN(T16+U14,U18))</f>
        <v>0</v>
      </c>
      <c r="V15" s="0" t="n">
        <f aca="false">IF(V$3&gt;=Inputs!$B$13,V14+U16,MIN(U16+V14,V18))</f>
        <v>0</v>
      </c>
      <c r="W15" s="0" t="n">
        <f aca="false">IF(W$3&gt;=Inputs!$B$13,W14+V16,MIN(V16+W14,W18))</f>
        <v>0</v>
      </c>
      <c r="X15" s="0" t="n">
        <f aca="false">IF(X$3&gt;=Inputs!$B$13,X14+W16,MIN(W16+X14,X18))</f>
        <v>0</v>
      </c>
      <c r="Y15" s="0" t="n">
        <f aca="false">IF(Y$3&gt;=Inputs!$B$13,Y14+X16,MIN(X16+Y14,Y18))</f>
        <v>0</v>
      </c>
      <c r="Z15" s="0" t="n">
        <f aca="false">IF(Z$3&gt;=Inputs!$B$13,Z14+Y16,MIN(Y16+Z14,Z18))</f>
        <v>0</v>
      </c>
      <c r="AA15" s="0" t="n">
        <f aca="false">IF(AA$3&gt;=Inputs!$B$13,AA14+Z16,MIN(Z16+AA14,AA18))</f>
        <v>0</v>
      </c>
      <c r="AB15" s="0" t="n">
        <f aca="false">IF(AB$3&gt;=Inputs!$B$13,AB14+AA16,MIN(AA16+AB14,AB18))</f>
        <v>0</v>
      </c>
      <c r="AC15" s="0" t="n">
        <f aca="false">IF(AC$3&gt;=Inputs!$B$13,AC14+AB16,MIN(AB16+AC14,AC18))</f>
        <v>0</v>
      </c>
      <c r="AD15" s="0" t="n">
        <f aca="false">IF(AD$3&gt;=Inputs!$B$13,AD14+AC16,MIN(AC16+AD14,AD18))</f>
        <v>0</v>
      </c>
      <c r="AE15" s="0" t="n">
        <f aca="false">IF(AE$3&gt;=Inputs!$B$13,AE14+AD16,MIN(AD16+AE14,AE18))</f>
        <v>0</v>
      </c>
      <c r="AF15" s="0" t="n">
        <f aca="false">IF(AF$3&gt;=Inputs!$B$13,AF14+AE16,MIN(AE16+AF14,AF18))</f>
        <v>0</v>
      </c>
      <c r="AG15" s="0" t="n">
        <f aca="false">IF(AG$3&gt;=Inputs!$B$13,AG14+AF16,MIN(AF16+AG14,AG18))</f>
        <v>0</v>
      </c>
      <c r="AH15" s="0" t="n">
        <f aca="false">IF(AH$3&gt;=Inputs!$B$13,AH14+AG16,MIN(AG16+AH14,AH18))</f>
        <v>0</v>
      </c>
    </row>
    <row r="16" customFormat="false" ht="15" hidden="false" customHeight="false" outlineLevel="0" collapsed="false">
      <c r="A16" s="0" t="s">
        <v>48</v>
      </c>
      <c r="B16" s="0" t="n">
        <f aca="false">0+B14-B15</f>
        <v>0</v>
      </c>
      <c r="C16" s="0" t="n">
        <f aca="false">B16+C14-C15</f>
        <v>10866900</v>
      </c>
      <c r="D16" s="0" t="n">
        <f aca="false">C16+D14-D15</f>
        <v>4070000</v>
      </c>
      <c r="E16" s="0" t="n">
        <f aca="false">D16+E14-E15</f>
        <v>0</v>
      </c>
      <c r="F16" s="0" t="n">
        <f aca="false">E16+F14-F15</f>
        <v>33984500</v>
      </c>
      <c r="G16" s="0" t="n">
        <f aca="false">F16+G14-G15</f>
        <v>6552699.99999999</v>
      </c>
      <c r="H16" s="0" t="n">
        <f aca="false">G16+H14-H15</f>
        <v>58852200</v>
      </c>
      <c r="I16" s="0" t="n">
        <f aca="false">H16+I14-I15</f>
        <v>32275100</v>
      </c>
      <c r="J16" s="0" t="n">
        <f aca="false">I16+J14-J15</f>
        <v>106715400</v>
      </c>
      <c r="K16" s="0" t="n">
        <f aca="false">J16+K14-K15</f>
        <v>87586400</v>
      </c>
      <c r="L16" s="0" t="n">
        <f aca="false">K16+L14-L15</f>
        <v>187993300</v>
      </c>
      <c r="M16" s="0" t="n">
        <f aca="false">L16+M14-M15</f>
        <v>178225300</v>
      </c>
      <c r="N16" s="0" t="n">
        <f aca="false">M16+N14-N15</f>
        <v>0</v>
      </c>
      <c r="O16" s="0" t="n">
        <f aca="false">N16+O14-O15</f>
        <v>0</v>
      </c>
      <c r="P16" s="0" t="n">
        <f aca="false">O16+P14-P15</f>
        <v>0</v>
      </c>
      <c r="Q16" s="0" t="n">
        <f aca="false">P16+Q14-Q15</f>
        <v>0</v>
      </c>
      <c r="R16" s="0" t="n">
        <f aca="false">Q16+R14-R15</f>
        <v>0</v>
      </c>
      <c r="S16" s="0" t="n">
        <f aca="false">R16+S14-S15</f>
        <v>0</v>
      </c>
      <c r="T16" s="0" t="n">
        <f aca="false">S16+T14-T15</f>
        <v>0</v>
      </c>
      <c r="U16" s="0" t="n">
        <f aca="false">T16+U14-U15</f>
        <v>0</v>
      </c>
      <c r="V16" s="0" t="n">
        <f aca="false">U16+V14-V15</f>
        <v>0</v>
      </c>
      <c r="W16" s="0" t="n">
        <f aca="false">V16+W14-W15</f>
        <v>0</v>
      </c>
      <c r="X16" s="0" t="n">
        <f aca="false">W16+X14-X15</f>
        <v>0</v>
      </c>
      <c r="Y16" s="0" t="n">
        <f aca="false">X16+Y14-Y15</f>
        <v>0</v>
      </c>
      <c r="Z16" s="0" t="n">
        <f aca="false">Y16+Z14-Z15</f>
        <v>0</v>
      </c>
      <c r="AA16" s="0" t="n">
        <f aca="false">Z16+AA14-AA15</f>
        <v>0</v>
      </c>
      <c r="AB16" s="0" t="n">
        <f aca="false">AA16+AB14-AB15</f>
        <v>0</v>
      </c>
      <c r="AC16" s="0" t="n">
        <f aca="false">AB16+AC14-AC15</f>
        <v>0</v>
      </c>
      <c r="AD16" s="0" t="n">
        <f aca="false">AC16+AD14-AD15</f>
        <v>0</v>
      </c>
      <c r="AE16" s="0" t="n">
        <f aca="false">AD16+AE14-AE15</f>
        <v>0</v>
      </c>
      <c r="AF16" s="0" t="n">
        <f aca="false">AE16+AF14-AF15</f>
        <v>0</v>
      </c>
      <c r="AG16" s="0" t="n">
        <f aca="false">AF16+AG14-AG15</f>
        <v>0</v>
      </c>
      <c r="AH16" s="0" t="n">
        <f aca="false">AG16+AH14-AH15</f>
        <v>0</v>
      </c>
    </row>
    <row r="17" customFormat="false" ht="15" hidden="false" customHeight="false" outlineLevel="0" collapsed="false">
      <c r="A17" s="0" t="s">
        <v>49</v>
      </c>
      <c r="B17" s="0" t="n">
        <f aca="false">B14*Inputs!$B$7</f>
        <v>0</v>
      </c>
      <c r="C17" s="0" t="n">
        <f aca="false">C14*Inputs!$B$7</f>
        <v>1245420</v>
      </c>
      <c r="D17" s="0" t="n">
        <f aca="false">D14*Inputs!$B$7</f>
        <v>830280</v>
      </c>
      <c r="E17" s="0" t="n">
        <f aca="false">E14*Inputs!$B$7</f>
        <v>622710</v>
      </c>
      <c r="F17" s="0" t="n">
        <f aca="false">F14*Inputs!$B$7</f>
        <v>3805450</v>
      </c>
      <c r="G17" s="0" t="n">
        <f aca="false">G14*Inputs!$B$7</f>
        <v>968660</v>
      </c>
      <c r="H17" s="0" t="n">
        <f aca="false">H14*Inputs!$B$7</f>
        <v>5189250</v>
      </c>
      <c r="I17" s="0" t="n">
        <f aca="false">I14*Inputs!$B$7</f>
        <v>1245420</v>
      </c>
      <c r="J17" s="0" t="n">
        <f aca="false">J14*Inputs!$B$7</f>
        <v>6296290</v>
      </c>
      <c r="K17" s="0" t="n">
        <f aca="false">K14*Inputs!$B$7</f>
        <v>1383800</v>
      </c>
      <c r="L17" s="0" t="n">
        <f aca="false">L14*Inputs!$B$7</f>
        <v>7126570</v>
      </c>
      <c r="M17" s="0" t="n">
        <f aca="false">M14*Inputs!$B$7</f>
        <v>1383800</v>
      </c>
      <c r="N17" s="0" t="n">
        <f aca="false">N14*Inputs!$B$7</f>
        <v>32865250</v>
      </c>
      <c r="O17" s="0" t="n">
        <f aca="false">O14*Inputs!$B$7</f>
        <v>2075700</v>
      </c>
      <c r="P17" s="0" t="n">
        <f aca="false">P14*Inputs!$B$7</f>
        <v>1383800</v>
      </c>
      <c r="Q17" s="0" t="n">
        <f aca="false">Q14*Inputs!$B$7</f>
        <v>1383800</v>
      </c>
      <c r="R17" s="0" t="n">
        <f aca="false">R14*Inputs!$B$7</f>
        <v>1383800</v>
      </c>
      <c r="S17" s="0" t="n">
        <f aca="false">S14*Inputs!$B$7</f>
        <v>0</v>
      </c>
      <c r="T17" s="0" t="n">
        <f aca="false">T14*Inputs!$B$7</f>
        <v>0</v>
      </c>
      <c r="U17" s="0" t="n">
        <f aca="false">U14*Inputs!$B$7</f>
        <v>0</v>
      </c>
      <c r="V17" s="0" t="n">
        <f aca="false">V14*Inputs!$B$7</f>
        <v>0</v>
      </c>
      <c r="W17" s="0" t="n">
        <f aca="false">W14*Inputs!$B$7</f>
        <v>0</v>
      </c>
      <c r="X17" s="0" t="n">
        <f aca="false">X14*Inputs!$B$7</f>
        <v>0</v>
      </c>
      <c r="Y17" s="0" t="n">
        <f aca="false">Y14*Inputs!$B$7</f>
        <v>0</v>
      </c>
      <c r="Z17" s="0" t="n">
        <f aca="false">Z14*Inputs!$B$7</f>
        <v>0</v>
      </c>
      <c r="AA17" s="0" t="n">
        <f aca="false">AA14*Inputs!$B$7</f>
        <v>0</v>
      </c>
      <c r="AB17" s="0" t="n">
        <f aca="false">AB14*Inputs!$B$7</f>
        <v>0</v>
      </c>
      <c r="AC17" s="0" t="n">
        <f aca="false">AC14*Inputs!$B$7</f>
        <v>0</v>
      </c>
      <c r="AD17" s="0" t="n">
        <f aca="false">AD14*Inputs!$B$7</f>
        <v>0</v>
      </c>
      <c r="AE17" s="0" t="n">
        <f aca="false">AE14*Inputs!$B$7</f>
        <v>0</v>
      </c>
      <c r="AF17" s="0" t="n">
        <f aca="false">AF14*Inputs!$B$7</f>
        <v>0</v>
      </c>
      <c r="AG17" s="0" t="n">
        <f aca="false">AG14*Inputs!$B$7</f>
        <v>0</v>
      </c>
      <c r="AH17" s="0" t="n">
        <f aca="false">AH14*Inputs!$B$7</f>
        <v>0</v>
      </c>
    </row>
    <row r="18" customFormat="false" ht="15" hidden="false" customHeight="false" outlineLevel="0" collapsed="false">
      <c r="A18" s="0" t="s">
        <v>50</v>
      </c>
      <c r="B18" s="0" t="n">
        <f aca="false">IF(AND(B$3&gt;=1,B$3&lt;=Inputs!$B$13),Inputs!$B$4*Inputs!$B$5*Inputs!$B$11*(INDEX(Curves!$B$2:$B$13,MAX(1,MIN(12,B$3)))-IF(B$3&gt;1,INDEX(Curves!$B$2:$B$13,MAX(1,MIN(12,B$3-1))),0)),0)</f>
        <v>0</v>
      </c>
      <c r="C18" s="0" t="n">
        <f aca="false">IF(AND(C$3&gt;=1,C$3&lt;=Inputs!$B$13),Inputs!$B$4*Inputs!$B$5*Inputs!$B$11*(INDEX(Curves!$B$2:$B$13,MAX(1,MIN(12,C$3)))-IF(C$3&gt;1,INDEX(Curves!$B$2:$B$13,MAX(1,MIN(12,C$3-1))),0)),0)</f>
        <v>14041500</v>
      </c>
      <c r="D18" s="0" t="n">
        <f aca="false">IF(AND(D$3&gt;=1,D$3&lt;=Inputs!$B$13),Inputs!$B$4*Inputs!$B$5*Inputs!$B$11*(INDEX(Curves!$B$2:$B$13,MAX(1,MIN(12,D$3)))-IF(D$3&gt;1,INDEX(Curves!$B$2:$B$13,MAX(1,MIN(12,D$3-1))),0)),0)</f>
        <v>23402500</v>
      </c>
      <c r="E18" s="0" t="n">
        <f aca="false">IF(AND(E$3&gt;=1,E$3&lt;=Inputs!$B$13),Inputs!$B$4*Inputs!$B$5*Inputs!$B$11*(INDEX(Curves!$B$2:$B$13,MAX(1,MIN(12,E$3)))-IF(E$3&gt;1,INDEX(Curves!$B$2:$B$13,MAX(1,MIN(12,E$3-1))),0)),0)</f>
        <v>32763500</v>
      </c>
      <c r="F18" s="0" t="n">
        <f aca="false">IF(AND(F$3&gt;=1,F$3&lt;=Inputs!$B$13),Inputs!$B$4*Inputs!$B$5*Inputs!$B$11*(INDEX(Curves!$B$2:$B$13,MAX(1,MIN(12,F$3)))-IF(F$3&gt;1,INDEX(Curves!$B$2:$B$13,MAX(1,MIN(12,F$3-1))),0)),0)</f>
        <v>42124500</v>
      </c>
      <c r="G18" s="0" t="n">
        <f aca="false">IF(AND(G$3&gt;=1,G$3&lt;=Inputs!$B$13),Inputs!$B$4*Inputs!$B$5*Inputs!$B$11*(INDEX(Curves!$B$2:$B$13,MAX(1,MIN(12,G$3)))-IF(G$3&gt;1,INDEX(Curves!$B$2:$B$13,MAX(1,MIN(12,G$3-1))),0)),0)</f>
        <v>46805000</v>
      </c>
      <c r="H18" s="0" t="n">
        <f aca="false">IF(AND(H$3&gt;=1,H$3&lt;=Inputs!$B$13),Inputs!$B$4*Inputs!$B$5*Inputs!$B$11*(INDEX(Curves!$B$2:$B$13,MAX(1,MIN(12,H$3)))-IF(H$3&gt;1,INDEX(Curves!$B$2:$B$13,MAX(1,MIN(12,H$3-1))),0)),0)</f>
        <v>51485500</v>
      </c>
      <c r="I18" s="0" t="n">
        <f aca="false">IF(AND(I$3&gt;=1,I$3&lt;=Inputs!$B$13),Inputs!$B$4*Inputs!$B$5*Inputs!$B$11*(INDEX(Curves!$B$2:$B$13,MAX(1,MIN(12,I$3)))-IF(I$3&gt;1,INDEX(Curves!$B$2:$B$13,MAX(1,MIN(12,I$3-1))),0)),0)</f>
        <v>51485500</v>
      </c>
      <c r="J18" s="0" t="n">
        <f aca="false">IF(AND(J$3&gt;=1,J$3&lt;=Inputs!$B$13),Inputs!$B$4*Inputs!$B$5*Inputs!$B$11*(INDEX(Curves!$B$2:$B$13,MAX(1,MIN(12,J$3)))-IF(J$3&gt;1,INDEX(Curves!$B$2:$B$13,MAX(1,MIN(12,J$3-1))),0)),0)</f>
        <v>51485500</v>
      </c>
      <c r="K18" s="0" t="n">
        <f aca="false">IF(AND(K$3&gt;=1,K$3&lt;=Inputs!$B$13),Inputs!$B$4*Inputs!$B$5*Inputs!$B$11*(INDEX(Curves!$B$2:$B$13,MAX(1,MIN(12,K$3)))-IF(K$3&gt;1,INDEX(Curves!$B$2:$B$13,MAX(1,MIN(12,K$3-1))),0)),0)</f>
        <v>46805000</v>
      </c>
      <c r="L18" s="0" t="n">
        <f aca="false">IF(AND(L$3&gt;=1,L$3&lt;=Inputs!$B$13),Inputs!$B$4*Inputs!$B$5*Inputs!$B$11*(INDEX(Curves!$B$2:$B$13,MAX(1,MIN(12,L$3)))-IF(L$3&gt;1,INDEX(Curves!$B$2:$B$13,MAX(1,MIN(12,L$3-1))),0)),0)</f>
        <v>42124500</v>
      </c>
      <c r="M18" s="0" t="n">
        <f aca="false">IF(AND(M$3&gt;=1,M$3&lt;=Inputs!$B$13),Inputs!$B$4*Inputs!$B$5*Inputs!$B$11*(INDEX(Curves!$B$2:$B$13,MAX(1,MIN(12,M$3)))-IF(M$3&gt;1,INDEX(Curves!$B$2:$B$13,MAX(1,MIN(12,M$3-1))),0)),0)</f>
        <v>37444000</v>
      </c>
      <c r="N18" s="0" t="n">
        <f aca="false">IF(AND(N$3&gt;=1,N$3&lt;=Inputs!$B$13),Inputs!$B$4*Inputs!$B$5*Inputs!$B$11*(INDEX(Curves!$B$2:$B$13,MAX(1,MIN(12,N$3)))-IF(N$3&gt;1,INDEX(Curves!$B$2:$B$13,MAX(1,MIN(12,N$3-1))),0)),0)</f>
        <v>28083000</v>
      </c>
      <c r="O18" s="0" t="n">
        <f aca="false">IF(AND(O$3&gt;=1,O$3&lt;=Inputs!$B$13),Inputs!$B$4*Inputs!$B$5*Inputs!$B$11*(INDEX(Curves!$B$2:$B$13,MAX(1,MIN(12,O$3)))-IF(O$3&gt;1,INDEX(Curves!$B$2:$B$13,MAX(1,MIN(12,O$3-1))),0)),0)</f>
        <v>0</v>
      </c>
      <c r="P18" s="0" t="n">
        <f aca="false">IF(AND(P$3&gt;=1,P$3&lt;=Inputs!$B$13),Inputs!$B$4*Inputs!$B$5*Inputs!$B$11*(INDEX(Curves!$B$2:$B$13,MAX(1,MIN(12,P$3)))-IF(P$3&gt;1,INDEX(Curves!$B$2:$B$13,MAX(1,MIN(12,P$3-1))),0)),0)</f>
        <v>0</v>
      </c>
      <c r="Q18" s="0" t="n">
        <f aca="false">IF(AND(Q$3&gt;=1,Q$3&lt;=Inputs!$B$13),Inputs!$B$4*Inputs!$B$5*Inputs!$B$11*(INDEX(Curves!$B$2:$B$13,MAX(1,MIN(12,Q$3)))-IF(Q$3&gt;1,INDEX(Curves!$B$2:$B$13,MAX(1,MIN(12,Q$3-1))),0)),0)</f>
        <v>0</v>
      </c>
      <c r="R18" s="0" t="n">
        <f aca="false">IF(AND(R$3&gt;=1,R$3&lt;=Inputs!$B$13),Inputs!$B$4*Inputs!$B$5*Inputs!$B$11*(INDEX(Curves!$B$2:$B$13,MAX(1,MIN(12,R$3)))-IF(R$3&gt;1,INDEX(Curves!$B$2:$B$13,MAX(1,MIN(12,R$3-1))),0)),0)</f>
        <v>0</v>
      </c>
      <c r="S18" s="0" t="n">
        <f aca="false">IF(AND(S$3&gt;=1,S$3&lt;=Inputs!$B$13),Inputs!$B$4*Inputs!$B$5*Inputs!$B$11*(INDEX(Curves!$B$2:$B$13,MAX(1,MIN(12,S$3)))-IF(S$3&gt;1,INDEX(Curves!$B$2:$B$13,MAX(1,MIN(12,S$3-1))),0)),0)</f>
        <v>0</v>
      </c>
      <c r="T18" s="0" t="n">
        <f aca="false">IF(AND(T$3&gt;=1,T$3&lt;=Inputs!$B$13),Inputs!$B$4*Inputs!$B$5*Inputs!$B$11*(INDEX(Curves!$B$2:$B$13,MAX(1,MIN(12,T$3)))-IF(T$3&gt;1,INDEX(Curves!$B$2:$B$13,MAX(1,MIN(12,T$3-1))),0)),0)</f>
        <v>0</v>
      </c>
      <c r="U18" s="0" t="n">
        <f aca="false">IF(AND(U$3&gt;=1,U$3&lt;=Inputs!$B$13),Inputs!$B$4*Inputs!$B$5*Inputs!$B$11*(INDEX(Curves!$B$2:$B$13,MAX(1,MIN(12,U$3)))-IF(U$3&gt;1,INDEX(Curves!$B$2:$B$13,MAX(1,MIN(12,U$3-1))),0)),0)</f>
        <v>0</v>
      </c>
      <c r="V18" s="0" t="n">
        <f aca="false">IF(AND(V$3&gt;=1,V$3&lt;=Inputs!$B$13),Inputs!$B$4*Inputs!$B$5*Inputs!$B$11*(INDEX(Curves!$B$2:$B$13,MAX(1,MIN(12,V$3)))-IF(V$3&gt;1,INDEX(Curves!$B$2:$B$13,MAX(1,MIN(12,V$3-1))),0)),0)</f>
        <v>0</v>
      </c>
      <c r="W18" s="0" t="n">
        <f aca="false">IF(AND(W$3&gt;=1,W$3&lt;=Inputs!$B$13),Inputs!$B$4*Inputs!$B$5*Inputs!$B$11*(INDEX(Curves!$B$2:$B$13,MAX(1,MIN(12,W$3)))-IF(W$3&gt;1,INDEX(Curves!$B$2:$B$13,MAX(1,MIN(12,W$3-1))),0)),0)</f>
        <v>0</v>
      </c>
      <c r="X18" s="0" t="n">
        <f aca="false">IF(AND(X$3&gt;=1,X$3&lt;=Inputs!$B$13),Inputs!$B$4*Inputs!$B$5*Inputs!$B$11*(INDEX(Curves!$B$2:$B$13,MAX(1,MIN(12,X$3)))-IF(X$3&gt;1,INDEX(Curves!$B$2:$B$13,MAX(1,MIN(12,X$3-1))),0)),0)</f>
        <v>0</v>
      </c>
      <c r="Y18" s="0" t="n">
        <f aca="false">IF(AND(Y$3&gt;=1,Y$3&lt;=Inputs!$B$13),Inputs!$B$4*Inputs!$B$5*Inputs!$B$11*(INDEX(Curves!$B$2:$B$13,MAX(1,MIN(12,Y$3)))-IF(Y$3&gt;1,INDEX(Curves!$B$2:$B$13,MAX(1,MIN(12,Y$3-1))),0)),0)</f>
        <v>0</v>
      </c>
      <c r="Z18" s="0" t="n">
        <f aca="false">IF(AND(Z$3&gt;=1,Z$3&lt;=Inputs!$B$13),Inputs!$B$4*Inputs!$B$5*Inputs!$B$11*(INDEX(Curves!$B$2:$B$13,MAX(1,MIN(12,Z$3)))-IF(Z$3&gt;1,INDEX(Curves!$B$2:$B$13,MAX(1,MIN(12,Z$3-1))),0)),0)</f>
        <v>0</v>
      </c>
      <c r="AA18" s="0" t="n">
        <f aca="false">IF(AND(AA$3&gt;=1,AA$3&lt;=Inputs!$B$13),Inputs!$B$4*Inputs!$B$5*Inputs!$B$11*(INDEX(Curves!$B$2:$B$13,MAX(1,MIN(12,AA$3)))-IF(AA$3&gt;1,INDEX(Curves!$B$2:$B$13,MAX(1,MIN(12,AA$3-1))),0)),0)</f>
        <v>0</v>
      </c>
      <c r="AB18" s="0" t="n">
        <f aca="false">IF(AND(AB$3&gt;=1,AB$3&lt;=Inputs!$B$13),Inputs!$B$4*Inputs!$B$5*Inputs!$B$11*(INDEX(Curves!$B$2:$B$13,MAX(1,MIN(12,AB$3)))-IF(AB$3&gt;1,INDEX(Curves!$B$2:$B$13,MAX(1,MIN(12,AB$3-1))),0)),0)</f>
        <v>0</v>
      </c>
      <c r="AC18" s="0" t="n">
        <f aca="false">IF(AND(AC$3&gt;=1,AC$3&lt;=Inputs!$B$13),Inputs!$B$4*Inputs!$B$5*Inputs!$B$11*(INDEX(Curves!$B$2:$B$13,MAX(1,MIN(12,AC$3)))-IF(AC$3&gt;1,INDEX(Curves!$B$2:$B$13,MAX(1,MIN(12,AC$3-1))),0)),0)</f>
        <v>0</v>
      </c>
      <c r="AD18" s="0" t="n">
        <f aca="false">IF(AND(AD$3&gt;=1,AD$3&lt;=Inputs!$B$13),Inputs!$B$4*Inputs!$B$5*Inputs!$B$11*(INDEX(Curves!$B$2:$B$13,MAX(1,MIN(12,AD$3)))-IF(AD$3&gt;1,INDEX(Curves!$B$2:$B$13,MAX(1,MIN(12,AD$3-1))),0)),0)</f>
        <v>0</v>
      </c>
      <c r="AE18" s="0" t="n">
        <f aca="false">IF(AND(AE$3&gt;=1,AE$3&lt;=Inputs!$B$13),Inputs!$B$4*Inputs!$B$5*Inputs!$B$11*(INDEX(Curves!$B$2:$B$13,MAX(1,MIN(12,AE$3)))-IF(AE$3&gt;1,INDEX(Curves!$B$2:$B$13,MAX(1,MIN(12,AE$3-1))),0)),0)</f>
        <v>0</v>
      </c>
      <c r="AF18" s="0" t="n">
        <f aca="false">IF(AND(AF$3&gt;=1,AF$3&lt;=Inputs!$B$13),Inputs!$B$4*Inputs!$B$5*Inputs!$B$11*(INDEX(Curves!$B$2:$B$13,MAX(1,MIN(12,AF$3)))-IF(AF$3&gt;1,INDEX(Curves!$B$2:$B$13,MAX(1,MIN(12,AF$3-1))),0)),0)</f>
        <v>0</v>
      </c>
      <c r="AG18" s="0" t="n">
        <f aca="false">IF(AND(AG$3&gt;=1,AG$3&lt;=Inputs!$B$13),Inputs!$B$4*Inputs!$B$5*Inputs!$B$11*(INDEX(Curves!$B$2:$B$13,MAX(1,MIN(12,AG$3)))-IF(AG$3&gt;1,INDEX(Curves!$B$2:$B$13,MAX(1,MIN(12,AG$3-1))),0)),0)</f>
        <v>0</v>
      </c>
      <c r="AH18" s="0" t="n">
        <f aca="false">IF(AND(AH$3&gt;=1,AH$3&lt;=Inputs!$B$13),Inputs!$B$4*Inputs!$B$5*Inputs!$B$11*(INDEX(Curves!$B$2:$B$13,MAX(1,MIN(12,AH$3)))-IF(AH$3&gt;1,INDEX(Curves!$B$2:$B$13,MAX(1,MIN(12,AH$3-1))),0)),0)</f>
        <v>0</v>
      </c>
    </row>
    <row r="19" customFormat="false" ht="15" hidden="false" customHeight="false" outlineLevel="0" collapsed="false">
      <c r="A19" s="0" t="s">
        <v>51</v>
      </c>
      <c r="B19" s="0" t="n">
        <f aca="false">IF(AND(B$3&gt;=1,B$3&lt;=Inputs!$B$13),Inputs!$B$14*Inputs!$B$15/Inputs!$B$13,0)</f>
        <v>0</v>
      </c>
      <c r="C19" s="0" t="n">
        <f aca="false">IF(AND(C$3&gt;=1,C$3&lt;=Inputs!$B$13),Inputs!$B$14*Inputs!$B$15/Inputs!$B$13,0)</f>
        <v>39583333.3333333</v>
      </c>
      <c r="D19" s="0" t="n">
        <f aca="false">IF(AND(D$3&gt;=1,D$3&lt;=Inputs!$B$13),Inputs!$B$14*Inputs!$B$15/Inputs!$B$13,0)</f>
        <v>39583333.3333333</v>
      </c>
      <c r="E19" s="0" t="n">
        <f aca="false">IF(AND(E$3&gt;=1,E$3&lt;=Inputs!$B$13),Inputs!$B$14*Inputs!$B$15/Inputs!$B$13,0)</f>
        <v>39583333.3333333</v>
      </c>
      <c r="F19" s="0" t="n">
        <f aca="false">IF(AND(F$3&gt;=1,F$3&lt;=Inputs!$B$13),Inputs!$B$14*Inputs!$B$15/Inputs!$B$13,0)</f>
        <v>39583333.3333333</v>
      </c>
      <c r="G19" s="0" t="n">
        <f aca="false">IF(AND(G$3&gt;=1,G$3&lt;=Inputs!$B$13),Inputs!$B$14*Inputs!$B$15/Inputs!$B$13,0)</f>
        <v>39583333.3333333</v>
      </c>
      <c r="H19" s="0" t="n">
        <f aca="false">IF(AND(H$3&gt;=1,H$3&lt;=Inputs!$B$13),Inputs!$B$14*Inputs!$B$15/Inputs!$B$13,0)</f>
        <v>39583333.3333333</v>
      </c>
      <c r="I19" s="0" t="n">
        <f aca="false">IF(AND(I$3&gt;=1,I$3&lt;=Inputs!$B$13),Inputs!$B$14*Inputs!$B$15/Inputs!$B$13,0)</f>
        <v>39583333.3333333</v>
      </c>
      <c r="J19" s="0" t="n">
        <f aca="false">IF(AND(J$3&gt;=1,J$3&lt;=Inputs!$B$13),Inputs!$B$14*Inputs!$B$15/Inputs!$B$13,0)</f>
        <v>39583333.3333333</v>
      </c>
      <c r="K19" s="0" t="n">
        <f aca="false">IF(AND(K$3&gt;=1,K$3&lt;=Inputs!$B$13),Inputs!$B$14*Inputs!$B$15/Inputs!$B$13,0)</f>
        <v>39583333.3333333</v>
      </c>
      <c r="L19" s="0" t="n">
        <f aca="false">IF(AND(L$3&gt;=1,L$3&lt;=Inputs!$B$13),Inputs!$B$14*Inputs!$B$15/Inputs!$B$13,0)</f>
        <v>39583333.3333333</v>
      </c>
      <c r="M19" s="0" t="n">
        <f aca="false">IF(AND(M$3&gt;=1,M$3&lt;=Inputs!$B$13),Inputs!$B$14*Inputs!$B$15/Inputs!$B$13,0)</f>
        <v>39583333.3333333</v>
      </c>
      <c r="N19" s="0" t="n">
        <f aca="false">IF(AND(N$3&gt;=1,N$3&lt;=Inputs!$B$13),Inputs!$B$14*Inputs!$B$15/Inputs!$B$13,0)</f>
        <v>39583333.3333333</v>
      </c>
      <c r="O19" s="0" t="n">
        <f aca="false">IF(AND(O$3&gt;=1,O$3&lt;=Inputs!$B$13),Inputs!$B$14*Inputs!$B$15/Inputs!$B$13,0)</f>
        <v>0</v>
      </c>
      <c r="P19" s="0" t="n">
        <f aca="false">IF(AND(P$3&gt;=1,P$3&lt;=Inputs!$B$13),Inputs!$B$14*Inputs!$B$15/Inputs!$B$13,0)</f>
        <v>0</v>
      </c>
      <c r="Q19" s="0" t="n">
        <f aca="false">IF(AND(Q$3&gt;=1,Q$3&lt;=Inputs!$B$13),Inputs!$B$14*Inputs!$B$15/Inputs!$B$13,0)</f>
        <v>0</v>
      </c>
      <c r="R19" s="0" t="n">
        <f aca="false">IF(AND(R$3&gt;=1,R$3&lt;=Inputs!$B$13),Inputs!$B$14*Inputs!$B$15/Inputs!$B$13,0)</f>
        <v>0</v>
      </c>
      <c r="S19" s="0" t="n">
        <f aca="false">IF(AND(S$3&gt;=1,S$3&lt;=Inputs!$B$13),Inputs!$B$14*Inputs!$B$15/Inputs!$B$13,0)</f>
        <v>0</v>
      </c>
      <c r="T19" s="0" t="n">
        <f aca="false">IF(AND(T$3&gt;=1,T$3&lt;=Inputs!$B$13),Inputs!$B$14*Inputs!$B$15/Inputs!$B$13,0)</f>
        <v>0</v>
      </c>
      <c r="U19" s="0" t="n">
        <f aca="false">IF(AND(U$3&gt;=1,U$3&lt;=Inputs!$B$13),Inputs!$B$14*Inputs!$B$15/Inputs!$B$13,0)</f>
        <v>0</v>
      </c>
      <c r="V19" s="0" t="n">
        <f aca="false">IF(AND(V$3&gt;=1,V$3&lt;=Inputs!$B$13),Inputs!$B$14*Inputs!$B$15/Inputs!$B$13,0)</f>
        <v>0</v>
      </c>
      <c r="W19" s="0" t="n">
        <f aca="false">IF(AND(W$3&gt;=1,W$3&lt;=Inputs!$B$13),Inputs!$B$14*Inputs!$B$15/Inputs!$B$13,0)</f>
        <v>0</v>
      </c>
      <c r="X19" s="0" t="n">
        <f aca="false">IF(AND(X$3&gt;=1,X$3&lt;=Inputs!$B$13),Inputs!$B$14*Inputs!$B$15/Inputs!$B$13,0)</f>
        <v>0</v>
      </c>
      <c r="Y19" s="0" t="n">
        <f aca="false">IF(AND(Y$3&gt;=1,Y$3&lt;=Inputs!$B$13),Inputs!$B$14*Inputs!$B$15/Inputs!$B$13,0)</f>
        <v>0</v>
      </c>
      <c r="Z19" s="0" t="n">
        <f aca="false">IF(AND(Z$3&gt;=1,Z$3&lt;=Inputs!$B$13),Inputs!$B$14*Inputs!$B$15/Inputs!$B$13,0)</f>
        <v>0</v>
      </c>
      <c r="AA19" s="0" t="n">
        <f aca="false">IF(AND(AA$3&gt;=1,AA$3&lt;=Inputs!$B$13),Inputs!$B$14*Inputs!$B$15/Inputs!$B$13,0)</f>
        <v>0</v>
      </c>
      <c r="AB19" s="0" t="n">
        <f aca="false">IF(AND(AB$3&gt;=1,AB$3&lt;=Inputs!$B$13),Inputs!$B$14*Inputs!$B$15/Inputs!$B$13,0)</f>
        <v>0</v>
      </c>
      <c r="AC19" s="0" t="n">
        <f aca="false">IF(AND(AC$3&gt;=1,AC$3&lt;=Inputs!$B$13),Inputs!$B$14*Inputs!$B$15/Inputs!$B$13,0)</f>
        <v>0</v>
      </c>
      <c r="AD19" s="0" t="n">
        <f aca="false">IF(AND(AD$3&gt;=1,AD$3&lt;=Inputs!$B$13),Inputs!$B$14*Inputs!$B$15/Inputs!$B$13,0)</f>
        <v>0</v>
      </c>
      <c r="AE19" s="0" t="n">
        <f aca="false">IF(AND(AE$3&gt;=1,AE$3&lt;=Inputs!$B$13),Inputs!$B$14*Inputs!$B$15/Inputs!$B$13,0)</f>
        <v>0</v>
      </c>
      <c r="AF19" s="0" t="n">
        <f aca="false">IF(AND(AF$3&gt;=1,AF$3&lt;=Inputs!$B$13),Inputs!$B$14*Inputs!$B$15/Inputs!$B$13,0)</f>
        <v>0</v>
      </c>
      <c r="AG19" s="0" t="n">
        <f aca="false">IF(AND(AG$3&gt;=1,AG$3&lt;=Inputs!$B$13),Inputs!$B$14*Inputs!$B$15/Inputs!$B$13,0)</f>
        <v>0</v>
      </c>
      <c r="AH19" s="0" t="n">
        <f aca="false">IF(AND(AH$3&gt;=1,AH$3&lt;=Inputs!$B$13),Inputs!$B$14*Inputs!$B$15/Inputs!$B$13,0)</f>
        <v>0</v>
      </c>
    </row>
    <row r="20" customFormat="false" ht="15" hidden="false" customHeight="false" outlineLevel="0" collapsed="false">
      <c r="A20" s="0" t="s">
        <v>52</v>
      </c>
      <c r="B20" s="2" t="n">
        <f aca="false">IF(B$3=0,Inputs!$B$12,0)</f>
        <v>260000000</v>
      </c>
      <c r="C20" s="5" t="n">
        <f aca="false">IF(C$3=0,Inputs!$B$12,0)</f>
        <v>0</v>
      </c>
      <c r="D20" s="5" t="n">
        <f aca="false">IF(D$3=0,Inputs!$B$12,0)</f>
        <v>0</v>
      </c>
      <c r="E20" s="5" t="n">
        <f aca="false">IF(E$3=0,Inputs!$B$12,0)</f>
        <v>0</v>
      </c>
      <c r="F20" s="5" t="n">
        <f aca="false">IF(F$3=0,Inputs!$B$12,0)</f>
        <v>0</v>
      </c>
      <c r="G20" s="5" t="n">
        <f aca="false">IF(G$3=0,Inputs!$B$12,0)</f>
        <v>0</v>
      </c>
      <c r="H20" s="5" t="n">
        <f aca="false">IF(H$3=0,Inputs!$B$12,0)</f>
        <v>0</v>
      </c>
      <c r="I20" s="5" t="n">
        <f aca="false">IF(I$3=0,Inputs!$B$12,0)</f>
        <v>0</v>
      </c>
      <c r="J20" s="5" t="n">
        <f aca="false">IF(J$3=0,Inputs!$B$12,0)</f>
        <v>0</v>
      </c>
      <c r="K20" s="5" t="n">
        <f aca="false">IF(K$3=0,Inputs!$B$12,0)</f>
        <v>0</v>
      </c>
      <c r="L20" s="5" t="n">
        <f aca="false">IF(L$3=0,Inputs!$B$12,0)</f>
        <v>0</v>
      </c>
      <c r="M20" s="5" t="n">
        <f aca="false">IF(M$3=0,Inputs!$B$12,0)</f>
        <v>0</v>
      </c>
      <c r="N20" s="5" t="n">
        <f aca="false">IF(N$3=0,Inputs!$B$12,0)</f>
        <v>0</v>
      </c>
      <c r="O20" s="5" t="n">
        <f aca="false">IF(O$3=0,Inputs!$B$12,0)</f>
        <v>0</v>
      </c>
      <c r="P20" s="5" t="n">
        <f aca="false">IF(P$3=0,Inputs!$B$12,0)</f>
        <v>0</v>
      </c>
      <c r="Q20" s="5" t="n">
        <f aca="false">IF(Q$3=0,Inputs!$B$12,0)</f>
        <v>0</v>
      </c>
      <c r="R20" s="5" t="n">
        <f aca="false">IF(R$3=0,Inputs!$B$12,0)</f>
        <v>0</v>
      </c>
      <c r="S20" s="5" t="n">
        <f aca="false">IF(S$3=0,Inputs!$B$12,0)</f>
        <v>0</v>
      </c>
      <c r="T20" s="5" t="n">
        <f aca="false">IF(T$3=0,Inputs!$B$12,0)</f>
        <v>0</v>
      </c>
      <c r="U20" s="5" t="n">
        <f aca="false">IF(U$3=0,Inputs!$B$12,0)</f>
        <v>0</v>
      </c>
      <c r="V20" s="5" t="n">
        <f aca="false">IF(V$3=0,Inputs!$B$12,0)</f>
        <v>0</v>
      </c>
      <c r="W20" s="5" t="n">
        <f aca="false">IF(W$3=0,Inputs!$B$12,0)</f>
        <v>0</v>
      </c>
      <c r="X20" s="5" t="n">
        <f aca="false">IF(X$3=0,Inputs!$B$12,0)</f>
        <v>0</v>
      </c>
      <c r="Y20" s="5" t="n">
        <f aca="false">IF(Y$3=0,Inputs!$B$12,0)</f>
        <v>0</v>
      </c>
      <c r="Z20" s="5" t="n">
        <f aca="false">IF(Z$3=0,Inputs!$B$12,0)</f>
        <v>0</v>
      </c>
      <c r="AA20" s="5" t="n">
        <f aca="false">IF(AA$3=0,Inputs!$B$12,0)</f>
        <v>0</v>
      </c>
      <c r="AB20" s="5" t="n">
        <f aca="false">IF(AB$3=0,Inputs!$B$12,0)</f>
        <v>0</v>
      </c>
      <c r="AC20" s="5" t="n">
        <f aca="false">IF(AC$3=0,Inputs!$B$12,0)</f>
        <v>0</v>
      </c>
      <c r="AD20" s="5" t="n">
        <f aca="false">IF(AD$3=0,Inputs!$B$12,0)</f>
        <v>0</v>
      </c>
      <c r="AE20" s="5" t="n">
        <f aca="false">IF(AE$3=0,Inputs!$B$12,0)</f>
        <v>0</v>
      </c>
      <c r="AF20" s="5" t="n">
        <f aca="false">IF(AF$3=0,Inputs!$B$12,0)</f>
        <v>0</v>
      </c>
      <c r="AG20" s="5" t="n">
        <f aca="false">IF(AG$3=0,Inputs!$B$12,0)</f>
        <v>0</v>
      </c>
      <c r="AH20" s="5" t="n">
        <f aca="false">IF(AH$3=0,Inputs!$B$12,0)</f>
        <v>0</v>
      </c>
    </row>
    <row r="21" customFormat="false" ht="15" hidden="false" customHeight="false" outlineLevel="0" collapsed="false">
      <c r="A21" s="0" t="s">
        <v>53</v>
      </c>
      <c r="B21" s="0" t="n">
        <f aca="false">IF(AND(B$3&gt;Inputs!$B$13,B$3&lt;=Inputs!$B$26),1,0)</f>
        <v>0</v>
      </c>
      <c r="C21" s="0" t="n">
        <f aca="false">IF(AND(C$3&gt;Inputs!$B$13,C$3&lt;=Inputs!$B$26),1,0)</f>
        <v>0</v>
      </c>
      <c r="D21" s="0" t="n">
        <f aca="false">IF(AND(D$3&gt;Inputs!$B$13,D$3&lt;=Inputs!$B$26),1,0)</f>
        <v>0</v>
      </c>
      <c r="E21" s="0" t="n">
        <f aca="false">IF(AND(E$3&gt;Inputs!$B$13,E$3&lt;=Inputs!$B$26),1,0)</f>
        <v>0</v>
      </c>
      <c r="F21" s="0" t="n">
        <f aca="false">IF(AND(F$3&gt;Inputs!$B$13,F$3&lt;=Inputs!$B$26),1,0)</f>
        <v>0</v>
      </c>
      <c r="G21" s="0" t="n">
        <f aca="false">IF(AND(G$3&gt;Inputs!$B$13,G$3&lt;=Inputs!$B$26),1,0)</f>
        <v>0</v>
      </c>
      <c r="H21" s="0" t="n">
        <f aca="false">IF(AND(H$3&gt;Inputs!$B$13,H$3&lt;=Inputs!$B$26),1,0)</f>
        <v>0</v>
      </c>
      <c r="I21" s="0" t="n">
        <f aca="false">IF(AND(I$3&gt;Inputs!$B$13,I$3&lt;=Inputs!$B$26),1,0)</f>
        <v>0</v>
      </c>
      <c r="J21" s="0" t="n">
        <f aca="false">IF(AND(J$3&gt;Inputs!$B$13,J$3&lt;=Inputs!$B$26),1,0)</f>
        <v>0</v>
      </c>
      <c r="K21" s="0" t="n">
        <f aca="false">IF(AND(K$3&gt;Inputs!$B$13,K$3&lt;=Inputs!$B$26),1,0)</f>
        <v>0</v>
      </c>
      <c r="L21" s="0" t="n">
        <f aca="false">IF(AND(L$3&gt;Inputs!$B$13,L$3&lt;=Inputs!$B$26),1,0)</f>
        <v>0</v>
      </c>
      <c r="M21" s="0" t="n">
        <f aca="false">IF(AND(M$3&gt;Inputs!$B$13,M$3&lt;=Inputs!$B$26),1,0)</f>
        <v>0</v>
      </c>
      <c r="N21" s="0" t="n">
        <f aca="false">IF(AND(N$3&gt;Inputs!$B$13,N$3&lt;=Inputs!$B$26),1,0)</f>
        <v>0</v>
      </c>
      <c r="O21" s="0" t="n">
        <f aca="false">IF(AND(O$3&gt;Inputs!$B$13,O$3&lt;=Inputs!$B$26),1,0)</f>
        <v>1</v>
      </c>
      <c r="P21" s="0" t="n">
        <f aca="false">IF(AND(P$3&gt;Inputs!$B$13,P$3&lt;=Inputs!$B$26),1,0)</f>
        <v>1</v>
      </c>
      <c r="Q21" s="0" t="n">
        <f aca="false">IF(AND(Q$3&gt;Inputs!$B$13,Q$3&lt;=Inputs!$B$26),1,0)</f>
        <v>1</v>
      </c>
      <c r="R21" s="0" t="n">
        <f aca="false">IF(AND(R$3&gt;Inputs!$B$13,R$3&lt;=Inputs!$B$26),1,0)</f>
        <v>1</v>
      </c>
      <c r="S21" s="0" t="n">
        <f aca="false">IF(AND(S$3&gt;Inputs!$B$13,S$3&lt;=Inputs!$B$26),1,0)</f>
        <v>1</v>
      </c>
      <c r="T21" s="0" t="n">
        <f aca="false">IF(AND(T$3&gt;Inputs!$B$13,T$3&lt;=Inputs!$B$26),1,0)</f>
        <v>1</v>
      </c>
      <c r="U21" s="0" t="n">
        <f aca="false">IF(AND(U$3&gt;Inputs!$B$13,U$3&lt;=Inputs!$B$26),1,0)</f>
        <v>1</v>
      </c>
      <c r="V21" s="0" t="n">
        <f aca="false">IF(AND(V$3&gt;Inputs!$B$13,V$3&lt;=Inputs!$B$26),1,0)</f>
        <v>1</v>
      </c>
      <c r="W21" s="0" t="n">
        <f aca="false">IF(AND(W$3&gt;Inputs!$B$13,W$3&lt;=Inputs!$B$26),1,0)</f>
        <v>1</v>
      </c>
      <c r="X21" s="0" t="n">
        <f aca="false">IF(AND(X$3&gt;Inputs!$B$13,X$3&lt;=Inputs!$B$26),1,0)</f>
        <v>1</v>
      </c>
      <c r="Y21" s="0" t="n">
        <f aca="false">IF(AND(Y$3&gt;Inputs!$B$13,Y$3&lt;=Inputs!$B$26),1,0)</f>
        <v>1</v>
      </c>
      <c r="Z21" s="0" t="n">
        <f aca="false">IF(AND(Z$3&gt;Inputs!$B$13,Z$3&lt;=Inputs!$B$26),1,0)</f>
        <v>1</v>
      </c>
      <c r="AA21" s="0" t="n">
        <f aca="false">IF(AND(AA$3&gt;Inputs!$B$13,AA$3&lt;=Inputs!$B$26),1,0)</f>
        <v>1</v>
      </c>
      <c r="AB21" s="0" t="n">
        <f aca="false">IF(AND(AB$3&gt;Inputs!$B$13,AB$3&lt;=Inputs!$B$26),1,0)</f>
        <v>1</v>
      </c>
      <c r="AC21" s="0" t="n">
        <f aca="false">IF(AND(AC$3&gt;Inputs!$B$13,AC$3&lt;=Inputs!$B$26),1,0)</f>
        <v>1</v>
      </c>
      <c r="AD21" s="0" t="n">
        <f aca="false">IF(AND(AD$3&gt;Inputs!$B$13,AD$3&lt;=Inputs!$B$26),1,0)</f>
        <v>1</v>
      </c>
      <c r="AE21" s="0" t="n">
        <f aca="false">IF(AND(AE$3&gt;Inputs!$B$13,AE$3&lt;=Inputs!$B$26),1,0)</f>
        <v>1</v>
      </c>
      <c r="AF21" s="0" t="n">
        <f aca="false">IF(AND(AF$3&gt;Inputs!$B$13,AF$3&lt;=Inputs!$B$26),1,0)</f>
        <v>1</v>
      </c>
      <c r="AG21" s="0" t="n">
        <f aca="false">IF(AND(AG$3&gt;Inputs!$B$13,AG$3&lt;=Inputs!$B$26),1,0)</f>
        <v>1</v>
      </c>
      <c r="AH21" s="0" t="n">
        <f aca="false">IF(AND(AH$3&gt;Inputs!$B$13,AH$3&lt;=Inputs!$B$26),1,0)</f>
        <v>1</v>
      </c>
    </row>
    <row r="22" customFormat="false" ht="15" hidden="false" customHeight="false" outlineLevel="0" collapsed="false">
      <c r="A22" s="0" t="s">
        <v>54</v>
      </c>
      <c r="B22" s="0" t="n">
        <f aca="false">IF(B21=1,INT((B$3-Inputs!$B$13-1)/4)+1,0)</f>
        <v>0</v>
      </c>
      <c r="C22" s="0" t="n">
        <f aca="false">IF(C21=1,INT((C$3-Inputs!$B$13-1)/4)+1,0)</f>
        <v>0</v>
      </c>
      <c r="D22" s="0" t="n">
        <f aca="false">IF(D21=1,INT((D$3-Inputs!$B$13-1)/4)+1,0)</f>
        <v>0</v>
      </c>
      <c r="E22" s="0" t="n">
        <f aca="false">IF(E21=1,INT((E$3-Inputs!$B$13-1)/4)+1,0)</f>
        <v>0</v>
      </c>
      <c r="F22" s="0" t="n">
        <f aca="false">IF(F21=1,INT((F$3-Inputs!$B$13-1)/4)+1,0)</f>
        <v>0</v>
      </c>
      <c r="G22" s="0" t="n">
        <f aca="false">IF(G21=1,INT((G$3-Inputs!$B$13-1)/4)+1,0)</f>
        <v>0</v>
      </c>
      <c r="H22" s="0" t="n">
        <f aca="false">IF(H21=1,INT((H$3-Inputs!$B$13-1)/4)+1,0)</f>
        <v>0</v>
      </c>
      <c r="I22" s="0" t="n">
        <f aca="false">IF(I21=1,INT((I$3-Inputs!$B$13-1)/4)+1,0)</f>
        <v>0</v>
      </c>
      <c r="J22" s="0" t="n">
        <f aca="false">IF(J21=1,INT((J$3-Inputs!$B$13-1)/4)+1,0)</f>
        <v>0</v>
      </c>
      <c r="K22" s="0" t="n">
        <f aca="false">IF(K21=1,INT((K$3-Inputs!$B$13-1)/4)+1,0)</f>
        <v>0</v>
      </c>
      <c r="L22" s="0" t="n">
        <f aca="false">IF(L21=1,INT((L$3-Inputs!$B$13-1)/4)+1,0)</f>
        <v>0</v>
      </c>
      <c r="M22" s="0" t="n">
        <f aca="false">IF(M21=1,INT((M$3-Inputs!$B$13-1)/4)+1,0)</f>
        <v>0</v>
      </c>
      <c r="N22" s="0" t="n">
        <f aca="false">IF(N21=1,INT((N$3-Inputs!$B$13-1)/4)+1,0)</f>
        <v>0</v>
      </c>
      <c r="O22" s="0" t="n">
        <f aca="false">IF(O21=1,INT((O$3-Inputs!$B$13-1)/4)+1,0)</f>
        <v>1</v>
      </c>
      <c r="P22" s="0" t="n">
        <f aca="false">IF(P21=1,INT((P$3-Inputs!$B$13-1)/4)+1,0)</f>
        <v>1</v>
      </c>
      <c r="Q22" s="0" t="n">
        <f aca="false">IF(Q21=1,INT((Q$3-Inputs!$B$13-1)/4)+1,0)</f>
        <v>1</v>
      </c>
      <c r="R22" s="0" t="n">
        <f aca="false">IF(R21=1,INT((R$3-Inputs!$B$13-1)/4)+1,0)</f>
        <v>1</v>
      </c>
      <c r="S22" s="0" t="n">
        <f aca="false">IF(S21=1,INT((S$3-Inputs!$B$13-1)/4)+1,0)</f>
        <v>2</v>
      </c>
      <c r="T22" s="0" t="n">
        <f aca="false">IF(T21=1,INT((T$3-Inputs!$B$13-1)/4)+1,0)</f>
        <v>2</v>
      </c>
      <c r="U22" s="0" t="n">
        <f aca="false">IF(U21=1,INT((U$3-Inputs!$B$13-1)/4)+1,0)</f>
        <v>2</v>
      </c>
      <c r="V22" s="0" t="n">
        <f aca="false">IF(V21=1,INT((V$3-Inputs!$B$13-1)/4)+1,0)</f>
        <v>2</v>
      </c>
      <c r="W22" s="0" t="n">
        <f aca="false">IF(W21=1,INT((W$3-Inputs!$B$13-1)/4)+1,0)</f>
        <v>3</v>
      </c>
      <c r="X22" s="0" t="n">
        <f aca="false">IF(X21=1,INT((X$3-Inputs!$B$13-1)/4)+1,0)</f>
        <v>3</v>
      </c>
      <c r="Y22" s="0" t="n">
        <f aca="false">IF(Y21=1,INT((Y$3-Inputs!$B$13-1)/4)+1,0)</f>
        <v>3</v>
      </c>
      <c r="Z22" s="0" t="n">
        <f aca="false">IF(Z21=1,INT((Z$3-Inputs!$B$13-1)/4)+1,0)</f>
        <v>3</v>
      </c>
      <c r="AA22" s="0" t="n">
        <f aca="false">IF(AA21=1,INT((AA$3-Inputs!$B$13-1)/4)+1,0)</f>
        <v>4</v>
      </c>
      <c r="AB22" s="0" t="n">
        <f aca="false">IF(AB21=1,INT((AB$3-Inputs!$B$13-1)/4)+1,0)</f>
        <v>4</v>
      </c>
      <c r="AC22" s="0" t="n">
        <f aca="false">IF(AC21=1,INT((AC$3-Inputs!$B$13-1)/4)+1,0)</f>
        <v>4</v>
      </c>
      <c r="AD22" s="0" t="n">
        <f aca="false">IF(AD21=1,INT((AD$3-Inputs!$B$13-1)/4)+1,0)</f>
        <v>4</v>
      </c>
      <c r="AE22" s="0" t="n">
        <f aca="false">IF(AE21=1,INT((AE$3-Inputs!$B$13-1)/4)+1,0)</f>
        <v>5</v>
      </c>
      <c r="AF22" s="0" t="n">
        <f aca="false">IF(AF21=1,INT((AF$3-Inputs!$B$13-1)/4)+1,0)</f>
        <v>5</v>
      </c>
      <c r="AG22" s="0" t="n">
        <f aca="false">IF(AG21=1,INT((AG$3-Inputs!$B$13-1)/4)+1,0)</f>
        <v>5</v>
      </c>
      <c r="AH22" s="0" t="n">
        <f aca="false">IF(AH21=1,INT((AH$3-Inputs!$B$13-1)/4)+1,0)</f>
        <v>5</v>
      </c>
    </row>
    <row r="23" customFormat="false" ht="15" hidden="false" customHeight="false" outlineLevel="0" collapsed="false">
      <c r="A23" s="0" t="s">
        <v>55</v>
      </c>
      <c r="B23" s="0" t="n">
        <f aca="false">IF(B21=1,MIN(0.95,INDEX(Curves!$D$2:$D$5,MIN(4,B22))*INDEX(Inputs!$B$36:$E$36,INT((MONTH(B4)-1)/3)+1)),0)</f>
        <v>0</v>
      </c>
      <c r="C23" s="0" t="n">
        <f aca="false">IF(C21=1,MIN(0.95,INDEX(Curves!$D$2:$D$5,MIN(4,C22))*INDEX(Inputs!$B$36:$E$36,INT((MONTH(C4)-1)/3)+1)),0)</f>
        <v>0</v>
      </c>
      <c r="D23" s="0" t="n">
        <f aca="false">IF(D21=1,MIN(0.95,INDEX(Curves!$D$2:$D$5,MIN(4,D22))*INDEX(Inputs!$B$36:$E$36,INT((MONTH(D4)-1)/3)+1)),0)</f>
        <v>0</v>
      </c>
      <c r="E23" s="0" t="n">
        <f aca="false">IF(E21=1,MIN(0.95,INDEX(Curves!$D$2:$D$5,MIN(4,E22))*INDEX(Inputs!$B$36:$E$36,INT((MONTH(E4)-1)/3)+1)),0)</f>
        <v>0</v>
      </c>
      <c r="F23" s="0" t="n">
        <f aca="false">IF(F21=1,MIN(0.95,INDEX(Curves!$D$2:$D$5,MIN(4,F22))*INDEX(Inputs!$B$36:$E$36,INT((MONTH(F4)-1)/3)+1)),0)</f>
        <v>0</v>
      </c>
      <c r="G23" s="0" t="n">
        <f aca="false">IF(G21=1,MIN(0.95,INDEX(Curves!$D$2:$D$5,MIN(4,G22))*INDEX(Inputs!$B$36:$E$36,INT((MONTH(G4)-1)/3)+1)),0)</f>
        <v>0</v>
      </c>
      <c r="H23" s="0" t="n">
        <f aca="false">IF(H21=1,MIN(0.95,INDEX(Curves!$D$2:$D$5,MIN(4,H22))*INDEX(Inputs!$B$36:$E$36,INT((MONTH(H4)-1)/3)+1)),0)</f>
        <v>0</v>
      </c>
      <c r="I23" s="0" t="n">
        <f aca="false">IF(I21=1,MIN(0.95,INDEX(Curves!$D$2:$D$5,MIN(4,I22))*INDEX(Inputs!$B$36:$E$36,INT((MONTH(I4)-1)/3)+1)),0)</f>
        <v>0</v>
      </c>
      <c r="J23" s="0" t="n">
        <f aca="false">IF(J21=1,MIN(0.95,INDEX(Curves!$D$2:$D$5,MIN(4,J22))*INDEX(Inputs!$B$36:$E$36,INT((MONTH(J4)-1)/3)+1)),0)</f>
        <v>0</v>
      </c>
      <c r="K23" s="0" t="n">
        <f aca="false">IF(K21=1,MIN(0.95,INDEX(Curves!$D$2:$D$5,MIN(4,K22))*INDEX(Inputs!$B$36:$E$36,INT((MONTH(K4)-1)/3)+1)),0)</f>
        <v>0</v>
      </c>
      <c r="L23" s="0" t="n">
        <f aca="false">IF(L21=1,MIN(0.95,INDEX(Curves!$D$2:$D$5,MIN(4,L22))*INDEX(Inputs!$B$36:$E$36,INT((MONTH(L4)-1)/3)+1)),0)</f>
        <v>0</v>
      </c>
      <c r="M23" s="0" t="n">
        <f aca="false">IF(M21=1,MIN(0.95,INDEX(Curves!$D$2:$D$5,MIN(4,M22))*INDEX(Inputs!$B$36:$E$36,INT((MONTH(M4)-1)/3)+1)),0)</f>
        <v>0</v>
      </c>
      <c r="N23" s="0" t="n">
        <f aca="false">IF(N21=1,MIN(0.95,INDEX(Curves!$D$2:$D$5,MIN(4,N22))*INDEX(Inputs!$B$36:$E$36,INT((MONTH(N4)-1)/3)+1)),0)</f>
        <v>0</v>
      </c>
      <c r="O23" s="0" t="n">
        <f aca="false">IF(O21=1,MIN(0.95,INDEX(Curves!$D$2:$D$5,MIN(4,O22))*INDEX(Inputs!$B$36:$E$36,INT((MONTH(O4)-1)/3)+1)),0)</f>
        <v>0.696</v>
      </c>
      <c r="P23" s="0" t="n">
        <f aca="false">IF(P21=1,MIN(0.95,INDEX(Curves!$D$2:$D$5,MIN(4,P22))*INDEX(Inputs!$B$36:$E$36,INT((MONTH(P4)-1)/3)+1)),0)</f>
        <v>0.667</v>
      </c>
      <c r="Q23" s="0" t="n">
        <f aca="false">IF(Q21=1,MIN(0.95,INDEX(Curves!$D$2:$D$5,MIN(4,Q22))*INDEX(Inputs!$B$36:$E$36,INT((MONTH(Q4)-1)/3)+1)),0)</f>
        <v>0.551</v>
      </c>
      <c r="R23" s="0" t="n">
        <f aca="false">IF(R21=1,MIN(0.95,INDEX(Curves!$D$2:$D$5,MIN(4,R22))*INDEX(Inputs!$B$36:$E$36,INT((MONTH(R4)-1)/3)+1)),0)</f>
        <v>0.406</v>
      </c>
      <c r="S23" s="0" t="n">
        <f aca="false">IF(S21=1,MIN(0.95,INDEX(Curves!$D$2:$D$5,MIN(4,S22))*INDEX(Inputs!$B$36:$E$36,INT((MONTH(S4)-1)/3)+1)),0)</f>
        <v>0.792</v>
      </c>
      <c r="T23" s="0" t="n">
        <f aca="false">IF(T21=1,MIN(0.95,INDEX(Curves!$D$2:$D$5,MIN(4,T22))*INDEX(Inputs!$B$36:$E$36,INT((MONTH(T4)-1)/3)+1)),0)</f>
        <v>0.759</v>
      </c>
      <c r="U23" s="0" t="n">
        <f aca="false">IF(U21=1,MIN(0.95,INDEX(Curves!$D$2:$D$5,MIN(4,U22))*INDEX(Inputs!$B$36:$E$36,INT((MONTH(U4)-1)/3)+1)),0)</f>
        <v>0.627</v>
      </c>
      <c r="V23" s="0" t="n">
        <f aca="false">IF(V21=1,MIN(0.95,INDEX(Curves!$D$2:$D$5,MIN(4,V22))*INDEX(Inputs!$B$36:$E$36,INT((MONTH(V4)-1)/3)+1)),0)</f>
        <v>0.462</v>
      </c>
      <c r="W23" s="0" t="n">
        <f aca="false">IF(W21=1,MIN(0.95,INDEX(Curves!$D$2:$D$5,MIN(4,W22))*INDEX(Inputs!$B$36:$E$36,INT((MONTH(W4)-1)/3)+1)),0)</f>
        <v>0.864</v>
      </c>
      <c r="X23" s="0" t="n">
        <f aca="false">IF(X21=1,MIN(0.95,INDEX(Curves!$D$2:$D$5,MIN(4,X22))*INDEX(Inputs!$B$36:$E$36,INT((MONTH(X4)-1)/3)+1)),0)</f>
        <v>0.828</v>
      </c>
      <c r="Y23" s="0" t="n">
        <f aca="false">IF(Y21=1,MIN(0.95,INDEX(Curves!$D$2:$D$5,MIN(4,Y22))*INDEX(Inputs!$B$36:$E$36,INT((MONTH(Y4)-1)/3)+1)),0)</f>
        <v>0.684</v>
      </c>
      <c r="Z23" s="0" t="n">
        <f aca="false">IF(Z21=1,MIN(0.95,INDEX(Curves!$D$2:$D$5,MIN(4,Z22))*INDEX(Inputs!$B$36:$E$36,INT((MONTH(Z4)-1)/3)+1)),0)</f>
        <v>0.504</v>
      </c>
      <c r="AA23" s="0" t="n">
        <f aca="false">IF(AA21=1,MIN(0.95,INDEX(Curves!$D$2:$D$5,MIN(4,AA22))*INDEX(Inputs!$B$36:$E$36,INT((MONTH(AA4)-1)/3)+1)),0)</f>
        <v>0.888</v>
      </c>
      <c r="AB23" s="0" t="n">
        <f aca="false">IF(AB21=1,MIN(0.95,INDEX(Curves!$D$2:$D$5,MIN(4,AB22))*INDEX(Inputs!$B$36:$E$36,INT((MONTH(AB4)-1)/3)+1)),0)</f>
        <v>0.851</v>
      </c>
      <c r="AC23" s="0" t="n">
        <f aca="false">IF(AC21=1,MIN(0.95,INDEX(Curves!$D$2:$D$5,MIN(4,AC22))*INDEX(Inputs!$B$36:$E$36,INT((MONTH(AC4)-1)/3)+1)),0)</f>
        <v>0.703</v>
      </c>
      <c r="AD23" s="0" t="n">
        <f aca="false">IF(AD21=1,MIN(0.95,INDEX(Curves!$D$2:$D$5,MIN(4,AD22))*INDEX(Inputs!$B$36:$E$36,INT((MONTH(AD4)-1)/3)+1)),0)</f>
        <v>0.518</v>
      </c>
      <c r="AE23" s="0" t="n">
        <f aca="false">IF(AE21=1,MIN(0.95,INDEX(Curves!$D$2:$D$5,MIN(4,AE22))*INDEX(Inputs!$B$36:$E$36,INT((MONTH(AE4)-1)/3)+1)),0)</f>
        <v>0.888</v>
      </c>
      <c r="AF23" s="0" t="n">
        <f aca="false">IF(AF21=1,MIN(0.95,INDEX(Curves!$D$2:$D$5,MIN(4,AF22))*INDEX(Inputs!$B$36:$E$36,INT((MONTH(AF4)-1)/3)+1)),0)</f>
        <v>0.851</v>
      </c>
      <c r="AG23" s="0" t="n">
        <f aca="false">IF(AG21=1,MIN(0.95,INDEX(Curves!$D$2:$D$5,MIN(4,AG22))*INDEX(Inputs!$B$36:$E$36,INT((MONTH(AG4)-1)/3)+1)),0)</f>
        <v>0.703</v>
      </c>
      <c r="AH23" s="0" t="n">
        <f aca="false">IF(AH21=1,MIN(0.95,INDEX(Curves!$D$2:$D$5,MIN(4,AH22))*INDEX(Inputs!$B$36:$E$36,INT((MONTH(AH4)-1)/3)+1)),0)</f>
        <v>0.518</v>
      </c>
    </row>
    <row r="24" customFormat="false" ht="15" hidden="false" customHeight="false" outlineLevel="0" collapsed="false">
      <c r="A24" s="0" t="s">
        <v>56</v>
      </c>
      <c r="B24" s="0" t="n">
        <f aca="false">IF(B21=1,Inputs!$B$16*(1+Inputs!$B$17)^(B22-1),0)</f>
        <v>0</v>
      </c>
      <c r="C24" s="0" t="n">
        <f aca="false">IF(C21=1,Inputs!$B$16*(1+Inputs!$B$17)^(C22-1),0)</f>
        <v>0</v>
      </c>
      <c r="D24" s="0" t="n">
        <f aca="false">IF(D21=1,Inputs!$B$16*(1+Inputs!$B$17)^(D22-1),0)</f>
        <v>0</v>
      </c>
      <c r="E24" s="0" t="n">
        <f aca="false">IF(E21=1,Inputs!$B$16*(1+Inputs!$B$17)^(E22-1),0)</f>
        <v>0</v>
      </c>
      <c r="F24" s="0" t="n">
        <f aca="false">IF(F21=1,Inputs!$B$16*(1+Inputs!$B$17)^(F22-1),0)</f>
        <v>0</v>
      </c>
      <c r="G24" s="0" t="n">
        <f aca="false">IF(G21=1,Inputs!$B$16*(1+Inputs!$B$17)^(G22-1),0)</f>
        <v>0</v>
      </c>
      <c r="H24" s="0" t="n">
        <f aca="false">IF(H21=1,Inputs!$B$16*(1+Inputs!$B$17)^(H22-1),0)</f>
        <v>0</v>
      </c>
      <c r="I24" s="0" t="n">
        <f aca="false">IF(I21=1,Inputs!$B$16*(1+Inputs!$B$17)^(I22-1),0)</f>
        <v>0</v>
      </c>
      <c r="J24" s="0" t="n">
        <f aca="false">IF(J21=1,Inputs!$B$16*(1+Inputs!$B$17)^(J22-1),0)</f>
        <v>0</v>
      </c>
      <c r="K24" s="0" t="n">
        <f aca="false">IF(K21=1,Inputs!$B$16*(1+Inputs!$B$17)^(K22-1),0)</f>
        <v>0</v>
      </c>
      <c r="L24" s="0" t="n">
        <f aca="false">IF(L21=1,Inputs!$B$16*(1+Inputs!$B$17)^(L22-1),0)</f>
        <v>0</v>
      </c>
      <c r="M24" s="0" t="n">
        <f aca="false">IF(M21=1,Inputs!$B$16*(1+Inputs!$B$17)^(M22-1),0)</f>
        <v>0</v>
      </c>
      <c r="N24" s="0" t="n">
        <f aca="false">IF(N21=1,Inputs!$B$16*(1+Inputs!$B$17)^(N22-1),0)</f>
        <v>0</v>
      </c>
      <c r="O24" s="0" t="n">
        <f aca="false">IF(O21=1,Inputs!$B$16*(1+Inputs!$B$17)^(O22-1),0)</f>
        <v>1450</v>
      </c>
      <c r="P24" s="0" t="n">
        <f aca="false">IF(P21=1,Inputs!$B$16*(1+Inputs!$B$17)^(P22-1),0)</f>
        <v>1450</v>
      </c>
      <c r="Q24" s="0" t="n">
        <f aca="false">IF(Q21=1,Inputs!$B$16*(1+Inputs!$B$17)^(Q22-1),0)</f>
        <v>1450</v>
      </c>
      <c r="R24" s="0" t="n">
        <f aca="false">IF(R21=1,Inputs!$B$16*(1+Inputs!$B$17)^(R22-1),0)</f>
        <v>1450</v>
      </c>
      <c r="S24" s="0" t="n">
        <f aca="false">IF(S21=1,Inputs!$B$16*(1+Inputs!$B$17)^(S22-1),0)</f>
        <v>1508</v>
      </c>
      <c r="T24" s="0" t="n">
        <f aca="false">IF(T21=1,Inputs!$B$16*(1+Inputs!$B$17)^(T22-1),0)</f>
        <v>1508</v>
      </c>
      <c r="U24" s="0" t="n">
        <f aca="false">IF(U21=1,Inputs!$B$16*(1+Inputs!$B$17)^(U22-1),0)</f>
        <v>1508</v>
      </c>
      <c r="V24" s="0" t="n">
        <f aca="false">IF(V21=1,Inputs!$B$16*(1+Inputs!$B$17)^(V22-1),0)</f>
        <v>1508</v>
      </c>
      <c r="W24" s="0" t="n">
        <f aca="false">IF(W21=1,Inputs!$B$16*(1+Inputs!$B$17)^(W22-1),0)</f>
        <v>1568.32</v>
      </c>
      <c r="X24" s="0" t="n">
        <f aca="false">IF(X21=1,Inputs!$B$16*(1+Inputs!$B$17)^(X22-1),0)</f>
        <v>1568.32</v>
      </c>
      <c r="Y24" s="0" t="n">
        <f aca="false">IF(Y21=1,Inputs!$B$16*(1+Inputs!$B$17)^(Y22-1),0)</f>
        <v>1568.32</v>
      </c>
      <c r="Z24" s="0" t="n">
        <f aca="false">IF(Z21=1,Inputs!$B$16*(1+Inputs!$B$17)^(Z22-1),0)</f>
        <v>1568.32</v>
      </c>
      <c r="AA24" s="0" t="n">
        <f aca="false">IF(AA21=1,Inputs!$B$16*(1+Inputs!$B$17)^(AA22-1),0)</f>
        <v>1631.0528</v>
      </c>
      <c r="AB24" s="0" t="n">
        <f aca="false">IF(AB21=1,Inputs!$B$16*(1+Inputs!$B$17)^(AB22-1),0)</f>
        <v>1631.0528</v>
      </c>
      <c r="AC24" s="0" t="n">
        <f aca="false">IF(AC21=1,Inputs!$B$16*(1+Inputs!$B$17)^(AC22-1),0)</f>
        <v>1631.0528</v>
      </c>
      <c r="AD24" s="0" t="n">
        <f aca="false">IF(AD21=1,Inputs!$B$16*(1+Inputs!$B$17)^(AD22-1),0)</f>
        <v>1631.0528</v>
      </c>
      <c r="AE24" s="0" t="n">
        <f aca="false">IF(AE21=1,Inputs!$B$16*(1+Inputs!$B$17)^(AE22-1),0)</f>
        <v>1696.294912</v>
      </c>
      <c r="AF24" s="0" t="n">
        <f aca="false">IF(AF21=1,Inputs!$B$16*(1+Inputs!$B$17)^(AF22-1),0)</f>
        <v>1696.294912</v>
      </c>
      <c r="AG24" s="0" t="n">
        <f aca="false">IF(AG21=1,Inputs!$B$16*(1+Inputs!$B$17)^(AG22-1),0)</f>
        <v>1696.294912</v>
      </c>
      <c r="AH24" s="0" t="n">
        <f aca="false">IF(AH21=1,Inputs!$B$16*(1+Inputs!$B$17)^(AH22-1),0)</f>
        <v>1696.294912</v>
      </c>
    </row>
    <row r="25" customFormat="false" ht="15" hidden="false" customHeight="false" outlineLevel="0" collapsed="false">
      <c r="A25" s="0" t="s">
        <v>57</v>
      </c>
      <c r="B25" s="0" t="n">
        <f aca="false">Inputs!$B$14*91.25*B23*B24</f>
        <v>0</v>
      </c>
      <c r="C25" s="0" t="n">
        <f aca="false">Inputs!$B$14*91.25*C23*C24</f>
        <v>0</v>
      </c>
      <c r="D25" s="0" t="n">
        <f aca="false">Inputs!$B$14*91.25*D23*D24</f>
        <v>0</v>
      </c>
      <c r="E25" s="0" t="n">
        <f aca="false">Inputs!$B$14*91.25*E23*E24</f>
        <v>0</v>
      </c>
      <c r="F25" s="0" t="n">
        <f aca="false">Inputs!$B$14*91.25*F23*F24</f>
        <v>0</v>
      </c>
      <c r="G25" s="0" t="n">
        <f aca="false">Inputs!$B$14*91.25*G23*G24</f>
        <v>0</v>
      </c>
      <c r="H25" s="0" t="n">
        <f aca="false">Inputs!$B$14*91.25*H23*H24</f>
        <v>0</v>
      </c>
      <c r="I25" s="0" t="n">
        <f aca="false">Inputs!$B$14*91.25*I23*I24</f>
        <v>0</v>
      </c>
      <c r="J25" s="0" t="n">
        <f aca="false">Inputs!$B$14*91.25*J23*J24</f>
        <v>0</v>
      </c>
      <c r="K25" s="0" t="n">
        <f aca="false">Inputs!$B$14*91.25*K23*K24</f>
        <v>0</v>
      </c>
      <c r="L25" s="0" t="n">
        <f aca="false">Inputs!$B$14*91.25*L23*L24</f>
        <v>0</v>
      </c>
      <c r="M25" s="0" t="n">
        <f aca="false">Inputs!$B$14*91.25*M23*M24</f>
        <v>0</v>
      </c>
      <c r="N25" s="0" t="n">
        <f aca="false">Inputs!$B$14*91.25*N23*N24</f>
        <v>0</v>
      </c>
      <c r="O25" s="0" t="n">
        <f aca="false">Inputs!$B$14*91.25*O23*O24</f>
        <v>23022375</v>
      </c>
      <c r="P25" s="0" t="n">
        <f aca="false">Inputs!$B$14*91.25*P23*P24</f>
        <v>22063109.375</v>
      </c>
      <c r="Q25" s="0" t="n">
        <f aca="false">Inputs!$B$14*91.25*Q23*Q24</f>
        <v>18226046.875</v>
      </c>
      <c r="R25" s="0" t="n">
        <f aca="false">Inputs!$B$14*91.25*R23*R24</f>
        <v>13429718.75</v>
      </c>
      <c r="S25" s="0" t="n">
        <f aca="false">Inputs!$B$14*91.25*S23*S24</f>
        <v>27245790</v>
      </c>
      <c r="T25" s="0" t="n">
        <f aca="false">Inputs!$B$14*91.25*T23*T24</f>
        <v>26110548.75</v>
      </c>
      <c r="U25" s="0" t="n">
        <f aca="false">Inputs!$B$14*91.25*U23*U24</f>
        <v>21569583.75</v>
      </c>
      <c r="V25" s="0" t="n">
        <f aca="false">Inputs!$B$14*91.25*V23*V24</f>
        <v>15893377.5</v>
      </c>
      <c r="W25" s="0" t="n">
        <f aca="false">Inputs!$B$14*91.25*W23*W24</f>
        <v>30911587.2</v>
      </c>
      <c r="X25" s="0" t="n">
        <f aca="false">Inputs!$B$14*91.25*X23*X24</f>
        <v>29623604.4</v>
      </c>
      <c r="Y25" s="0" t="n">
        <f aca="false">Inputs!$B$14*91.25*Y23*Y24</f>
        <v>24471673.2</v>
      </c>
      <c r="Z25" s="0" t="n">
        <f aca="false">Inputs!$B$14*91.25*Z23*Z24</f>
        <v>18031759.2</v>
      </c>
      <c r="AA25" s="0" t="n">
        <f aca="false">Inputs!$B$14*91.25*AA23*AA24</f>
        <v>33041052.096</v>
      </c>
      <c r="AB25" s="0" t="n">
        <f aca="false">Inputs!$B$14*91.25*AB23*AB24</f>
        <v>31664341.592</v>
      </c>
      <c r="AC25" s="0" t="n">
        <f aca="false">Inputs!$B$14*91.25*AC23*AC24</f>
        <v>26157499.576</v>
      </c>
      <c r="AD25" s="0" t="n">
        <f aca="false">Inputs!$B$14*91.25*AD23*AD24</f>
        <v>19273947.056</v>
      </c>
      <c r="AE25" s="0" t="n">
        <f aca="false">Inputs!$B$14*91.25*AE23*AE24</f>
        <v>34362694.17984</v>
      </c>
      <c r="AF25" s="0" t="n">
        <f aca="false">Inputs!$B$14*91.25*AF23*AF24</f>
        <v>32930915.25568</v>
      </c>
      <c r="AG25" s="0" t="n">
        <f aca="false">Inputs!$B$14*91.25*AG23*AG24</f>
        <v>27203799.55904</v>
      </c>
      <c r="AH25" s="0" t="n">
        <f aca="false">Inputs!$B$14*91.25*AH23*AH24</f>
        <v>20044904.93824</v>
      </c>
    </row>
    <row r="26" customFormat="false" ht="15" hidden="false" customHeight="false" outlineLevel="0" collapsed="false">
      <c r="A26" s="0" t="s">
        <v>58</v>
      </c>
      <c r="B26" s="0" t="n">
        <f aca="false">B25*(1+Inputs!$B$18)</f>
        <v>0</v>
      </c>
      <c r="C26" s="0" t="n">
        <f aca="false">C25*(1+Inputs!$B$18)</f>
        <v>0</v>
      </c>
      <c r="D26" s="0" t="n">
        <f aca="false">D25*(1+Inputs!$B$18)</f>
        <v>0</v>
      </c>
      <c r="E26" s="0" t="n">
        <f aca="false">E25*(1+Inputs!$B$18)</f>
        <v>0</v>
      </c>
      <c r="F26" s="0" t="n">
        <f aca="false">F25*(1+Inputs!$B$18)</f>
        <v>0</v>
      </c>
      <c r="G26" s="0" t="n">
        <f aca="false">G25*(1+Inputs!$B$18)</f>
        <v>0</v>
      </c>
      <c r="H26" s="0" t="n">
        <f aca="false">H25*(1+Inputs!$B$18)</f>
        <v>0</v>
      </c>
      <c r="I26" s="0" t="n">
        <f aca="false">I25*(1+Inputs!$B$18)</f>
        <v>0</v>
      </c>
      <c r="J26" s="0" t="n">
        <f aca="false">J25*(1+Inputs!$B$18)</f>
        <v>0</v>
      </c>
      <c r="K26" s="0" t="n">
        <f aca="false">K25*(1+Inputs!$B$18)</f>
        <v>0</v>
      </c>
      <c r="L26" s="0" t="n">
        <f aca="false">L25*(1+Inputs!$B$18)</f>
        <v>0</v>
      </c>
      <c r="M26" s="0" t="n">
        <f aca="false">M25*(1+Inputs!$B$18)</f>
        <v>0</v>
      </c>
      <c r="N26" s="0" t="n">
        <f aca="false">N25*(1+Inputs!$B$18)</f>
        <v>0</v>
      </c>
      <c r="O26" s="0" t="n">
        <f aca="false">O25*(1+Inputs!$B$18)</f>
        <v>33382443.75</v>
      </c>
      <c r="P26" s="0" t="n">
        <f aca="false">P25*(1+Inputs!$B$18)</f>
        <v>31991508.59375</v>
      </c>
      <c r="Q26" s="0" t="n">
        <f aca="false">Q25*(1+Inputs!$B$18)</f>
        <v>26427767.96875</v>
      </c>
      <c r="R26" s="0" t="n">
        <f aca="false">R25*(1+Inputs!$B$18)</f>
        <v>19473092.1875</v>
      </c>
      <c r="S26" s="0" t="n">
        <f aca="false">S25*(1+Inputs!$B$18)</f>
        <v>39506395.5</v>
      </c>
      <c r="T26" s="0" t="n">
        <f aca="false">T25*(1+Inputs!$B$18)</f>
        <v>37860295.6875</v>
      </c>
      <c r="U26" s="0" t="n">
        <f aca="false">U25*(1+Inputs!$B$18)</f>
        <v>31275896.4375</v>
      </c>
      <c r="V26" s="0" t="n">
        <f aca="false">V25*(1+Inputs!$B$18)</f>
        <v>23045397.375</v>
      </c>
      <c r="W26" s="0" t="n">
        <f aca="false">W25*(1+Inputs!$B$18)</f>
        <v>44821801.44</v>
      </c>
      <c r="X26" s="0" t="n">
        <f aca="false">X25*(1+Inputs!$B$18)</f>
        <v>42954226.38</v>
      </c>
      <c r="Y26" s="0" t="n">
        <f aca="false">Y25*(1+Inputs!$B$18)</f>
        <v>35483926.14</v>
      </c>
      <c r="Z26" s="0" t="n">
        <f aca="false">Z25*(1+Inputs!$B$18)</f>
        <v>26146050.84</v>
      </c>
      <c r="AA26" s="0" t="n">
        <f aca="false">AA25*(1+Inputs!$B$18)</f>
        <v>47909525.5392</v>
      </c>
      <c r="AB26" s="0" t="n">
        <f aca="false">AB25*(1+Inputs!$B$18)</f>
        <v>45913295.3084</v>
      </c>
      <c r="AC26" s="0" t="n">
        <f aca="false">AC25*(1+Inputs!$B$18)</f>
        <v>37928374.3852</v>
      </c>
      <c r="AD26" s="0" t="n">
        <f aca="false">AD25*(1+Inputs!$B$18)</f>
        <v>27947223.2312</v>
      </c>
      <c r="AE26" s="0" t="n">
        <f aca="false">AE25*(1+Inputs!$B$18)</f>
        <v>49825906.560768</v>
      </c>
      <c r="AF26" s="0" t="n">
        <f aca="false">AF25*(1+Inputs!$B$18)</f>
        <v>47749827.120736</v>
      </c>
      <c r="AG26" s="0" t="n">
        <f aca="false">AG25*(1+Inputs!$B$18)</f>
        <v>39445509.360608</v>
      </c>
      <c r="AH26" s="0" t="n">
        <f aca="false">AH25*(1+Inputs!$B$18)</f>
        <v>29065112.160448</v>
      </c>
    </row>
    <row r="27" customFormat="false" ht="15" hidden="false" customHeight="false" outlineLevel="0" collapsed="false">
      <c r="A27" s="0" t="s">
        <v>59</v>
      </c>
      <c r="B27" s="0" t="n">
        <f aca="false">B26*Inputs!$B$19</f>
        <v>0</v>
      </c>
      <c r="C27" s="0" t="n">
        <f aca="false">C26*Inputs!$B$19</f>
        <v>0</v>
      </c>
      <c r="D27" s="0" t="n">
        <f aca="false">D26*Inputs!$B$19</f>
        <v>0</v>
      </c>
      <c r="E27" s="0" t="n">
        <f aca="false">E26*Inputs!$B$19</f>
        <v>0</v>
      </c>
      <c r="F27" s="0" t="n">
        <f aca="false">F26*Inputs!$B$19</f>
        <v>0</v>
      </c>
      <c r="G27" s="0" t="n">
        <f aca="false">G26*Inputs!$B$19</f>
        <v>0</v>
      </c>
      <c r="H27" s="0" t="n">
        <f aca="false">H26*Inputs!$B$19</f>
        <v>0</v>
      </c>
      <c r="I27" s="0" t="n">
        <f aca="false">I26*Inputs!$B$19</f>
        <v>0</v>
      </c>
      <c r="J27" s="0" t="n">
        <f aca="false">J26*Inputs!$B$19</f>
        <v>0</v>
      </c>
      <c r="K27" s="0" t="n">
        <f aca="false">K26*Inputs!$B$19</f>
        <v>0</v>
      </c>
      <c r="L27" s="0" t="n">
        <f aca="false">L26*Inputs!$B$19</f>
        <v>0</v>
      </c>
      <c r="M27" s="0" t="n">
        <f aca="false">M26*Inputs!$B$19</f>
        <v>0</v>
      </c>
      <c r="N27" s="0" t="n">
        <f aca="false">N26*Inputs!$B$19</f>
        <v>0</v>
      </c>
      <c r="O27" s="0" t="n">
        <f aca="false">O26*Inputs!$B$19</f>
        <v>12685328.625</v>
      </c>
      <c r="P27" s="0" t="n">
        <f aca="false">P26*Inputs!$B$19</f>
        <v>12156773.265625</v>
      </c>
      <c r="Q27" s="0" t="n">
        <f aca="false">Q26*Inputs!$B$19</f>
        <v>10042551.828125</v>
      </c>
      <c r="R27" s="0" t="n">
        <f aca="false">R26*Inputs!$B$19</f>
        <v>7399775.03125</v>
      </c>
      <c r="S27" s="0" t="n">
        <f aca="false">S26*Inputs!$B$19</f>
        <v>15012430.29</v>
      </c>
      <c r="T27" s="0" t="n">
        <f aca="false">T26*Inputs!$B$19</f>
        <v>14386912.36125</v>
      </c>
      <c r="U27" s="0" t="n">
        <f aca="false">U26*Inputs!$B$19</f>
        <v>11884840.64625</v>
      </c>
      <c r="V27" s="0" t="n">
        <f aca="false">V26*Inputs!$B$19</f>
        <v>8757251.0025</v>
      </c>
      <c r="W27" s="0" t="n">
        <f aca="false">W26*Inputs!$B$19</f>
        <v>17032284.5472</v>
      </c>
      <c r="X27" s="0" t="n">
        <f aca="false">X26*Inputs!$B$19</f>
        <v>16322606.0244</v>
      </c>
      <c r="Y27" s="0" t="n">
        <f aca="false">Y26*Inputs!$B$19</f>
        <v>13483891.9332</v>
      </c>
      <c r="Z27" s="0" t="n">
        <f aca="false">Z26*Inputs!$B$19</f>
        <v>9935499.3192</v>
      </c>
      <c r="AA27" s="0" t="n">
        <f aca="false">AA26*Inputs!$B$19</f>
        <v>18205619.704896</v>
      </c>
      <c r="AB27" s="0" t="n">
        <f aca="false">AB26*Inputs!$B$19</f>
        <v>17447052.217192</v>
      </c>
      <c r="AC27" s="0" t="n">
        <f aca="false">AC26*Inputs!$B$19</f>
        <v>14412782.266376</v>
      </c>
      <c r="AD27" s="0" t="n">
        <f aca="false">AD26*Inputs!$B$19</f>
        <v>10619944.827856</v>
      </c>
      <c r="AE27" s="0" t="n">
        <f aca="false">AE26*Inputs!$B$19</f>
        <v>18933844.4930918</v>
      </c>
      <c r="AF27" s="0" t="n">
        <f aca="false">AF26*Inputs!$B$19</f>
        <v>18144934.3058797</v>
      </c>
      <c r="AG27" s="0" t="n">
        <f aca="false">AG26*Inputs!$B$19</f>
        <v>14989293.557031</v>
      </c>
      <c r="AH27" s="0" t="n">
        <f aca="false">AH26*Inputs!$B$19</f>
        <v>11044742.6209702</v>
      </c>
    </row>
    <row r="28" customFormat="false" ht="15" hidden="false" customHeight="false" outlineLevel="0" collapsed="false">
      <c r="A28" s="0" t="s">
        <v>60</v>
      </c>
      <c r="B28" s="0" t="n">
        <f aca="false">B26*Inputs!$B$20</f>
        <v>0</v>
      </c>
      <c r="C28" s="0" t="n">
        <f aca="false">C26*Inputs!$B$20</f>
        <v>0</v>
      </c>
      <c r="D28" s="0" t="n">
        <f aca="false">D26*Inputs!$B$20</f>
        <v>0</v>
      </c>
      <c r="E28" s="0" t="n">
        <f aca="false">E26*Inputs!$B$20</f>
        <v>0</v>
      </c>
      <c r="F28" s="0" t="n">
        <f aca="false">F26*Inputs!$B$20</f>
        <v>0</v>
      </c>
      <c r="G28" s="0" t="n">
        <f aca="false">G26*Inputs!$B$20</f>
        <v>0</v>
      </c>
      <c r="H28" s="0" t="n">
        <f aca="false">H26*Inputs!$B$20</f>
        <v>0</v>
      </c>
      <c r="I28" s="0" t="n">
        <f aca="false">I26*Inputs!$B$20</f>
        <v>0</v>
      </c>
      <c r="J28" s="0" t="n">
        <f aca="false">J26*Inputs!$B$20</f>
        <v>0</v>
      </c>
      <c r="K28" s="0" t="n">
        <f aca="false">K26*Inputs!$B$20</f>
        <v>0</v>
      </c>
      <c r="L28" s="0" t="n">
        <f aca="false">L26*Inputs!$B$20</f>
        <v>0</v>
      </c>
      <c r="M28" s="0" t="n">
        <f aca="false">M26*Inputs!$B$20</f>
        <v>0</v>
      </c>
      <c r="N28" s="0" t="n">
        <f aca="false">N26*Inputs!$B$20</f>
        <v>0</v>
      </c>
      <c r="O28" s="0" t="n">
        <f aca="false">O26*Inputs!$B$20</f>
        <v>1001473.3125</v>
      </c>
      <c r="P28" s="0" t="n">
        <f aca="false">P26*Inputs!$B$20</f>
        <v>959745.2578125</v>
      </c>
      <c r="Q28" s="0" t="n">
        <f aca="false">Q26*Inputs!$B$20</f>
        <v>792833.0390625</v>
      </c>
      <c r="R28" s="0" t="n">
        <f aca="false">R26*Inputs!$B$20</f>
        <v>584192.765625</v>
      </c>
      <c r="S28" s="0" t="n">
        <f aca="false">S26*Inputs!$B$20</f>
        <v>1185191.865</v>
      </c>
      <c r="T28" s="0" t="n">
        <f aca="false">T26*Inputs!$B$20</f>
        <v>1135808.870625</v>
      </c>
      <c r="U28" s="0" t="n">
        <f aca="false">U26*Inputs!$B$20</f>
        <v>938276.893125</v>
      </c>
      <c r="V28" s="0" t="n">
        <f aca="false">V26*Inputs!$B$20</f>
        <v>691361.92125</v>
      </c>
      <c r="W28" s="0" t="n">
        <f aca="false">W26*Inputs!$B$20</f>
        <v>1344654.0432</v>
      </c>
      <c r="X28" s="0" t="n">
        <f aca="false">X26*Inputs!$B$20</f>
        <v>1288626.7914</v>
      </c>
      <c r="Y28" s="0" t="n">
        <f aca="false">Y26*Inputs!$B$20</f>
        <v>1064517.7842</v>
      </c>
      <c r="Z28" s="0" t="n">
        <f aca="false">Z26*Inputs!$B$20</f>
        <v>784381.5252</v>
      </c>
      <c r="AA28" s="0" t="n">
        <f aca="false">AA26*Inputs!$B$20</f>
        <v>1437285.766176</v>
      </c>
      <c r="AB28" s="0" t="n">
        <f aca="false">AB26*Inputs!$B$20</f>
        <v>1377398.859252</v>
      </c>
      <c r="AC28" s="0" t="n">
        <f aca="false">AC26*Inputs!$B$20</f>
        <v>1137851.231556</v>
      </c>
      <c r="AD28" s="0" t="n">
        <f aca="false">AD26*Inputs!$B$20</f>
        <v>838416.696936</v>
      </c>
      <c r="AE28" s="0" t="n">
        <f aca="false">AE26*Inputs!$B$20</f>
        <v>1494777.19682304</v>
      </c>
      <c r="AF28" s="0" t="n">
        <f aca="false">AF26*Inputs!$B$20</f>
        <v>1432494.81362208</v>
      </c>
      <c r="AG28" s="0" t="n">
        <f aca="false">AG26*Inputs!$B$20</f>
        <v>1183365.28081824</v>
      </c>
      <c r="AH28" s="0" t="n">
        <f aca="false">AH26*Inputs!$B$20</f>
        <v>871953.36481344</v>
      </c>
    </row>
    <row r="29" customFormat="false" ht="15" hidden="false" customHeight="false" outlineLevel="0" collapsed="false">
      <c r="A29" s="0" t="s">
        <v>61</v>
      </c>
      <c r="B29" s="0" t="n">
        <f aca="false">IF(B21=1,B26*CHOOSE(MIN(3,B22),0.02,0.03,0.04),0)</f>
        <v>0</v>
      </c>
      <c r="C29" s="0" t="n">
        <f aca="false">IF(C21=1,C26*CHOOSE(MIN(3,C22),0.02,0.03,0.04),0)</f>
        <v>0</v>
      </c>
      <c r="D29" s="0" t="n">
        <f aca="false">IF(D21=1,D26*CHOOSE(MIN(3,D22),0.02,0.03,0.04),0)</f>
        <v>0</v>
      </c>
      <c r="E29" s="0" t="n">
        <f aca="false">IF(E21=1,E26*CHOOSE(MIN(3,E22),0.02,0.03,0.04),0)</f>
        <v>0</v>
      </c>
      <c r="F29" s="0" t="n">
        <f aca="false">IF(F21=1,F26*CHOOSE(MIN(3,F22),0.02,0.03,0.04),0)</f>
        <v>0</v>
      </c>
      <c r="G29" s="0" t="n">
        <f aca="false">IF(G21=1,G26*CHOOSE(MIN(3,G22),0.02,0.03,0.04),0)</f>
        <v>0</v>
      </c>
      <c r="H29" s="0" t="n">
        <f aca="false">IF(H21=1,H26*CHOOSE(MIN(3,H22),0.02,0.03,0.04),0)</f>
        <v>0</v>
      </c>
      <c r="I29" s="0" t="n">
        <f aca="false">IF(I21=1,I26*CHOOSE(MIN(3,I22),0.02,0.03,0.04),0)</f>
        <v>0</v>
      </c>
      <c r="J29" s="0" t="n">
        <f aca="false">IF(J21=1,J26*CHOOSE(MIN(3,J22),0.02,0.03,0.04),0)</f>
        <v>0</v>
      </c>
      <c r="K29" s="0" t="n">
        <f aca="false">IF(K21=1,K26*CHOOSE(MIN(3,K22),0.02,0.03,0.04),0)</f>
        <v>0</v>
      </c>
      <c r="L29" s="0" t="n">
        <f aca="false">IF(L21=1,L26*CHOOSE(MIN(3,L22),0.02,0.03,0.04),0)</f>
        <v>0</v>
      </c>
      <c r="M29" s="0" t="n">
        <f aca="false">IF(M21=1,M26*CHOOSE(MIN(3,M22),0.02,0.03,0.04),0)</f>
        <v>0</v>
      </c>
      <c r="N29" s="0" t="n">
        <f aca="false">IF(N21=1,N26*CHOOSE(MIN(3,N22),0.02,0.03,0.04),0)</f>
        <v>0</v>
      </c>
      <c r="O29" s="0" t="n">
        <f aca="false">IF(O21=1,O26*CHOOSE(MIN(3,O22),0.02,0.03,0.04),0)</f>
        <v>667648.875</v>
      </c>
      <c r="P29" s="0" t="n">
        <f aca="false">IF(P21=1,P26*CHOOSE(MIN(3,P22),0.02,0.03,0.04),0)</f>
        <v>639830.171875</v>
      </c>
      <c r="Q29" s="0" t="n">
        <f aca="false">IF(Q21=1,Q26*CHOOSE(MIN(3,Q22),0.02,0.03,0.04),0)</f>
        <v>528555.359375</v>
      </c>
      <c r="R29" s="0" t="n">
        <f aca="false">IF(R21=1,R26*CHOOSE(MIN(3,R22),0.02,0.03,0.04),0)</f>
        <v>389461.84375</v>
      </c>
      <c r="S29" s="0" t="n">
        <f aca="false">IF(S21=1,S26*CHOOSE(MIN(3,S22),0.02,0.03,0.04),0)</f>
        <v>1185191.865</v>
      </c>
      <c r="T29" s="0" t="n">
        <f aca="false">IF(T21=1,T26*CHOOSE(MIN(3,T22),0.02,0.03,0.04),0)</f>
        <v>1135808.870625</v>
      </c>
      <c r="U29" s="0" t="n">
        <f aca="false">IF(U21=1,U26*CHOOSE(MIN(3,U22),0.02,0.03,0.04),0)</f>
        <v>938276.893125</v>
      </c>
      <c r="V29" s="0" t="n">
        <f aca="false">IF(V21=1,V26*CHOOSE(MIN(3,V22),0.02,0.03,0.04),0)</f>
        <v>691361.92125</v>
      </c>
      <c r="W29" s="0" t="n">
        <f aca="false">IF(W21=1,W26*CHOOSE(MIN(3,W22),0.02,0.03,0.04),0)</f>
        <v>1792872.0576</v>
      </c>
      <c r="X29" s="0" t="n">
        <f aca="false">IF(X21=1,X26*CHOOSE(MIN(3,X22),0.02,0.03,0.04),0)</f>
        <v>1718169.0552</v>
      </c>
      <c r="Y29" s="0" t="n">
        <f aca="false">IF(Y21=1,Y26*CHOOSE(MIN(3,Y22),0.02,0.03,0.04),0)</f>
        <v>1419357.0456</v>
      </c>
      <c r="Z29" s="0" t="n">
        <f aca="false">IF(Z21=1,Z26*CHOOSE(MIN(3,Z22),0.02,0.03,0.04),0)</f>
        <v>1045842.0336</v>
      </c>
      <c r="AA29" s="0" t="n">
        <f aca="false">IF(AA21=1,AA26*CHOOSE(MIN(3,AA22),0.02,0.03,0.04),0)</f>
        <v>1916381.021568</v>
      </c>
      <c r="AB29" s="0" t="n">
        <f aca="false">IF(AB21=1,AB26*CHOOSE(MIN(3,AB22),0.02,0.03,0.04),0)</f>
        <v>1836531.812336</v>
      </c>
      <c r="AC29" s="0" t="n">
        <f aca="false">IF(AC21=1,AC26*CHOOSE(MIN(3,AC22),0.02,0.03,0.04),0)</f>
        <v>1517134.975408</v>
      </c>
      <c r="AD29" s="0" t="n">
        <f aca="false">IF(AD21=1,AD26*CHOOSE(MIN(3,AD22),0.02,0.03,0.04),0)</f>
        <v>1117888.929248</v>
      </c>
      <c r="AE29" s="0" t="n">
        <f aca="false">IF(AE21=1,AE26*CHOOSE(MIN(3,AE22),0.02,0.03,0.04),0)</f>
        <v>1993036.26243072</v>
      </c>
      <c r="AF29" s="0" t="n">
        <f aca="false">IF(AF21=1,AF26*CHOOSE(MIN(3,AF22),0.02,0.03,0.04),0)</f>
        <v>1909993.08482944</v>
      </c>
      <c r="AG29" s="0" t="n">
        <f aca="false">IF(AG21=1,AG26*CHOOSE(MIN(3,AG22),0.02,0.03,0.04),0)</f>
        <v>1577820.37442432</v>
      </c>
      <c r="AH29" s="0" t="n">
        <f aca="false">IF(AH21=1,AH26*CHOOSE(MIN(3,AH22),0.02,0.03,0.04),0)</f>
        <v>1162604.48641792</v>
      </c>
    </row>
    <row r="30" customFormat="false" ht="15" hidden="false" customHeight="false" outlineLevel="0" collapsed="false">
      <c r="A30" s="0" t="s">
        <v>62</v>
      </c>
      <c r="B30" s="0" t="n">
        <f aca="false">B21*Inputs!$B$14*Inputs!$B$15*Inputs!$B$21/4</f>
        <v>0</v>
      </c>
      <c r="C30" s="0" t="n">
        <f aca="false">C21*Inputs!$B$14*Inputs!$B$15*Inputs!$B$21/4</f>
        <v>0</v>
      </c>
      <c r="D30" s="0" t="n">
        <f aca="false">D21*Inputs!$B$14*Inputs!$B$15*Inputs!$B$21/4</f>
        <v>0</v>
      </c>
      <c r="E30" s="0" t="n">
        <f aca="false">E21*Inputs!$B$14*Inputs!$B$15*Inputs!$B$21/4</f>
        <v>0</v>
      </c>
      <c r="F30" s="0" t="n">
        <f aca="false">F21*Inputs!$B$14*Inputs!$B$15*Inputs!$B$21/4</f>
        <v>0</v>
      </c>
      <c r="G30" s="0" t="n">
        <f aca="false">G21*Inputs!$B$14*Inputs!$B$15*Inputs!$B$21/4</f>
        <v>0</v>
      </c>
      <c r="H30" s="0" t="n">
        <f aca="false">H21*Inputs!$B$14*Inputs!$B$15*Inputs!$B$21/4</f>
        <v>0</v>
      </c>
      <c r="I30" s="0" t="n">
        <f aca="false">I21*Inputs!$B$14*Inputs!$B$15*Inputs!$B$21/4</f>
        <v>0</v>
      </c>
      <c r="J30" s="0" t="n">
        <f aca="false">J21*Inputs!$B$14*Inputs!$B$15*Inputs!$B$21/4</f>
        <v>0</v>
      </c>
      <c r="K30" s="0" t="n">
        <f aca="false">K21*Inputs!$B$14*Inputs!$B$15*Inputs!$B$21/4</f>
        <v>0</v>
      </c>
      <c r="L30" s="0" t="n">
        <f aca="false">L21*Inputs!$B$14*Inputs!$B$15*Inputs!$B$21/4</f>
        <v>0</v>
      </c>
      <c r="M30" s="0" t="n">
        <f aca="false">M21*Inputs!$B$14*Inputs!$B$15*Inputs!$B$21/4</f>
        <v>0</v>
      </c>
      <c r="N30" s="0" t="n">
        <f aca="false">N21*Inputs!$B$14*Inputs!$B$15*Inputs!$B$21/4</f>
        <v>0</v>
      </c>
      <c r="O30" s="0" t="n">
        <f aca="false">O21*Inputs!$B$14*Inputs!$B$15*Inputs!$B$21/4</f>
        <v>11875000</v>
      </c>
      <c r="P30" s="0" t="n">
        <f aca="false">P21*Inputs!$B$14*Inputs!$B$15*Inputs!$B$21/4</f>
        <v>11875000</v>
      </c>
      <c r="Q30" s="0" t="n">
        <f aca="false">Q21*Inputs!$B$14*Inputs!$B$15*Inputs!$B$21/4</f>
        <v>11875000</v>
      </c>
      <c r="R30" s="0" t="n">
        <f aca="false">R21*Inputs!$B$14*Inputs!$B$15*Inputs!$B$21/4</f>
        <v>11875000</v>
      </c>
      <c r="S30" s="0" t="n">
        <f aca="false">S21*Inputs!$B$14*Inputs!$B$15*Inputs!$B$21/4</f>
        <v>11875000</v>
      </c>
      <c r="T30" s="0" t="n">
        <f aca="false">T21*Inputs!$B$14*Inputs!$B$15*Inputs!$B$21/4</f>
        <v>11875000</v>
      </c>
      <c r="U30" s="0" t="n">
        <f aca="false">U21*Inputs!$B$14*Inputs!$B$15*Inputs!$B$21/4</f>
        <v>11875000</v>
      </c>
      <c r="V30" s="0" t="n">
        <f aca="false">V21*Inputs!$B$14*Inputs!$B$15*Inputs!$B$21/4</f>
        <v>11875000</v>
      </c>
      <c r="W30" s="0" t="n">
        <f aca="false">W21*Inputs!$B$14*Inputs!$B$15*Inputs!$B$21/4</f>
        <v>11875000</v>
      </c>
      <c r="X30" s="0" t="n">
        <f aca="false">X21*Inputs!$B$14*Inputs!$B$15*Inputs!$B$21/4</f>
        <v>11875000</v>
      </c>
      <c r="Y30" s="0" t="n">
        <f aca="false">Y21*Inputs!$B$14*Inputs!$B$15*Inputs!$B$21/4</f>
        <v>11875000</v>
      </c>
      <c r="Z30" s="0" t="n">
        <f aca="false">Z21*Inputs!$B$14*Inputs!$B$15*Inputs!$B$21/4</f>
        <v>11875000</v>
      </c>
      <c r="AA30" s="0" t="n">
        <f aca="false">AA21*Inputs!$B$14*Inputs!$B$15*Inputs!$B$21/4</f>
        <v>11875000</v>
      </c>
      <c r="AB30" s="0" t="n">
        <f aca="false">AB21*Inputs!$B$14*Inputs!$B$15*Inputs!$B$21/4</f>
        <v>11875000</v>
      </c>
      <c r="AC30" s="0" t="n">
        <f aca="false">AC21*Inputs!$B$14*Inputs!$B$15*Inputs!$B$21/4</f>
        <v>11875000</v>
      </c>
      <c r="AD30" s="0" t="n">
        <f aca="false">AD21*Inputs!$B$14*Inputs!$B$15*Inputs!$B$21/4</f>
        <v>11875000</v>
      </c>
      <c r="AE30" s="0" t="n">
        <f aca="false">AE21*Inputs!$B$14*Inputs!$B$15*Inputs!$B$21/4</f>
        <v>11875000</v>
      </c>
      <c r="AF30" s="0" t="n">
        <f aca="false">AF21*Inputs!$B$14*Inputs!$B$15*Inputs!$B$21/4</f>
        <v>11875000</v>
      </c>
      <c r="AG30" s="0" t="n">
        <f aca="false">AG21*Inputs!$B$14*Inputs!$B$15*Inputs!$B$21/4</f>
        <v>11875000</v>
      </c>
      <c r="AH30" s="0" t="n">
        <f aca="false">AH21*Inputs!$B$14*Inputs!$B$15*Inputs!$B$21/4</f>
        <v>11875000</v>
      </c>
    </row>
    <row r="31" customFormat="false" ht="15" hidden="false" customHeight="false" outlineLevel="0" collapsed="false">
      <c r="A31" s="0" t="s">
        <v>63</v>
      </c>
      <c r="B31" s="0" t="n">
        <f aca="false">MAX(0,B27-B28-B29-B30)*Inputs!$B$22</f>
        <v>0</v>
      </c>
      <c r="C31" s="0" t="n">
        <f aca="false">MAX(0,C27-C28-C29-C30)*Inputs!$B$22</f>
        <v>0</v>
      </c>
      <c r="D31" s="0" t="n">
        <f aca="false">MAX(0,D27-D28-D29-D30)*Inputs!$B$22</f>
        <v>0</v>
      </c>
      <c r="E31" s="0" t="n">
        <f aca="false">MAX(0,E27-E28-E29-E30)*Inputs!$B$22</f>
        <v>0</v>
      </c>
      <c r="F31" s="0" t="n">
        <f aca="false">MAX(0,F27-F28-F29-F30)*Inputs!$B$22</f>
        <v>0</v>
      </c>
      <c r="G31" s="0" t="n">
        <f aca="false">MAX(0,G27-G28-G29-G30)*Inputs!$B$22</f>
        <v>0</v>
      </c>
      <c r="H31" s="0" t="n">
        <f aca="false">MAX(0,H27-H28-H29-H30)*Inputs!$B$22</f>
        <v>0</v>
      </c>
      <c r="I31" s="0" t="n">
        <f aca="false">MAX(0,I27-I28-I29-I30)*Inputs!$B$22</f>
        <v>0</v>
      </c>
      <c r="J31" s="0" t="n">
        <f aca="false">MAX(0,J27-J28-J29-J30)*Inputs!$B$22</f>
        <v>0</v>
      </c>
      <c r="K31" s="0" t="n">
        <f aca="false">MAX(0,K27-K28-K29-K30)*Inputs!$B$22</f>
        <v>0</v>
      </c>
      <c r="L31" s="0" t="n">
        <f aca="false">MAX(0,L27-L28-L29-L30)*Inputs!$B$22</f>
        <v>0</v>
      </c>
      <c r="M31" s="0" t="n">
        <f aca="false">MAX(0,M27-M28-M29-M30)*Inputs!$B$22</f>
        <v>0</v>
      </c>
      <c r="N31" s="0" t="n">
        <f aca="false">MAX(0,N27-N28-N29-N30)*Inputs!$B$22</f>
        <v>0</v>
      </c>
      <c r="O31" s="0" t="n">
        <f aca="false">MAX(0,O27-O28-O29-O30)*Inputs!$B$22</f>
        <v>0</v>
      </c>
      <c r="P31" s="0" t="n">
        <f aca="false">MAX(0,P27-P28-P29-P30)*Inputs!$B$22</f>
        <v>0</v>
      </c>
      <c r="Q31" s="0" t="n">
        <f aca="false">MAX(0,Q27-Q28-Q29-Q30)*Inputs!$B$22</f>
        <v>0</v>
      </c>
      <c r="R31" s="0" t="n">
        <f aca="false">MAX(0,R27-R28-R29-R30)*Inputs!$B$22</f>
        <v>0</v>
      </c>
      <c r="S31" s="0" t="n">
        <f aca="false">MAX(0,S27-S28-S29-S30)*Inputs!$B$22</f>
        <v>61363.7248</v>
      </c>
      <c r="T31" s="0" t="n">
        <f aca="false">MAX(0,T27-T28-T29-T30)*Inputs!$B$22</f>
        <v>19223.5695999999</v>
      </c>
      <c r="U31" s="0" t="n">
        <f aca="false">MAX(0,U27-U28-U29-U30)*Inputs!$B$22</f>
        <v>0</v>
      </c>
      <c r="V31" s="0" t="n">
        <f aca="false">MAX(0,V27-V28-V29-V30)*Inputs!$B$22</f>
        <v>0</v>
      </c>
      <c r="W31" s="0" t="n">
        <f aca="false">MAX(0,W27-W28-W29-W30)*Inputs!$B$22</f>
        <v>161580.675712</v>
      </c>
      <c r="X31" s="0" t="n">
        <f aca="false">MAX(0,X27-X28-X29-X30)*Inputs!$B$22</f>
        <v>115264.814224</v>
      </c>
      <c r="Y31" s="0" t="n">
        <f aca="false">MAX(0,Y27-Y28-Y29-Y30)*Inputs!$B$22</f>
        <v>0</v>
      </c>
      <c r="Z31" s="0" t="n">
        <f aca="false">MAX(0,Z27-Z28-Z29-Z30)*Inputs!$B$22</f>
        <v>0</v>
      </c>
      <c r="AA31" s="0" t="n">
        <f aca="false">MAX(0,AA27-AA28-AA29-AA30)*Inputs!$B$22</f>
        <v>238156.23337216</v>
      </c>
      <c r="AB31" s="0" t="n">
        <f aca="false">MAX(0,AB27-AB28-AB29-AB30)*Inputs!$B$22</f>
        <v>188649.72364832</v>
      </c>
      <c r="AC31" s="0" t="n">
        <f aca="false">MAX(0,AC27-AC28-AC29-AC30)*Inputs!$B$22</f>
        <v>0</v>
      </c>
      <c r="AD31" s="0" t="n">
        <f aca="false">MAX(0,AD27-AD28-AD29-AD30)*Inputs!$B$22</f>
        <v>0</v>
      </c>
      <c r="AE31" s="0" t="n">
        <f aca="false">MAX(0,AE27-AE28-AE29-AE30)*Inputs!$B$22</f>
        <v>285682.482707047</v>
      </c>
      <c r="AF31" s="0" t="n">
        <f aca="false">MAX(0,AF27-AF28-AF29-AF30)*Inputs!$B$22</f>
        <v>234195.712594253</v>
      </c>
      <c r="AG31" s="0" t="n">
        <f aca="false">MAX(0,AG27-AG28-AG29-AG30)*Inputs!$B$22</f>
        <v>28248.6321430785</v>
      </c>
      <c r="AH31" s="0" t="n">
        <f aca="false">MAX(0,AH27-AH28-AH29-AH30)*Inputs!$B$22</f>
        <v>0</v>
      </c>
    </row>
    <row r="32" customFormat="false" ht="15" hidden="false" customHeight="false" outlineLevel="0" collapsed="false">
      <c r="A32" s="0" t="s">
        <v>64</v>
      </c>
      <c r="B32" s="0" t="n">
        <f aca="false">B27-B28-B29-B31</f>
        <v>0</v>
      </c>
      <c r="C32" s="0" t="n">
        <f aca="false">C27-C28-C29-C31</f>
        <v>0</v>
      </c>
      <c r="D32" s="0" t="n">
        <f aca="false">D27-D28-D29-D31</f>
        <v>0</v>
      </c>
      <c r="E32" s="0" t="n">
        <f aca="false">E27-E28-E29-E31</f>
        <v>0</v>
      </c>
      <c r="F32" s="0" t="n">
        <f aca="false">F27-F28-F29-F31</f>
        <v>0</v>
      </c>
      <c r="G32" s="0" t="n">
        <f aca="false">G27-G28-G29-G31</f>
        <v>0</v>
      </c>
      <c r="H32" s="0" t="n">
        <f aca="false">H27-H28-H29-H31</f>
        <v>0</v>
      </c>
      <c r="I32" s="0" t="n">
        <f aca="false">I27-I28-I29-I31</f>
        <v>0</v>
      </c>
      <c r="J32" s="0" t="n">
        <f aca="false">J27-J28-J29-J31</f>
        <v>0</v>
      </c>
      <c r="K32" s="0" t="n">
        <f aca="false">K27-K28-K29-K31</f>
        <v>0</v>
      </c>
      <c r="L32" s="0" t="n">
        <f aca="false">L27-L28-L29-L31</f>
        <v>0</v>
      </c>
      <c r="M32" s="0" t="n">
        <f aca="false">M27-M28-M29-M31</f>
        <v>0</v>
      </c>
      <c r="N32" s="0" t="n">
        <f aca="false">N27-N28-N29-N31</f>
        <v>0</v>
      </c>
      <c r="O32" s="0" t="n">
        <f aca="false">O27-O28-O29-O31</f>
        <v>11016206.4375</v>
      </c>
      <c r="P32" s="0" t="n">
        <f aca="false">P27-P28-P29-P31</f>
        <v>10557197.8359375</v>
      </c>
      <c r="Q32" s="0" t="n">
        <f aca="false">Q27-Q28-Q29-Q31</f>
        <v>8721163.4296875</v>
      </c>
      <c r="R32" s="0" t="n">
        <f aca="false">R27-R28-R29-R31</f>
        <v>6426120.421875</v>
      </c>
      <c r="S32" s="0" t="n">
        <f aca="false">S27-S28-S29-S31</f>
        <v>12580682.8352</v>
      </c>
      <c r="T32" s="0" t="n">
        <f aca="false">T27-T28-T29-T31</f>
        <v>12096071.0504</v>
      </c>
      <c r="U32" s="0" t="n">
        <f aca="false">U27-U28-U29-U31</f>
        <v>10008286.86</v>
      </c>
      <c r="V32" s="0" t="n">
        <f aca="false">V27-V28-V29-V31</f>
        <v>7374527.16</v>
      </c>
      <c r="W32" s="0" t="n">
        <f aca="false">W27-W28-W29-W31</f>
        <v>13733177.770688</v>
      </c>
      <c r="X32" s="0" t="n">
        <f aca="false">X27-X28-X29-X31</f>
        <v>13200545.363576</v>
      </c>
      <c r="Y32" s="0" t="n">
        <f aca="false">Y27-Y28-Y29-Y31</f>
        <v>11000017.1034</v>
      </c>
      <c r="Z32" s="0" t="n">
        <f aca="false">Z27-Z28-Z29-Z31</f>
        <v>8105275.7604</v>
      </c>
      <c r="AA32" s="0" t="n">
        <f aca="false">AA27-AA28-AA29-AA31</f>
        <v>14613796.6837798</v>
      </c>
      <c r="AB32" s="0" t="n">
        <f aca="false">AB27-AB28-AB29-AB31</f>
        <v>14044471.8219557</v>
      </c>
      <c r="AC32" s="0" t="n">
        <f aca="false">AC27-AC28-AC29-AC31</f>
        <v>11757796.059412</v>
      </c>
      <c r="AD32" s="0" t="n">
        <f aca="false">AD27-AD28-AD29-AD31</f>
        <v>8663639.201672</v>
      </c>
      <c r="AE32" s="0" t="n">
        <f aca="false">AE27-AE28-AE29-AE31</f>
        <v>15160348.551131</v>
      </c>
      <c r="AF32" s="0" t="n">
        <f aca="false">AF27-AF28-AF29-AF31</f>
        <v>14568250.6948339</v>
      </c>
      <c r="AG32" s="0" t="n">
        <f aca="false">AG27-AG28-AG29-AG31</f>
        <v>12199859.2696454</v>
      </c>
      <c r="AH32" s="0" t="n">
        <f aca="false">AH27-AH28-AH29-AH31</f>
        <v>9010184.76973888</v>
      </c>
    </row>
    <row r="33" customFormat="false" ht="15" hidden="false" customHeight="false" outlineLevel="0" collapsed="false">
      <c r="A33" s="0" t="s">
        <v>65</v>
      </c>
      <c r="B33" s="0" t="n">
        <f aca="false">B15-B17-B18-B19-B20+B32</f>
        <v>-260000000</v>
      </c>
      <c r="C33" s="0" t="n">
        <f aca="false">C15-C17-C18-C19-C20+C32</f>
        <v>-40828753.3333333</v>
      </c>
      <c r="D33" s="0" t="n">
        <f aca="false">D15-D17-D18-D19-D20+D32</f>
        <v>-40413613.3333333</v>
      </c>
      <c r="E33" s="0" t="n">
        <f aca="false">E15-E17-E18-E19-E20+E32</f>
        <v>-56445343.3333333</v>
      </c>
      <c r="F33" s="0" t="n">
        <f aca="false">F15-F17-F18-F19-F20+F32</f>
        <v>-43388783.3333333</v>
      </c>
      <c r="G33" s="0" t="n">
        <f aca="false">G15-G17-G18-G19-G20+G32</f>
        <v>-40551993.3333333</v>
      </c>
      <c r="H33" s="0" t="n">
        <f aca="false">H15-H17-H18-H19-H20+H32</f>
        <v>-44772583.3333333</v>
      </c>
      <c r="I33" s="0" t="n">
        <f aca="false">I15-I17-I18-I19-I20+I32</f>
        <v>-40828753.3333333</v>
      </c>
      <c r="J33" s="0" t="n">
        <f aca="false">J15-J17-J18-J19-J20+J32</f>
        <v>-45879623.3333333</v>
      </c>
      <c r="K33" s="0" t="n">
        <f aca="false">K15-K17-K18-K19-K20+K32</f>
        <v>-40967133.3333333</v>
      </c>
      <c r="L33" s="0" t="n">
        <f aca="false">L15-L17-L18-L19-L20+L32</f>
        <v>-46709903.3333333</v>
      </c>
      <c r="M33" s="0" t="n">
        <f aca="false">M15-M17-M18-M19-M20+M32</f>
        <v>-40967133.3333333</v>
      </c>
      <c r="N33" s="0" t="n">
        <f aca="false">N15-N17-N18-N19-N20+N32</f>
        <v>734998716.666667</v>
      </c>
      <c r="O33" s="0" t="n">
        <f aca="false">O15-O17-O18-O19-O20+O32</f>
        <v>50454506.4375</v>
      </c>
      <c r="P33" s="0" t="n">
        <f aca="false">P15-P17-P18-P19-P20+P32</f>
        <v>36849397.8359375</v>
      </c>
      <c r="Q33" s="0" t="n">
        <f aca="false">Q15-Q17-Q18-Q19-Q20+Q32</f>
        <v>35013363.4296875</v>
      </c>
      <c r="R33" s="0" t="n">
        <f aca="false">R15-R17-R18-R19-R20+R32</f>
        <v>32718320.421875</v>
      </c>
      <c r="S33" s="0" t="n">
        <f aca="false">S15-S17-S18-S19-S20+S32</f>
        <v>12580682.8352</v>
      </c>
      <c r="T33" s="0" t="n">
        <f aca="false">T15-T17-T18-T19-T20+T32</f>
        <v>12096071.0504</v>
      </c>
      <c r="U33" s="0" t="n">
        <f aca="false">U15-U17-U18-U19-U20+U32</f>
        <v>10008286.86</v>
      </c>
      <c r="V33" s="0" t="n">
        <f aca="false">V15-V17-V18-V19-V20+V32</f>
        <v>7374527.16</v>
      </c>
      <c r="W33" s="0" t="n">
        <f aca="false">W15-W17-W18-W19-W20+W32</f>
        <v>13733177.770688</v>
      </c>
      <c r="X33" s="0" t="n">
        <f aca="false">X15-X17-X18-X19-X20+X32</f>
        <v>13200545.363576</v>
      </c>
      <c r="Y33" s="0" t="n">
        <f aca="false">Y15-Y17-Y18-Y19-Y20+Y32</f>
        <v>11000017.1034</v>
      </c>
      <c r="Z33" s="0" t="n">
        <f aca="false">Z15-Z17-Z18-Z19-Z20+Z32</f>
        <v>8105275.7604</v>
      </c>
      <c r="AA33" s="0" t="n">
        <f aca="false">AA15-AA17-AA18-AA19-AA20+AA32</f>
        <v>14613796.6837798</v>
      </c>
      <c r="AB33" s="0" t="n">
        <f aca="false">AB15-AB17-AB18-AB19-AB20+AB32</f>
        <v>14044471.8219557</v>
      </c>
      <c r="AC33" s="0" t="n">
        <f aca="false">AC15-AC17-AC18-AC19-AC20+AC32</f>
        <v>11757796.059412</v>
      </c>
      <c r="AD33" s="0" t="n">
        <f aca="false">AD15-AD17-AD18-AD19-AD20+AD32</f>
        <v>8663639.201672</v>
      </c>
      <c r="AE33" s="0" t="n">
        <f aca="false">AE15-AE17-AE18-AE19-AE20+AE32</f>
        <v>15160348.551131</v>
      </c>
      <c r="AF33" s="0" t="n">
        <f aca="false">AF15-AF17-AF18-AF19-AF20+AF32</f>
        <v>14568250.6948339</v>
      </c>
      <c r="AG33" s="0" t="n">
        <f aca="false">AG15-AG17-AG18-AG19-AG20+AG32</f>
        <v>12199859.2696454</v>
      </c>
      <c r="AH33" s="0" t="n">
        <f aca="false">AH15-AH17-AH18-AH19-AH20+AH32</f>
        <v>9010184.76973888</v>
      </c>
    </row>
    <row r="34" customFormat="false" ht="15" hidden="false" customHeight="false" outlineLevel="0" collapsed="false">
      <c r="A34" s="0" t="s">
        <v>66</v>
      </c>
      <c r="B34" s="0" t="n">
        <f aca="false">0</f>
        <v>0</v>
      </c>
      <c r="C34" s="0" t="n">
        <f aca="false">B39</f>
        <v>0</v>
      </c>
      <c r="D34" s="0" t="n">
        <f aca="false">C39</f>
        <v>0</v>
      </c>
      <c r="E34" s="0" t="n">
        <f aca="false">D39</f>
        <v>0</v>
      </c>
      <c r="F34" s="0" t="n">
        <f aca="false">E39</f>
        <v>0</v>
      </c>
      <c r="G34" s="0" t="n">
        <f aca="false">F39</f>
        <v>21076493.3333333</v>
      </c>
      <c r="H34" s="0" t="n">
        <f aca="false">G39</f>
        <v>62023670.9166667</v>
      </c>
      <c r="I34" s="0" t="n">
        <f aca="false">H39</f>
        <v>107959198.079688</v>
      </c>
      <c r="J34" s="0" t="n">
        <f aca="false">I39</f>
        <v>150812186.377015</v>
      </c>
      <c r="K34" s="0" t="n">
        <f aca="false">J39</f>
        <v>199519538.204917</v>
      </c>
      <c r="L34" s="0" t="n">
        <f aca="false">K39</f>
        <v>244227662.879593</v>
      </c>
      <c r="M34" s="0" t="n">
        <f aca="false">L39</f>
        <v>295516834.891919</v>
      </c>
      <c r="N34" s="0" t="n">
        <f aca="false">M39</f>
        <v>342024908.879475</v>
      </c>
      <c r="O34" s="0" t="n">
        <f aca="false">N39</f>
        <v>0</v>
      </c>
      <c r="P34" s="0" t="n">
        <f aca="false">O39</f>
        <v>0</v>
      </c>
      <c r="Q34" s="0" t="n">
        <f aca="false">P39</f>
        <v>0</v>
      </c>
      <c r="R34" s="0" t="n">
        <f aca="false">Q39</f>
        <v>0</v>
      </c>
      <c r="S34" s="0" t="n">
        <f aca="false">R39</f>
        <v>0</v>
      </c>
      <c r="T34" s="0" t="n">
        <f aca="false">S39</f>
        <v>0</v>
      </c>
      <c r="U34" s="0" t="n">
        <f aca="false">T39</f>
        <v>0</v>
      </c>
      <c r="V34" s="0" t="n">
        <f aca="false">U39</f>
        <v>0</v>
      </c>
      <c r="W34" s="0" t="n">
        <f aca="false">V39</f>
        <v>0</v>
      </c>
      <c r="X34" s="0" t="n">
        <f aca="false">W39</f>
        <v>0</v>
      </c>
      <c r="Y34" s="0" t="n">
        <f aca="false">X39</f>
        <v>0</v>
      </c>
      <c r="Z34" s="0" t="n">
        <f aca="false">Y39</f>
        <v>0</v>
      </c>
      <c r="AA34" s="0" t="n">
        <f aca="false">Z39</f>
        <v>0</v>
      </c>
      <c r="AB34" s="0" t="n">
        <f aca="false">AA39</f>
        <v>0</v>
      </c>
      <c r="AC34" s="0" t="n">
        <f aca="false">AB39</f>
        <v>0</v>
      </c>
      <c r="AD34" s="0" t="n">
        <f aca="false">AC39</f>
        <v>0</v>
      </c>
      <c r="AE34" s="0" t="n">
        <f aca="false">AD39</f>
        <v>0</v>
      </c>
      <c r="AF34" s="0" t="n">
        <f aca="false">AE39</f>
        <v>0</v>
      </c>
      <c r="AG34" s="0" t="n">
        <f aca="false">AF39</f>
        <v>0</v>
      </c>
      <c r="AH34" s="0" t="n">
        <f aca="false">AG39</f>
        <v>0</v>
      </c>
    </row>
    <row r="35" customFormat="false" ht="15" hidden="false" customHeight="false" outlineLevel="0" collapsed="false">
      <c r="A35" s="0" t="s">
        <v>67</v>
      </c>
      <c r="B35" s="0" t="n">
        <f aca="false">B34*Inputs!$B$24/4</f>
        <v>0</v>
      </c>
      <c r="C35" s="0" t="n">
        <f aca="false">C34*Inputs!$B$24/4</f>
        <v>0</v>
      </c>
      <c r="D35" s="0" t="n">
        <f aca="false">D34*Inputs!$B$24/4</f>
        <v>0</v>
      </c>
      <c r="E35" s="0" t="n">
        <f aca="false">E34*Inputs!$B$24/4</f>
        <v>0</v>
      </c>
      <c r="F35" s="0" t="n">
        <f aca="false">F34*Inputs!$B$24/4</f>
        <v>0</v>
      </c>
      <c r="G35" s="0" t="n">
        <f aca="false">G34*Inputs!$B$24/4</f>
        <v>395184.25</v>
      </c>
      <c r="H35" s="0" t="n">
        <f aca="false">H34*Inputs!$B$24/4</f>
        <v>1162943.8296875</v>
      </c>
      <c r="I35" s="0" t="n">
        <f aca="false">I34*Inputs!$B$24/4</f>
        <v>2024234.96399414</v>
      </c>
      <c r="J35" s="0" t="n">
        <f aca="false">J34*Inputs!$B$24/4</f>
        <v>2827728.49456903</v>
      </c>
      <c r="K35" s="0" t="n">
        <f aca="false">K34*Inputs!$B$24/4</f>
        <v>3740991.3413422</v>
      </c>
      <c r="L35" s="0" t="n">
        <f aca="false">L34*Inputs!$B$24/4</f>
        <v>4579268.67899237</v>
      </c>
      <c r="M35" s="0" t="n">
        <f aca="false">M34*Inputs!$B$24/4</f>
        <v>5540940.65422347</v>
      </c>
      <c r="N35" s="0" t="n">
        <f aca="false">N34*Inputs!$B$24/4</f>
        <v>6412967.04149016</v>
      </c>
      <c r="O35" s="0" t="n">
        <f aca="false">O34*Inputs!$B$24/4</f>
        <v>0</v>
      </c>
      <c r="P35" s="0" t="n">
        <f aca="false">P34*Inputs!$B$24/4</f>
        <v>0</v>
      </c>
      <c r="Q35" s="0" t="n">
        <f aca="false">Q34*Inputs!$B$24/4</f>
        <v>0</v>
      </c>
      <c r="R35" s="0" t="n">
        <f aca="false">R34*Inputs!$B$24/4</f>
        <v>0</v>
      </c>
      <c r="S35" s="0" t="n">
        <f aca="false">S34*Inputs!$B$24/4</f>
        <v>0</v>
      </c>
      <c r="T35" s="0" t="n">
        <f aca="false">T34*Inputs!$B$24/4</f>
        <v>0</v>
      </c>
      <c r="U35" s="0" t="n">
        <f aca="false">U34*Inputs!$B$24/4</f>
        <v>0</v>
      </c>
      <c r="V35" s="0" t="n">
        <f aca="false">V34*Inputs!$B$24/4</f>
        <v>0</v>
      </c>
      <c r="W35" s="0" t="n">
        <f aca="false">W34*Inputs!$B$24/4</f>
        <v>0</v>
      </c>
      <c r="X35" s="0" t="n">
        <f aca="false">X34*Inputs!$B$24/4</f>
        <v>0</v>
      </c>
      <c r="Y35" s="0" t="n">
        <f aca="false">Y34*Inputs!$B$24/4</f>
        <v>0</v>
      </c>
      <c r="Z35" s="0" t="n">
        <f aca="false">Z34*Inputs!$B$24/4</f>
        <v>0</v>
      </c>
      <c r="AA35" s="0" t="n">
        <f aca="false">AA34*Inputs!$B$24/4</f>
        <v>0</v>
      </c>
      <c r="AB35" s="0" t="n">
        <f aca="false">AB34*Inputs!$B$24/4</f>
        <v>0</v>
      </c>
      <c r="AC35" s="0" t="n">
        <f aca="false">AC34*Inputs!$B$24/4</f>
        <v>0</v>
      </c>
      <c r="AD35" s="0" t="n">
        <f aca="false">AD34*Inputs!$B$24/4</f>
        <v>0</v>
      </c>
      <c r="AE35" s="0" t="n">
        <f aca="false">AE34*Inputs!$B$24/4</f>
        <v>0</v>
      </c>
      <c r="AF35" s="0" t="n">
        <f aca="false">AF34*Inputs!$B$24/4</f>
        <v>0</v>
      </c>
      <c r="AG35" s="0" t="n">
        <f aca="false">AG34*Inputs!$B$24/4</f>
        <v>0</v>
      </c>
      <c r="AH35" s="0" t="n">
        <f aca="false">AH34*Inputs!$B$24/4</f>
        <v>0</v>
      </c>
    </row>
    <row r="36" customFormat="false" ht="15" hidden="false" customHeight="false" outlineLevel="0" collapsed="false">
      <c r="A36" s="0" t="s">
        <v>68</v>
      </c>
      <c r="B36" s="0" t="n">
        <f aca="false">MIN(MAX(0,-(B33-B35)),MAX(0,Inputs!$B$23-0))</f>
        <v>260000000</v>
      </c>
      <c r="C36" s="0" t="n">
        <f aca="false">MIN(MAX(0,-(C33-C35)),MAX(0,Inputs!$B$23-SUM($B$36:B36)))</f>
        <v>40828753.3333333</v>
      </c>
      <c r="D36" s="0" t="n">
        <f aca="false">MIN(MAX(0,-(D33-D35)),MAX(0,Inputs!$B$23-SUM($B$36:C36)))</f>
        <v>40413613.3333333</v>
      </c>
      <c r="E36" s="0" t="n">
        <f aca="false">MIN(MAX(0,-(E33-E35)),MAX(0,Inputs!$B$23-SUM($B$36:D36)))</f>
        <v>56445343.3333333</v>
      </c>
      <c r="F36" s="0" t="n">
        <f aca="false">MIN(MAX(0,-(F33-F35)),MAX(0,Inputs!$B$23-SUM($B$36:E36)))</f>
        <v>22312290</v>
      </c>
      <c r="G36" s="0" t="n">
        <f aca="false">MIN(MAX(0,-(G33-G35)),MAX(0,Inputs!$B$23-SUM($B$36:F36)))</f>
        <v>0</v>
      </c>
      <c r="H36" s="0" t="n">
        <f aca="false">MIN(MAX(0,-(H33-H35)),MAX(0,Inputs!$B$23-SUM($B$36:G36)))</f>
        <v>0</v>
      </c>
      <c r="I36" s="0" t="n">
        <f aca="false">MIN(MAX(0,-(I33-I35)),MAX(0,Inputs!$B$23-SUM($B$36:H36)))</f>
        <v>0</v>
      </c>
      <c r="J36" s="0" t="n">
        <f aca="false">MIN(MAX(0,-(J33-J35)),MAX(0,Inputs!$B$23-SUM($B$36:I36)))</f>
        <v>0</v>
      </c>
      <c r="K36" s="0" t="n">
        <f aca="false">MIN(MAX(0,-(K33-K35)),MAX(0,Inputs!$B$23-SUM($B$36:J36)))</f>
        <v>0</v>
      </c>
      <c r="L36" s="0" t="n">
        <f aca="false">MIN(MAX(0,-(L33-L35)),MAX(0,Inputs!$B$23-SUM($B$36:K36)))</f>
        <v>0</v>
      </c>
      <c r="M36" s="0" t="n">
        <f aca="false">MIN(MAX(0,-(M33-M35)),MAX(0,Inputs!$B$23-SUM($B$36:L36)))</f>
        <v>0</v>
      </c>
      <c r="N36" s="0" t="n">
        <f aca="false">MIN(MAX(0,-(N33-N35)),MAX(0,Inputs!$B$23-SUM($B$36:M36)))</f>
        <v>0</v>
      </c>
      <c r="O36" s="0" t="n">
        <f aca="false">MIN(MAX(0,-(O33-O35)),MAX(0,Inputs!$B$23-SUM($B$36:N36)))</f>
        <v>0</v>
      </c>
      <c r="P36" s="0" t="n">
        <f aca="false">MIN(MAX(0,-(P33-P35)),MAX(0,Inputs!$B$23-SUM($B$36:O36)))</f>
        <v>0</v>
      </c>
      <c r="Q36" s="0" t="n">
        <f aca="false">MIN(MAX(0,-(Q33-Q35)),MAX(0,Inputs!$B$23-SUM($B$36:P36)))</f>
        <v>0</v>
      </c>
      <c r="R36" s="0" t="n">
        <f aca="false">MIN(MAX(0,-(R33-R35)),MAX(0,Inputs!$B$23-SUM($B$36:Q36)))</f>
        <v>0</v>
      </c>
      <c r="S36" s="0" t="n">
        <f aca="false">MIN(MAX(0,-(S33-S35)),MAX(0,Inputs!$B$23-SUM($B$36:R36)))</f>
        <v>0</v>
      </c>
      <c r="T36" s="0" t="n">
        <f aca="false">MIN(MAX(0,-(T33-T35)),MAX(0,Inputs!$B$23-SUM($B$36:S36)))</f>
        <v>0</v>
      </c>
      <c r="U36" s="0" t="n">
        <f aca="false">MIN(MAX(0,-(U33-U35)),MAX(0,Inputs!$B$23-SUM($B$36:T36)))</f>
        <v>0</v>
      </c>
      <c r="V36" s="0" t="n">
        <f aca="false">MIN(MAX(0,-(V33-V35)),MAX(0,Inputs!$B$23-SUM($B$36:U36)))</f>
        <v>0</v>
      </c>
      <c r="W36" s="0" t="n">
        <f aca="false">MIN(MAX(0,-(W33-W35)),MAX(0,Inputs!$B$23-SUM($B$36:V36)))</f>
        <v>0</v>
      </c>
      <c r="X36" s="0" t="n">
        <f aca="false">MIN(MAX(0,-(X33-X35)),MAX(0,Inputs!$B$23-SUM($B$36:W36)))</f>
        <v>0</v>
      </c>
      <c r="Y36" s="0" t="n">
        <f aca="false">MIN(MAX(0,-(Y33-Y35)),MAX(0,Inputs!$B$23-SUM($B$36:X36)))</f>
        <v>0</v>
      </c>
      <c r="Z36" s="0" t="n">
        <f aca="false">MIN(MAX(0,-(Z33-Z35)),MAX(0,Inputs!$B$23-SUM($B$36:Y36)))</f>
        <v>0</v>
      </c>
      <c r="AA36" s="0" t="n">
        <f aca="false">MIN(MAX(0,-(AA33-AA35)),MAX(0,Inputs!$B$23-SUM($B$36:Z36)))</f>
        <v>0</v>
      </c>
      <c r="AB36" s="0" t="n">
        <f aca="false">MIN(MAX(0,-(AB33-AB35)),MAX(0,Inputs!$B$23-SUM($B$36:AA36)))</f>
        <v>0</v>
      </c>
      <c r="AC36" s="0" t="n">
        <f aca="false">MIN(MAX(0,-(AC33-AC35)),MAX(0,Inputs!$B$23-SUM($B$36:AB36)))</f>
        <v>0</v>
      </c>
      <c r="AD36" s="0" t="n">
        <f aca="false">MIN(MAX(0,-(AD33-AD35)),MAX(0,Inputs!$B$23-SUM($B$36:AC36)))</f>
        <v>0</v>
      </c>
      <c r="AE36" s="0" t="n">
        <f aca="false">MIN(MAX(0,-(AE33-AE35)),MAX(0,Inputs!$B$23-SUM($B$36:AD36)))</f>
        <v>0</v>
      </c>
      <c r="AF36" s="0" t="n">
        <f aca="false">MIN(MAX(0,-(AF33-AF35)),MAX(0,Inputs!$B$23-SUM($B$36:AE36)))</f>
        <v>0</v>
      </c>
      <c r="AG36" s="0" t="n">
        <f aca="false">MIN(MAX(0,-(AG33-AG35)),MAX(0,Inputs!$B$23-SUM($B$36:AF36)))</f>
        <v>0</v>
      </c>
      <c r="AH36" s="0" t="n">
        <f aca="false">MIN(MAX(0,-(AH33-AH35)),MAX(0,Inputs!$B$23-SUM($B$36:AG36)))</f>
        <v>0</v>
      </c>
    </row>
    <row r="37" customFormat="false" ht="15" hidden="false" customHeight="false" outlineLevel="0" collapsed="false">
      <c r="A37" s="0" t="s">
        <v>69</v>
      </c>
      <c r="B37" s="0" t="n">
        <f aca="false">MAX(0,-(B33-B35))-B36</f>
        <v>0</v>
      </c>
      <c r="C37" s="0" t="n">
        <f aca="false">MAX(0,-(C33-C35))-C36</f>
        <v>0</v>
      </c>
      <c r="D37" s="0" t="n">
        <f aca="false">MAX(0,-(D33-D35))-D36</f>
        <v>0</v>
      </c>
      <c r="E37" s="0" t="n">
        <f aca="false">MAX(0,-(E33-E35))-E36</f>
        <v>0</v>
      </c>
      <c r="F37" s="0" t="n">
        <f aca="false">MAX(0,-(F33-F35))-F36</f>
        <v>21076493.3333333</v>
      </c>
      <c r="G37" s="0" t="n">
        <f aca="false">MAX(0,-(G33-G35))-G36</f>
        <v>40947177.5833333</v>
      </c>
      <c r="H37" s="0" t="n">
        <f aca="false">MAX(0,-(H33-H35))-H36</f>
        <v>45935527.1630208</v>
      </c>
      <c r="I37" s="0" t="n">
        <f aca="false">MAX(0,-(I33-I35))-I36</f>
        <v>42852988.2973275</v>
      </c>
      <c r="J37" s="0" t="n">
        <f aca="false">MAX(0,-(J33-J35))-J36</f>
        <v>48707351.8279024</v>
      </c>
      <c r="K37" s="0" t="n">
        <f aca="false">MAX(0,-(K33-K35))-K36</f>
        <v>44708124.6746755</v>
      </c>
      <c r="L37" s="0" t="n">
        <f aca="false">MAX(0,-(L33-L35))-L36</f>
        <v>51289172.0123257</v>
      </c>
      <c r="M37" s="0" t="n">
        <f aca="false">MAX(0,-(M33-M35))-M36</f>
        <v>46508073.9875568</v>
      </c>
      <c r="N37" s="0" t="n">
        <f aca="false">MAX(0,-(N33-N35))-N36</f>
        <v>0</v>
      </c>
      <c r="O37" s="0" t="n">
        <f aca="false">MAX(0,-(O33-O35))-O36</f>
        <v>0</v>
      </c>
      <c r="P37" s="0" t="n">
        <f aca="false">MAX(0,-(P33-P35))-P36</f>
        <v>0</v>
      </c>
      <c r="Q37" s="0" t="n">
        <f aca="false">MAX(0,-(Q33-Q35))-Q36</f>
        <v>0</v>
      </c>
      <c r="R37" s="0" t="n">
        <f aca="false">MAX(0,-(R33-R35))-R36</f>
        <v>0</v>
      </c>
      <c r="S37" s="0" t="n">
        <f aca="false">MAX(0,-(S33-S35))-S36</f>
        <v>0</v>
      </c>
      <c r="T37" s="0" t="n">
        <f aca="false">MAX(0,-(T33-T35))-T36</f>
        <v>0</v>
      </c>
      <c r="U37" s="0" t="n">
        <f aca="false">MAX(0,-(U33-U35))-U36</f>
        <v>0</v>
      </c>
      <c r="V37" s="0" t="n">
        <f aca="false">MAX(0,-(V33-V35))-V36</f>
        <v>0</v>
      </c>
      <c r="W37" s="0" t="n">
        <f aca="false">MAX(0,-(W33-W35))-W36</f>
        <v>0</v>
      </c>
      <c r="X37" s="0" t="n">
        <f aca="false">MAX(0,-(X33-X35))-X36</f>
        <v>0</v>
      </c>
      <c r="Y37" s="0" t="n">
        <f aca="false">MAX(0,-(Y33-Y35))-Y36</f>
        <v>0</v>
      </c>
      <c r="Z37" s="0" t="n">
        <f aca="false">MAX(0,-(Z33-Z35))-Z36</f>
        <v>0</v>
      </c>
      <c r="AA37" s="0" t="n">
        <f aca="false">MAX(0,-(AA33-AA35))-AA36</f>
        <v>0</v>
      </c>
      <c r="AB37" s="0" t="n">
        <f aca="false">MAX(0,-(AB33-AB35))-AB36</f>
        <v>0</v>
      </c>
      <c r="AC37" s="0" t="n">
        <f aca="false">MAX(0,-(AC33-AC35))-AC36</f>
        <v>0</v>
      </c>
      <c r="AD37" s="0" t="n">
        <f aca="false">MAX(0,-(AD33-AD35))-AD36</f>
        <v>0</v>
      </c>
      <c r="AE37" s="0" t="n">
        <f aca="false">MAX(0,-(AE33-AE35))-AE36</f>
        <v>0</v>
      </c>
      <c r="AF37" s="0" t="n">
        <f aca="false">MAX(0,-(AF33-AF35))-AF36</f>
        <v>0</v>
      </c>
      <c r="AG37" s="0" t="n">
        <f aca="false">MAX(0,-(AG33-AG35))-AG36</f>
        <v>0</v>
      </c>
      <c r="AH37" s="0" t="n">
        <f aca="false">MAX(0,-(AH33-AH35))-AH36</f>
        <v>0</v>
      </c>
    </row>
    <row r="38" customFormat="false" ht="15" hidden="false" customHeight="false" outlineLevel="0" collapsed="false">
      <c r="A38" s="0" t="s">
        <v>70</v>
      </c>
      <c r="B38" s="0" t="n">
        <f aca="false">MIN(B34,MAX(0,B33-B35))</f>
        <v>0</v>
      </c>
      <c r="C38" s="0" t="n">
        <f aca="false">MIN(C34,MAX(0,C33-C35))</f>
        <v>0</v>
      </c>
      <c r="D38" s="0" t="n">
        <f aca="false">MIN(D34,MAX(0,D33-D35))</f>
        <v>0</v>
      </c>
      <c r="E38" s="0" t="n">
        <f aca="false">MIN(E34,MAX(0,E33-E35))</f>
        <v>0</v>
      </c>
      <c r="F38" s="0" t="n">
        <f aca="false">MIN(F34,MAX(0,F33-F35))</f>
        <v>0</v>
      </c>
      <c r="G38" s="0" t="n">
        <f aca="false">MIN(G34,MAX(0,G33-G35))</f>
        <v>0</v>
      </c>
      <c r="H38" s="0" t="n">
        <f aca="false">MIN(H34,MAX(0,H33-H35))</f>
        <v>0</v>
      </c>
      <c r="I38" s="0" t="n">
        <f aca="false">MIN(I34,MAX(0,I33-I35))</f>
        <v>0</v>
      </c>
      <c r="J38" s="0" t="n">
        <f aca="false">MIN(J34,MAX(0,J33-J35))</f>
        <v>0</v>
      </c>
      <c r="K38" s="0" t="n">
        <f aca="false">MIN(K34,MAX(0,K33-K35))</f>
        <v>0</v>
      </c>
      <c r="L38" s="0" t="n">
        <f aca="false">MIN(L34,MAX(0,L33-L35))</f>
        <v>0</v>
      </c>
      <c r="M38" s="0" t="n">
        <f aca="false">MIN(M34,MAX(0,M33-M35))</f>
        <v>0</v>
      </c>
      <c r="N38" s="0" t="n">
        <f aca="false">MIN(N34,MAX(0,N33-N35))</f>
        <v>342024908.879475</v>
      </c>
      <c r="O38" s="0" t="n">
        <f aca="false">MIN(O34,MAX(0,O33-O35))</f>
        <v>0</v>
      </c>
      <c r="P38" s="0" t="n">
        <f aca="false">MIN(P34,MAX(0,P33-P35))</f>
        <v>0</v>
      </c>
      <c r="Q38" s="0" t="n">
        <f aca="false">MIN(Q34,MAX(0,Q33-Q35))</f>
        <v>0</v>
      </c>
      <c r="R38" s="0" t="n">
        <f aca="false">MIN(R34,MAX(0,R33-R35))</f>
        <v>0</v>
      </c>
      <c r="S38" s="0" t="n">
        <f aca="false">MIN(S34,MAX(0,S33-S35))</f>
        <v>0</v>
      </c>
      <c r="T38" s="0" t="n">
        <f aca="false">MIN(T34,MAX(0,T33-T35))</f>
        <v>0</v>
      </c>
      <c r="U38" s="0" t="n">
        <f aca="false">MIN(U34,MAX(0,U33-U35))</f>
        <v>0</v>
      </c>
      <c r="V38" s="0" t="n">
        <f aca="false">MIN(V34,MAX(0,V33-V35))</f>
        <v>0</v>
      </c>
      <c r="W38" s="0" t="n">
        <f aca="false">MIN(W34,MAX(0,W33-W35))</f>
        <v>0</v>
      </c>
      <c r="X38" s="0" t="n">
        <f aca="false">MIN(X34,MAX(0,X33-X35))</f>
        <v>0</v>
      </c>
      <c r="Y38" s="0" t="n">
        <f aca="false">MIN(Y34,MAX(0,Y33-Y35))</f>
        <v>0</v>
      </c>
      <c r="Z38" s="0" t="n">
        <f aca="false">MIN(Z34,MAX(0,Z33-Z35))</f>
        <v>0</v>
      </c>
      <c r="AA38" s="0" t="n">
        <f aca="false">MIN(AA34,MAX(0,AA33-AA35))</f>
        <v>0</v>
      </c>
      <c r="AB38" s="0" t="n">
        <f aca="false">MIN(AB34,MAX(0,AB33-AB35))</f>
        <v>0</v>
      </c>
      <c r="AC38" s="0" t="n">
        <f aca="false">MIN(AC34,MAX(0,AC33-AC35))</f>
        <v>0</v>
      </c>
      <c r="AD38" s="0" t="n">
        <f aca="false">MIN(AD34,MAX(0,AD33-AD35))</f>
        <v>0</v>
      </c>
      <c r="AE38" s="0" t="n">
        <f aca="false">MIN(AE34,MAX(0,AE33-AE35))</f>
        <v>0</v>
      </c>
      <c r="AF38" s="0" t="n">
        <f aca="false">MIN(AF34,MAX(0,AF33-AF35))</f>
        <v>0</v>
      </c>
      <c r="AG38" s="0" t="n">
        <f aca="false">MIN(AG34,MAX(0,AG33-AG35))</f>
        <v>0</v>
      </c>
      <c r="AH38" s="0" t="n">
        <f aca="false">MIN(AH34,MAX(0,AH33-AH35))</f>
        <v>0</v>
      </c>
    </row>
    <row r="39" customFormat="false" ht="15" hidden="false" customHeight="false" outlineLevel="0" collapsed="false">
      <c r="A39" s="0" t="s">
        <v>71</v>
      </c>
      <c r="B39" s="0" t="n">
        <f aca="false">IF(B$3&gt;=Inputs!$B$26,0,B34+B37-B38)</f>
        <v>0</v>
      </c>
      <c r="C39" s="0" t="n">
        <f aca="false">IF(C$3&gt;=Inputs!$B$26,0,C34+C37-C38)</f>
        <v>0</v>
      </c>
      <c r="D39" s="0" t="n">
        <f aca="false">IF(D$3&gt;=Inputs!$B$26,0,D34+D37-D38)</f>
        <v>0</v>
      </c>
      <c r="E39" s="0" t="n">
        <f aca="false">IF(E$3&gt;=Inputs!$B$26,0,E34+E37-E38)</f>
        <v>0</v>
      </c>
      <c r="F39" s="0" t="n">
        <f aca="false">IF(F$3&gt;=Inputs!$B$26,0,F34+F37-F38)</f>
        <v>21076493.3333333</v>
      </c>
      <c r="G39" s="0" t="n">
        <f aca="false">IF(G$3&gt;=Inputs!$B$26,0,G34+G37-G38)</f>
        <v>62023670.9166667</v>
      </c>
      <c r="H39" s="0" t="n">
        <f aca="false">IF(H$3&gt;=Inputs!$B$26,0,H34+H37-H38)</f>
        <v>107959198.079688</v>
      </c>
      <c r="I39" s="0" t="n">
        <f aca="false">IF(I$3&gt;=Inputs!$B$26,0,I34+I37-I38)</f>
        <v>150812186.377015</v>
      </c>
      <c r="J39" s="0" t="n">
        <f aca="false">IF(J$3&gt;=Inputs!$B$26,0,J34+J37-J38)</f>
        <v>199519538.204917</v>
      </c>
      <c r="K39" s="0" t="n">
        <f aca="false">IF(K$3&gt;=Inputs!$B$26,0,K34+K37-K38)</f>
        <v>244227662.879593</v>
      </c>
      <c r="L39" s="0" t="n">
        <f aca="false">IF(L$3&gt;=Inputs!$B$26,0,L34+L37-L38)</f>
        <v>295516834.891919</v>
      </c>
      <c r="M39" s="0" t="n">
        <f aca="false">IF(M$3&gt;=Inputs!$B$26,0,M34+M37-M38)</f>
        <v>342024908.879475</v>
      </c>
      <c r="N39" s="0" t="n">
        <f aca="false">IF(N$3&gt;=Inputs!$B$26,0,N34+N37-N38)</f>
        <v>0</v>
      </c>
      <c r="O39" s="0" t="n">
        <f aca="false">IF(O$3&gt;=Inputs!$B$26,0,O34+O37-O38)</f>
        <v>0</v>
      </c>
      <c r="P39" s="0" t="n">
        <f aca="false">IF(P$3&gt;=Inputs!$B$26,0,P34+P37-P38)</f>
        <v>0</v>
      </c>
      <c r="Q39" s="0" t="n">
        <f aca="false">IF(Q$3&gt;=Inputs!$B$26,0,Q34+Q37-Q38)</f>
        <v>0</v>
      </c>
      <c r="R39" s="0" t="n">
        <f aca="false">IF(R$3&gt;=Inputs!$B$26,0,R34+R37-R38)</f>
        <v>0</v>
      </c>
      <c r="S39" s="0" t="n">
        <f aca="false">IF(S$3&gt;=Inputs!$B$26,0,S34+S37-S38)</f>
        <v>0</v>
      </c>
      <c r="T39" s="0" t="n">
        <f aca="false">IF(T$3&gt;=Inputs!$B$26,0,T34+T37-T38)</f>
        <v>0</v>
      </c>
      <c r="U39" s="0" t="n">
        <f aca="false">IF(U$3&gt;=Inputs!$B$26,0,U34+U37-U38)</f>
        <v>0</v>
      </c>
      <c r="V39" s="0" t="n">
        <f aca="false">IF(V$3&gt;=Inputs!$B$26,0,V34+V37-V38)</f>
        <v>0</v>
      </c>
      <c r="W39" s="0" t="n">
        <f aca="false">IF(W$3&gt;=Inputs!$B$26,0,W34+W37-W38)</f>
        <v>0</v>
      </c>
      <c r="X39" s="0" t="n">
        <f aca="false">IF(X$3&gt;=Inputs!$B$26,0,X34+X37-X38)</f>
        <v>0</v>
      </c>
      <c r="Y39" s="0" t="n">
        <f aca="false">IF(Y$3&gt;=Inputs!$B$26,0,Y34+Y37-Y38)</f>
        <v>0</v>
      </c>
      <c r="Z39" s="0" t="n">
        <f aca="false">IF(Z$3&gt;=Inputs!$B$26,0,Z34+Z37-Z38)</f>
        <v>0</v>
      </c>
      <c r="AA39" s="0" t="n">
        <f aca="false">IF(AA$3&gt;=Inputs!$B$26,0,AA34+AA37-AA38)</f>
        <v>0</v>
      </c>
      <c r="AB39" s="0" t="n">
        <f aca="false">IF(AB$3&gt;=Inputs!$B$26,0,AB34+AB37-AB38)</f>
        <v>0</v>
      </c>
      <c r="AC39" s="0" t="n">
        <f aca="false">IF(AC$3&gt;=Inputs!$B$26,0,AC34+AC37-AC38)</f>
        <v>0</v>
      </c>
      <c r="AD39" s="0" t="n">
        <f aca="false">IF(AD$3&gt;=Inputs!$B$26,0,AD34+AD37-AD38)</f>
        <v>0</v>
      </c>
      <c r="AE39" s="0" t="n">
        <f aca="false">IF(AE$3&gt;=Inputs!$B$26,0,AE34+AE37-AE38)</f>
        <v>0</v>
      </c>
      <c r="AF39" s="0" t="n">
        <f aca="false">IF(AF$3&gt;=Inputs!$B$26,0,AF34+AF37-AF38)</f>
        <v>0</v>
      </c>
      <c r="AG39" s="0" t="n">
        <f aca="false">IF(AG$3&gt;=Inputs!$B$26,0,AG34+AG37-AG38)</f>
        <v>0</v>
      </c>
      <c r="AH39" s="0" t="n">
        <f aca="false">IF(AH$3&gt;=Inputs!$B$26,0,AH34+AH37-AH38)</f>
        <v>0</v>
      </c>
    </row>
    <row r="40" customFormat="false" ht="15" hidden="false" customHeight="false" outlineLevel="0" collapsed="false">
      <c r="A40" s="0" t="s">
        <v>72</v>
      </c>
      <c r="B40" s="0" t="n">
        <f aca="false">IF(B$3=Inputs!$B$26,SUM(B32:B32)*4/MIN(4,B$3-Inputs!$B$13)/Inputs!$B$25,0)</f>
        <v>0</v>
      </c>
      <c r="C40" s="0" t="n">
        <f aca="false">IF(C$3=Inputs!$B$26,SUM(B32:C32)*4/MIN(4,C$3-Inputs!$B$13)/Inputs!$B$25,0)</f>
        <v>0</v>
      </c>
      <c r="D40" s="0" t="n">
        <f aca="false">IF(D$3=Inputs!$B$26,SUM(B32:D32)*4/MIN(4,D$3-Inputs!$B$13)/Inputs!$B$25,0)</f>
        <v>0</v>
      </c>
      <c r="E40" s="0" t="n">
        <f aca="false">IF(E$3=Inputs!$B$26,SUM(B32:E32)*4/MIN(4,E$3-Inputs!$B$13)/Inputs!$B$25,0)</f>
        <v>0</v>
      </c>
      <c r="F40" s="0" t="n">
        <f aca="false">IF(F$3=Inputs!$B$26,SUM(C32:F32)*4/MIN(4,F$3-Inputs!$B$13)/Inputs!$B$25,0)</f>
        <v>0</v>
      </c>
      <c r="G40" s="0" t="n">
        <f aca="false">IF(G$3=Inputs!$B$26,SUM(D32:G32)*4/MIN(4,G$3-Inputs!$B$13)/Inputs!$B$25,0)</f>
        <v>0</v>
      </c>
      <c r="H40" s="0" t="n">
        <f aca="false">IF(H$3=Inputs!$B$26,SUM(E32:H32)*4/MIN(4,H$3-Inputs!$B$13)/Inputs!$B$25,0)</f>
        <v>0</v>
      </c>
      <c r="I40" s="0" t="n">
        <f aca="false">IF(I$3=Inputs!$B$26,SUM(F32:I32)*4/MIN(4,I$3-Inputs!$B$13)/Inputs!$B$25,0)</f>
        <v>0</v>
      </c>
      <c r="J40" s="0" t="n">
        <f aca="false">IF(J$3=Inputs!$B$26,SUM(G32:J32)*4/MIN(4,J$3-Inputs!$B$13)/Inputs!$B$25,0)</f>
        <v>0</v>
      </c>
      <c r="K40" s="0" t="n">
        <f aca="false">IF(K$3=Inputs!$B$26,SUM(H32:K32)*4/MIN(4,K$3-Inputs!$B$13)/Inputs!$B$25,0)</f>
        <v>0</v>
      </c>
      <c r="L40" s="0" t="n">
        <f aca="false">IF(L$3=Inputs!$B$26,SUM(I32:L32)*4/MIN(4,L$3-Inputs!$B$13)/Inputs!$B$25,0)</f>
        <v>0</v>
      </c>
      <c r="M40" s="0" t="n">
        <f aca="false">IF(M$3=Inputs!$B$26,SUM(J32:M32)*4/MIN(4,M$3-Inputs!$B$13)/Inputs!$B$25,0)</f>
        <v>0</v>
      </c>
      <c r="N40" s="0" t="n">
        <f aca="false">IF(N$3=Inputs!$B$26,SUM(K32:N32)*4/MIN(4,N$3-Inputs!$B$13)/Inputs!$B$25,0)</f>
        <v>0</v>
      </c>
      <c r="O40" s="0" t="n">
        <f aca="false">IF(O$3=Inputs!$B$26,SUM(L32:O32)*4/MIN(4,O$3-Inputs!$B$13)/Inputs!$B$25,0)</f>
        <v>0</v>
      </c>
      <c r="P40" s="0" t="n">
        <f aca="false">IF(P$3=Inputs!$B$26,SUM(M32:P32)*4/MIN(4,P$3-Inputs!$B$13)/Inputs!$B$25,0)</f>
        <v>0</v>
      </c>
      <c r="Q40" s="0" t="n">
        <f aca="false">IF(Q$3=Inputs!$B$26,SUM(N32:Q32)*4/MIN(4,Q$3-Inputs!$B$13)/Inputs!$B$25,0)</f>
        <v>0</v>
      </c>
      <c r="R40" s="0" t="n">
        <f aca="false">IF(R$3=Inputs!$B$26,SUM(O32:R32)*4/MIN(4,R$3-Inputs!$B$13)/Inputs!$B$25,0)</f>
        <v>0</v>
      </c>
      <c r="S40" s="0" t="n">
        <f aca="false">IF(S$3=Inputs!$B$26,SUM(P32:S32)*4/MIN(4,S$3-Inputs!$B$13)/Inputs!$B$25,0)</f>
        <v>0</v>
      </c>
      <c r="T40" s="0" t="n">
        <f aca="false">IF(T$3=Inputs!$B$26,SUM(Q32:T32)*4/MIN(4,T$3-Inputs!$B$13)/Inputs!$B$25,0)</f>
        <v>0</v>
      </c>
      <c r="U40" s="0" t="n">
        <f aca="false">IF(U$3=Inputs!$B$26,SUM(R32:U32)*4/MIN(4,U$3-Inputs!$B$13)/Inputs!$B$25,0)</f>
        <v>0</v>
      </c>
      <c r="V40" s="0" t="n">
        <f aca="false">IF(V$3=Inputs!$B$26,SUM(S32:V32)*4/MIN(4,V$3-Inputs!$B$13)/Inputs!$B$25,0)</f>
        <v>0</v>
      </c>
      <c r="W40" s="0" t="n">
        <f aca="false">IF(W$3=Inputs!$B$26,SUM(T32:W32)*4/MIN(4,W$3-Inputs!$B$13)/Inputs!$B$25,0)</f>
        <v>0</v>
      </c>
      <c r="X40" s="0" t="n">
        <f aca="false">IF(X$3=Inputs!$B$26,SUM(U32:X32)*4/MIN(4,X$3-Inputs!$B$13)/Inputs!$B$25,0)</f>
        <v>0</v>
      </c>
      <c r="Y40" s="0" t="n">
        <f aca="false">IF(Y$3=Inputs!$B$26,SUM(V32:Y32)*4/MIN(4,Y$3-Inputs!$B$13)/Inputs!$B$25,0)</f>
        <v>0</v>
      </c>
      <c r="Z40" s="0" t="n">
        <f aca="false">IF(Z$3=Inputs!$B$26,SUM(W32:Z32)*4/MIN(4,Z$3-Inputs!$B$13)/Inputs!$B$25,0)</f>
        <v>0</v>
      </c>
      <c r="AA40" s="0" t="n">
        <f aca="false">IF(AA$3=Inputs!$B$26,SUM(X32:AA32)*4/MIN(4,AA$3-Inputs!$B$13)/Inputs!$B$25,0)</f>
        <v>0</v>
      </c>
      <c r="AB40" s="0" t="n">
        <f aca="false">IF(AB$3=Inputs!$B$26,SUM(Y32:AB32)*4/MIN(4,AB$3-Inputs!$B$13)/Inputs!$B$25,0)</f>
        <v>0</v>
      </c>
      <c r="AC40" s="0" t="n">
        <f aca="false">IF(AC$3=Inputs!$B$26,SUM(Z32:AC32)*4/MIN(4,AC$3-Inputs!$B$13)/Inputs!$B$25,0)</f>
        <v>0</v>
      </c>
      <c r="AD40" s="0" t="n">
        <f aca="false">IF(AD$3=Inputs!$B$26,SUM(AA32:AD32)*4/MIN(4,AD$3-Inputs!$B$13)/Inputs!$B$25,0)</f>
        <v>0</v>
      </c>
      <c r="AE40" s="0" t="n">
        <f aca="false">IF(AE$3=Inputs!$B$26,SUM(AB32:AE32)*4/MIN(4,AE$3-Inputs!$B$13)/Inputs!$B$25,0)</f>
        <v>0</v>
      </c>
      <c r="AF40" s="0" t="n">
        <f aca="false">IF(AF$3=Inputs!$B$26,SUM(AC32:AF32)*4/MIN(4,AF$3-Inputs!$B$13)/Inputs!$B$25,0)</f>
        <v>0</v>
      </c>
      <c r="AG40" s="0" t="n">
        <f aca="false">IF(AG$3=Inputs!$B$26,SUM(AD32:AG32)*4/MIN(4,AG$3-Inputs!$B$13)/Inputs!$B$25,0)</f>
        <v>0</v>
      </c>
      <c r="AH40" s="0" t="n">
        <f aca="false">IF(AH$3=Inputs!$B$26,SUM(AE32:AH32)*4/MIN(4,AH$3-Inputs!$B$13)/Inputs!$B$25,0)</f>
        <v>727694904.076418</v>
      </c>
    </row>
    <row r="41" customFormat="false" ht="15" hidden="false" customHeight="false" outlineLevel="0" collapsed="false">
      <c r="A41" s="0" t="s">
        <v>73</v>
      </c>
      <c r="B41" s="0" t="n">
        <f aca="false">MAX(0,B33-B35-B38)+B40-IF(B$3=Inputs!$B$26,B34+B37-B38,0)</f>
        <v>0</v>
      </c>
      <c r="C41" s="0" t="n">
        <f aca="false">MAX(0,C33-C35-C38)+C40-IF(C$3=Inputs!$B$26,C34+C37-C38,0)</f>
        <v>0</v>
      </c>
      <c r="D41" s="0" t="n">
        <f aca="false">MAX(0,D33-D35-D38)+D40-IF(D$3=Inputs!$B$26,D34+D37-D38,0)</f>
        <v>0</v>
      </c>
      <c r="E41" s="0" t="n">
        <f aca="false">MAX(0,E33-E35-E38)+E40-IF(E$3=Inputs!$B$26,E34+E37-E38,0)</f>
        <v>0</v>
      </c>
      <c r="F41" s="0" t="n">
        <f aca="false">MAX(0,F33-F35-F38)+F40-IF(F$3=Inputs!$B$26,F34+F37-F38,0)</f>
        <v>0</v>
      </c>
      <c r="G41" s="0" t="n">
        <f aca="false">MAX(0,G33-G35-G38)+G40-IF(G$3=Inputs!$B$26,G34+G37-G38,0)</f>
        <v>0</v>
      </c>
      <c r="H41" s="0" t="n">
        <f aca="false">MAX(0,H33-H35-H38)+H40-IF(H$3=Inputs!$B$26,H34+H37-H38,0)</f>
        <v>0</v>
      </c>
      <c r="I41" s="0" t="n">
        <f aca="false">MAX(0,I33-I35-I38)+I40-IF(I$3=Inputs!$B$26,I34+I37-I38,0)</f>
        <v>0</v>
      </c>
      <c r="J41" s="0" t="n">
        <f aca="false">MAX(0,J33-J35-J38)+J40-IF(J$3=Inputs!$B$26,J34+J37-J38,0)</f>
        <v>0</v>
      </c>
      <c r="K41" s="0" t="n">
        <f aca="false">MAX(0,K33-K35-K38)+K40-IF(K$3=Inputs!$B$26,K34+K37-K38,0)</f>
        <v>0</v>
      </c>
      <c r="L41" s="0" t="n">
        <f aca="false">MAX(0,L33-L35-L38)+L40-IF(L$3=Inputs!$B$26,L34+L37-L38,0)</f>
        <v>0</v>
      </c>
      <c r="M41" s="0" t="n">
        <f aca="false">MAX(0,M33-M35-M38)+M40-IF(M$3=Inputs!$B$26,M34+M37-M38,0)</f>
        <v>0</v>
      </c>
      <c r="N41" s="0" t="n">
        <f aca="false">MAX(0,N33-N35-N38)+N40-IF(N$3=Inputs!$B$26,N34+N37-N38,0)</f>
        <v>386560840.745701</v>
      </c>
      <c r="O41" s="0" t="n">
        <f aca="false">MAX(0,O33-O35-O38)+O40-IF(O$3=Inputs!$B$26,O34+O37-O38,0)</f>
        <v>50454506.4375</v>
      </c>
      <c r="P41" s="0" t="n">
        <f aca="false">MAX(0,P33-P35-P38)+P40-IF(P$3=Inputs!$B$26,P34+P37-P38,0)</f>
        <v>36849397.8359375</v>
      </c>
      <c r="Q41" s="0" t="n">
        <f aca="false">MAX(0,Q33-Q35-Q38)+Q40-IF(Q$3=Inputs!$B$26,Q34+Q37-Q38,0)</f>
        <v>35013363.4296875</v>
      </c>
      <c r="R41" s="0" t="n">
        <f aca="false">MAX(0,R33-R35-R38)+R40-IF(R$3=Inputs!$B$26,R34+R37-R38,0)</f>
        <v>32718320.421875</v>
      </c>
      <c r="S41" s="0" t="n">
        <f aca="false">MAX(0,S33-S35-S38)+S40-IF(S$3=Inputs!$B$26,S34+S37-S38,0)</f>
        <v>12580682.8352</v>
      </c>
      <c r="T41" s="0" t="n">
        <f aca="false">MAX(0,T33-T35-T38)+T40-IF(T$3=Inputs!$B$26,T34+T37-T38,0)</f>
        <v>12096071.0504</v>
      </c>
      <c r="U41" s="0" t="n">
        <f aca="false">MAX(0,U33-U35-U38)+U40-IF(U$3=Inputs!$B$26,U34+U37-U38,0)</f>
        <v>10008286.86</v>
      </c>
      <c r="V41" s="0" t="n">
        <f aca="false">MAX(0,V33-V35-V38)+V40-IF(V$3=Inputs!$B$26,V34+V37-V38,0)</f>
        <v>7374527.16</v>
      </c>
      <c r="W41" s="0" t="n">
        <f aca="false">MAX(0,W33-W35-W38)+W40-IF(W$3=Inputs!$B$26,W34+W37-W38,0)</f>
        <v>13733177.770688</v>
      </c>
      <c r="X41" s="0" t="n">
        <f aca="false">MAX(0,X33-X35-X38)+X40-IF(X$3=Inputs!$B$26,X34+X37-X38,0)</f>
        <v>13200545.363576</v>
      </c>
      <c r="Y41" s="0" t="n">
        <f aca="false">MAX(0,Y33-Y35-Y38)+Y40-IF(Y$3=Inputs!$B$26,Y34+Y37-Y38,0)</f>
        <v>11000017.1034</v>
      </c>
      <c r="Z41" s="0" t="n">
        <f aca="false">MAX(0,Z33-Z35-Z38)+Z40-IF(Z$3=Inputs!$B$26,Z34+Z37-Z38,0)</f>
        <v>8105275.7604</v>
      </c>
      <c r="AA41" s="0" t="n">
        <f aca="false">MAX(0,AA33-AA35-AA38)+AA40-IF(AA$3=Inputs!$B$26,AA34+AA37-AA38,0)</f>
        <v>14613796.6837798</v>
      </c>
      <c r="AB41" s="0" t="n">
        <f aca="false">MAX(0,AB33-AB35-AB38)+AB40-IF(AB$3=Inputs!$B$26,AB34+AB37-AB38,0)</f>
        <v>14044471.8219557</v>
      </c>
      <c r="AC41" s="0" t="n">
        <f aca="false">MAX(0,AC33-AC35-AC38)+AC40-IF(AC$3=Inputs!$B$26,AC34+AC37-AC38,0)</f>
        <v>11757796.059412</v>
      </c>
      <c r="AD41" s="0" t="n">
        <f aca="false">MAX(0,AD33-AD35-AD38)+AD40-IF(AD$3=Inputs!$B$26,AD34+AD37-AD38,0)</f>
        <v>8663639.201672</v>
      </c>
      <c r="AE41" s="0" t="n">
        <f aca="false">MAX(0,AE33-AE35-AE38)+AE40-IF(AE$3=Inputs!$B$26,AE34+AE37-AE38,0)</f>
        <v>15160348.551131</v>
      </c>
      <c r="AF41" s="0" t="n">
        <f aca="false">MAX(0,AF33-AF35-AF38)+AF40-IF(AF$3=Inputs!$B$26,AF34+AF37-AF38,0)</f>
        <v>14568250.6948339</v>
      </c>
      <c r="AG41" s="0" t="n">
        <f aca="false">MAX(0,AG33-AG35-AG38)+AG40-IF(AG$3=Inputs!$B$26,AG34+AG37-AG38,0)</f>
        <v>12199859.2696454</v>
      </c>
      <c r="AH41" s="0" t="n">
        <f aca="false">MAX(0,AH33-AH35-AH38)+AH40-IF(AH$3=Inputs!$B$26,AH34+AH37-AH38,0)</f>
        <v>736705088.846157</v>
      </c>
    </row>
    <row r="42" customFormat="false" ht="15" hidden="false" customHeight="false" outlineLevel="0" collapsed="false">
      <c r="A42" s="0" t="s">
        <v>74</v>
      </c>
      <c r="B42" s="0" t="n">
        <f aca="false">IF(B$3&gt;Inputs!$B$26,0,B41-B36)</f>
        <v>-260000000</v>
      </c>
      <c r="C42" s="0" t="n">
        <f aca="false">IF(C$3&gt;Inputs!$B$26,0,C41-C36)</f>
        <v>-40828753.3333333</v>
      </c>
      <c r="D42" s="0" t="n">
        <f aca="false">IF(D$3&gt;Inputs!$B$26,0,D41-D36)</f>
        <v>-40413613.3333333</v>
      </c>
      <c r="E42" s="0" t="n">
        <f aca="false">IF(E$3&gt;Inputs!$B$26,0,E41-E36)</f>
        <v>-56445343.3333333</v>
      </c>
      <c r="F42" s="0" t="n">
        <f aca="false">IF(F$3&gt;Inputs!$B$26,0,F41-F36)</f>
        <v>-22312290</v>
      </c>
      <c r="G42" s="0" t="n">
        <f aca="false">IF(G$3&gt;Inputs!$B$26,0,G41-G36)</f>
        <v>0</v>
      </c>
      <c r="H42" s="0" t="n">
        <f aca="false">IF(H$3&gt;Inputs!$B$26,0,H41-H36)</f>
        <v>0</v>
      </c>
      <c r="I42" s="0" t="n">
        <f aca="false">IF(I$3&gt;Inputs!$B$26,0,I41-I36)</f>
        <v>0</v>
      </c>
      <c r="J42" s="0" t="n">
        <f aca="false">IF(J$3&gt;Inputs!$B$26,0,J41-J36)</f>
        <v>0</v>
      </c>
      <c r="K42" s="0" t="n">
        <f aca="false">IF(K$3&gt;Inputs!$B$26,0,K41-K36)</f>
        <v>0</v>
      </c>
      <c r="L42" s="0" t="n">
        <f aca="false">IF(L$3&gt;Inputs!$B$26,0,L41-L36)</f>
        <v>0</v>
      </c>
      <c r="M42" s="0" t="n">
        <f aca="false">IF(M$3&gt;Inputs!$B$26,0,M41-M36)</f>
        <v>0</v>
      </c>
      <c r="N42" s="0" t="n">
        <f aca="false">IF(N$3&gt;Inputs!$B$26,0,N41-N36)</f>
        <v>386560840.745701</v>
      </c>
      <c r="O42" s="0" t="n">
        <f aca="false">IF(O$3&gt;Inputs!$B$26,0,O41-O36)</f>
        <v>50454506.4375</v>
      </c>
      <c r="P42" s="0" t="n">
        <f aca="false">IF(P$3&gt;Inputs!$B$26,0,P41-P36)</f>
        <v>36849397.8359375</v>
      </c>
      <c r="Q42" s="0" t="n">
        <f aca="false">IF(Q$3&gt;Inputs!$B$26,0,Q41-Q36)</f>
        <v>35013363.4296875</v>
      </c>
      <c r="R42" s="0" t="n">
        <f aca="false">IF(R$3&gt;Inputs!$B$26,0,R41-R36)</f>
        <v>32718320.421875</v>
      </c>
      <c r="S42" s="0" t="n">
        <f aca="false">IF(S$3&gt;Inputs!$B$26,0,S41-S36)</f>
        <v>12580682.8352</v>
      </c>
      <c r="T42" s="0" t="n">
        <f aca="false">IF(T$3&gt;Inputs!$B$26,0,T41-T36)</f>
        <v>12096071.0504</v>
      </c>
      <c r="U42" s="0" t="n">
        <f aca="false">IF(U$3&gt;Inputs!$B$26,0,U41-U36)</f>
        <v>10008286.86</v>
      </c>
      <c r="V42" s="0" t="n">
        <f aca="false">IF(V$3&gt;Inputs!$B$26,0,V41-V36)</f>
        <v>7374527.16</v>
      </c>
      <c r="W42" s="0" t="n">
        <f aca="false">IF(W$3&gt;Inputs!$B$26,0,W41-W36)</f>
        <v>13733177.770688</v>
      </c>
      <c r="X42" s="0" t="n">
        <f aca="false">IF(X$3&gt;Inputs!$B$26,0,X41-X36)</f>
        <v>13200545.363576</v>
      </c>
      <c r="Y42" s="0" t="n">
        <f aca="false">IF(Y$3&gt;Inputs!$B$26,0,Y41-Y36)</f>
        <v>11000017.1034</v>
      </c>
      <c r="Z42" s="0" t="n">
        <f aca="false">IF(Z$3&gt;Inputs!$B$26,0,Z41-Z36)</f>
        <v>8105275.7604</v>
      </c>
      <c r="AA42" s="0" t="n">
        <f aca="false">IF(AA$3&gt;Inputs!$B$26,0,AA41-AA36)</f>
        <v>14613796.6837798</v>
      </c>
      <c r="AB42" s="0" t="n">
        <f aca="false">IF(AB$3&gt;Inputs!$B$26,0,AB41-AB36)</f>
        <v>14044471.8219557</v>
      </c>
      <c r="AC42" s="0" t="n">
        <f aca="false">IF(AC$3&gt;Inputs!$B$26,0,AC41-AC36)</f>
        <v>11757796.059412</v>
      </c>
      <c r="AD42" s="0" t="n">
        <f aca="false">IF(AD$3&gt;Inputs!$B$26,0,AD41-AD36)</f>
        <v>8663639.201672</v>
      </c>
      <c r="AE42" s="0" t="n">
        <f aca="false">IF(AE$3&gt;Inputs!$B$26,0,AE41-AE36)</f>
        <v>15160348.551131</v>
      </c>
      <c r="AF42" s="0" t="n">
        <f aca="false">IF(AF$3&gt;Inputs!$B$26,0,AF41-AF36)</f>
        <v>14568250.6948339</v>
      </c>
      <c r="AG42" s="0" t="n">
        <f aca="false">IF(AG$3&gt;Inputs!$B$26,0,AG41-AG36)</f>
        <v>12199859.2696454</v>
      </c>
      <c r="AH42" s="0" t="n">
        <f aca="false">IF(AH$3&gt;Inputs!$B$26,0,AH41-AH36)</f>
        <v>736705088.846157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75</v>
      </c>
      <c r="B3" s="3" t="n">
        <f aca="false">XIRR('Cash Flow'!$B$42:$AH$42,'Cash Flow'!$B$4:$AH$4)</f>
        <v>0.275391500585942</v>
      </c>
    </row>
    <row r="4" customFormat="false" ht="15" hidden="false" customHeight="false" outlineLevel="0" collapsed="false">
      <c r="A4" s="0" t="s">
        <v>76</v>
      </c>
      <c r="B4" s="6" t="n">
        <f aca="false">SUMIF('Cash Flow'!$B$42:$AH$42,"&gt;0")/-SUMIF('Cash Flow'!$B$42:$AH$42,"&lt;0")</f>
        <v>3.47001967595941</v>
      </c>
    </row>
    <row r="5" customFormat="false" ht="15" hidden="false" customHeight="false" outlineLevel="0" collapsed="false">
      <c r="A5" s="0" t="s">
        <v>77</v>
      </c>
      <c r="B5" s="2" t="n">
        <f aca="false">SUM('Cash Flow'!$B$14:$AH$14)-SUM('Cash Flow'!$B$17:$AH$17)-SUM('Cash Flow'!$B$18:$AH$18)-Inputs!$B$12*0.55</f>
        <v>703560000</v>
      </c>
    </row>
    <row r="6" customFormat="false" ht="15" hidden="false" customHeight="false" outlineLevel="0" collapsed="false">
      <c r="A6" s="0" t="s">
        <v>78</v>
      </c>
      <c r="B6" s="2" t="n">
        <f aca="false">SUMIF('Cash Flow'!$B$22:$AH$22,3,'Cash Flow'!$B$32:$AH$32)</f>
        <v>46039015.998064</v>
      </c>
    </row>
    <row r="7" customFormat="false" ht="15" hidden="false" customHeight="false" outlineLevel="0" collapsed="false">
      <c r="A7" s="0" t="s">
        <v>79</v>
      </c>
      <c r="B7" s="3" t="n">
        <f aca="false">SUMIF('Cash Flow'!$B$3:$AH$3,"&lt;="&amp;Inputs!$B$13,'Cash Flow'!$B$14:$AH$14)/SUM('Cash Flow'!$B$6:$AH$6)</f>
        <v>0.91</v>
      </c>
    </row>
    <row r="8" customFormat="false" ht="15" hidden="false" customHeight="false" outlineLevel="0" collapsed="false">
      <c r="A8" s="0" t="s">
        <v>80</v>
      </c>
      <c r="B8" s="2" t="n">
        <f aca="false">SUM('Cash Flow'!$B$31:$AH$31)</f>
        <v>1332365.56880086</v>
      </c>
    </row>
    <row r="9" customFormat="false" ht="15" hidden="false" customHeight="false" outlineLevel="0" collapsed="false">
      <c r="A9" s="0" t="s">
        <v>81</v>
      </c>
      <c r="B9" s="2" t="n">
        <f aca="false">MAX('Cash Flow'!$B$39:$AH$39)</f>
        <v>342024908.879475</v>
      </c>
    </row>
    <row r="10" customFormat="false" ht="15" hidden="false" customHeight="false" outlineLevel="0" collapsed="false">
      <c r="A10" s="0" t="s">
        <v>82</v>
      </c>
      <c r="B10" s="2" t="n">
        <f aca="false">MAX('Cash Flow'!$B$16:$AH$16)</f>
        <v>187993300</v>
      </c>
    </row>
    <row r="11" customFormat="false" ht="15" hidden="false" customHeight="false" outlineLevel="0" collapsed="false">
      <c r="A11" s="0" t="s">
        <v>83</v>
      </c>
      <c r="B11" s="2" t="n">
        <f aca="false">SUM('Cash Flow'!$B$36:$AH$36)</f>
        <v>420000000</v>
      </c>
    </row>
    <row r="12" customFormat="false" ht="15" hidden="false" customHeight="false" outlineLevel="0" collapsed="false">
      <c r="A12" s="0" t="s">
        <v>84</v>
      </c>
      <c r="B12" s="2" t="n">
        <f aca="false">SUM('Cash Flow'!$B$42:$AH$42)</f>
        <v>1037408263.90295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2026-10-17T19:14:16Z</dcterms:created>
  <dc:creator>openpyxl</dc:creator>
  <dc:description/>
  <dc:language>en-US</dc:language>
  <cp:lastModifiedBy/>
  <dcterms:modified xsi:type="dcterms:W3CDTF">2026-10-17T19:14:16Z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