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Cash Flow" sheetId="2" state="visible" r:id="rId4"/>
    <sheet name="Retur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<sst xmlns="http://schemas.openxmlformats.org/spreadsheetml/2006/main" count="27" uniqueCount="27">
  <si>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 xml:space="preserve">KINGS WHARF – 99-YEAR GROUND LEASE (GBP)</t>
  </si>
  <si>
    <t xml:space="preserve">Lease start</t>
  </si>
  <si>
    <t xml:space="preserve">Occupational rent year 1 (£)</t>
  </si>
  <si>
    <t xml:space="preserve">Ground rent share of occupational rent</t>
  </si>
  <si>
    <t xml:space="preserve">RPI a year</t>
  </si>
  <si>
    <t xml:space="preserve">Review collar · floor a year</t>
  </si>
  <si>
    <t xml:space="preserve">Review collar · cap a year</t>
  </si>
  <si>
    <t xml:space="preserve">Review every (years)</t>
  </si>
  <si>
    <t xml:space="preserve">Freeholder discount rate</t>
  </si>
  <si>
    <t xml:space="preserve">Leasehold discount rate</t>
  </si>
  <si>
    <t xml:space="preserve">Leasehold valuation year</t>
  </si>
  <si>
    <t xml:space="preserve">Lease term (years)</t>
  </si>
  <si>
    <t xml:space="preserve">Year</t>
  </si>
  <si>
    <t xml:space="preserve">Date</t>
  </si>
  <si>
    <t xml:space="preserve">Review year</t>
  </si>
  <si>
    <t xml:space="preserve">Indexation since last review</t>
  </si>
  <si>
    <t xml:space="preserve">Occupational rent</t>
  </si>
  <si>
    <t xml:space="preserve">Ground rent</t>
  </si>
  <si>
    <t xml:space="preserve">Profit rent</t>
  </si>
  <si>
    <t xml:space="preserve">Freeholder value (XNPV of ground rent, £)</t>
  </si>
  <si>
    <t xml:space="preserve">Initial yield on freehold value</t>
  </si>
  <si>
    <t xml:space="preserve">Leasehold value at the valuation year (£)</t>
  </si>
  <si>
    <t xml:space="preserve">Ground rent in year 50 (£)</t>
  </si>
  <si>
    <t xml:space="preserve">Last rent date</t>
  </si>
  <si>
    <t xml:space="preserve">Total ground rent over the term (£)</t>
  </si>
  <si>
    <t xml:space="preserve">Ground rent in 2100 (£)</t>
  </si>
  <si>
    <t xml:space="preserve">Net profit (£)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</si>
</sst>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yy"/>
    <numFmt numFmtId="166" formatCode="#,##0"/>
    <numFmt numFmtId="167" formatCode="0.00%"/>
    <numFmt numFmtId="168" formatCode="0"/>
    <numFmt numFmtId="169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46381</v>
      </c>
    </row>
    <row r="4" customFormat="false" ht="15" hidden="false" customHeight="false" outlineLevel="0" collapsed="false">
      <c r="A4" s="0" t="s">
        <v>2</v>
      </c>
      <c r="B4" s="2" t="n">
        <v>4800000</v>
      </c>
    </row>
    <row r="5" customFormat="false" ht="15" hidden="false" customHeight="false" outlineLevel="0" collapsed="false">
      <c r="A5" s="0" t="s">
        <v>3</v>
      </c>
      <c r="B5" s="3" t="n">
        <v>0.12</v>
      </c>
    </row>
    <row r="6" customFormat="false" ht="15" hidden="false" customHeight="false" outlineLevel="0" collapsed="false">
      <c r="A6" s="0" t="s">
        <v>4</v>
      </c>
      <c r="B6" s="3" t="n">
        <v>0.03</v>
      </c>
    </row>
    <row r="7" customFormat="false" ht="15" hidden="false" customHeight="false" outlineLevel="0" collapsed="false">
      <c r="A7" s="0" t="s">
        <v>5</v>
      </c>
      <c r="B7" s="3" t="n">
        <v>0.01</v>
      </c>
    </row>
    <row r="8" customFormat="false" ht="15" hidden="false" customHeight="false" outlineLevel="0" collapsed="false">
      <c r="A8" s="0" t="s">
        <v>6</v>
      </c>
      <c r="B8" s="3" t="n">
        <v>0.04</v>
      </c>
    </row>
    <row r="9" customFormat="false" ht="15" hidden="false" customHeight="false" outlineLevel="0" collapsed="false">
      <c r="A9" s="0" t="s">
        <v>7</v>
      </c>
      <c r="B9" s="4" t="n">
        <v>5</v>
      </c>
    </row>
    <row r="10" customFormat="false" ht="15" hidden="false" customHeight="false" outlineLevel="0" collapsed="false">
      <c r="A10" s="0" t="s">
        <v>8</v>
      </c>
      <c r="B10" s="3" t="n">
        <v>0.045</v>
      </c>
    </row>
    <row r="11" customFormat="false" ht="15" hidden="false" customHeight="false" outlineLevel="0" collapsed="false">
      <c r="A11" s="0" t="s">
        <v>9</v>
      </c>
      <c r="B11" s="3" t="n">
        <v>0.07</v>
      </c>
    </row>
    <row r="12" customFormat="false" ht="15" hidden="false" customHeight="false" outlineLevel="0" collapsed="false">
      <c r="A12" s="0" t="s">
        <v>10</v>
      </c>
      <c r="B12" s="4" t="n">
        <v>10</v>
      </c>
    </row>
    <row r="13" customFormat="false" ht="15" hidden="false" customHeight="false" outlineLevel="0" collapsed="false">
      <c r="A13" s="0" t="s">
        <v>11</v>
      </c>
      <c r="B13" s="4" t="n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CW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12</v>
      </c>
      <c r="B3" s="0" t="n">
        <v>1</v>
      </c>
      <c r="C3" s="0" t="n">
        <v>2</v>
      </c>
      <c r="D3" s="0" t="n">
        <v>3</v>
      </c>
      <c r="E3" s="0" t="n">
        <v>4</v>
      </c>
      <c r="F3" s="0" t="n">
        <v>5</v>
      </c>
      <c r="G3" s="0" t="n">
        <v>6</v>
      </c>
      <c r="H3" s="0" t="n">
        <v>7</v>
      </c>
      <c r="I3" s="0" t="n">
        <v>8</v>
      </c>
      <c r="J3" s="0" t="n">
        <v>9</v>
      </c>
      <c r="K3" s="0" t="n">
        <v>10</v>
      </c>
      <c r="L3" s="0" t="n">
        <v>11</v>
      </c>
      <c r="M3" s="0" t="n">
        <v>12</v>
      </c>
      <c r="N3" s="0" t="n">
        <v>13</v>
      </c>
      <c r="O3" s="0" t="n">
        <v>14</v>
      </c>
      <c r="P3" s="0" t="n">
        <v>15</v>
      </c>
      <c r="Q3" s="0" t="n">
        <v>16</v>
      </c>
      <c r="R3" s="0" t="n">
        <v>17</v>
      </c>
      <c r="S3" s="0" t="n">
        <v>18</v>
      </c>
      <c r="T3" s="0" t="n">
        <v>19</v>
      </c>
      <c r="U3" s="0" t="n">
        <v>20</v>
      </c>
      <c r="V3" s="0" t="n">
        <v>21</v>
      </c>
      <c r="W3" s="0" t="n">
        <v>22</v>
      </c>
      <c r="X3" s="0" t="n">
        <v>23</v>
      </c>
      <c r="Y3" s="0" t="n">
        <v>24</v>
      </c>
      <c r="Z3" s="0" t="n">
        <v>25</v>
      </c>
      <c r="AA3" s="0" t="n">
        <v>26</v>
      </c>
      <c r="AB3" s="0" t="n">
        <v>27</v>
      </c>
      <c r="AC3" s="0" t="n">
        <v>28</v>
      </c>
      <c r="AD3" s="0" t="n">
        <v>29</v>
      </c>
      <c r="AE3" s="0" t="n">
        <v>30</v>
      </c>
      <c r="AF3" s="0" t="n">
        <v>31</v>
      </c>
      <c r="AG3" s="0" t="n">
        <v>32</v>
      </c>
      <c r="AH3" s="0" t="n">
        <v>33</v>
      </c>
      <c r="AI3" s="0" t="n">
        <v>34</v>
      </c>
      <c r="AJ3" s="0" t="n">
        <v>35</v>
      </c>
      <c r="AK3" s="0" t="n">
        <v>36</v>
      </c>
      <c r="AL3" s="0" t="n">
        <v>37</v>
      </c>
      <c r="AM3" s="0" t="n">
        <v>38</v>
      </c>
      <c r="AN3" s="0" t="n">
        <v>39</v>
      </c>
      <c r="AO3" s="0" t="n">
        <v>40</v>
      </c>
      <c r="AP3" s="0" t="n">
        <v>41</v>
      </c>
      <c r="AQ3" s="0" t="n">
        <v>42</v>
      </c>
      <c r="AR3" s="0" t="n">
        <v>43</v>
      </c>
      <c r="AS3" s="0" t="n">
        <v>44</v>
      </c>
      <c r="AT3" s="0" t="n">
        <v>45</v>
      </c>
      <c r="AU3" s="0" t="n">
        <v>46</v>
      </c>
      <c r="AV3" s="0" t="n">
        <v>47</v>
      </c>
      <c r="AW3" s="0" t="n">
        <v>48</v>
      </c>
      <c r="AX3" s="0" t="n">
        <v>49</v>
      </c>
      <c r="AY3" s="0" t="n">
        <v>50</v>
      </c>
      <c r="AZ3" s="0" t="n">
        <v>51</v>
      </c>
      <c r="BA3" s="0" t="n">
        <v>52</v>
      </c>
      <c r="BB3" s="0" t="n">
        <v>53</v>
      </c>
      <c r="BC3" s="0" t="n">
        <v>54</v>
      </c>
      <c r="BD3" s="0" t="n">
        <v>55</v>
      </c>
      <c r="BE3" s="0" t="n">
        <v>56</v>
      </c>
      <c r="BF3" s="0" t="n">
        <v>57</v>
      </c>
      <c r="BG3" s="0" t="n">
        <v>58</v>
      </c>
      <c r="BH3" s="0" t="n">
        <v>59</v>
      </c>
      <c r="BI3" s="0" t="n">
        <v>60</v>
      </c>
      <c r="BJ3" s="0" t="n">
        <v>61</v>
      </c>
      <c r="BK3" s="0" t="n">
        <v>62</v>
      </c>
      <c r="BL3" s="0" t="n">
        <v>63</v>
      </c>
      <c r="BM3" s="0" t="n">
        <v>64</v>
      </c>
      <c r="BN3" s="0" t="n">
        <v>65</v>
      </c>
      <c r="BO3" s="0" t="n">
        <v>66</v>
      </c>
      <c r="BP3" s="0" t="n">
        <v>67</v>
      </c>
      <c r="BQ3" s="0" t="n">
        <v>68</v>
      </c>
      <c r="BR3" s="0" t="n">
        <v>69</v>
      </c>
      <c r="BS3" s="0" t="n">
        <v>70</v>
      </c>
      <c r="BT3" s="0" t="n">
        <v>71</v>
      </c>
      <c r="BU3" s="0" t="n">
        <v>72</v>
      </c>
      <c r="BV3" s="0" t="n">
        <v>73</v>
      </c>
      <c r="BW3" s="0" t="n">
        <v>74</v>
      </c>
      <c r="BX3" s="0" t="n">
        <v>75</v>
      </c>
      <c r="BY3" s="0" t="n">
        <v>76</v>
      </c>
      <c r="BZ3" s="0" t="n">
        <v>77</v>
      </c>
      <c r="CA3" s="0" t="n">
        <v>78</v>
      </c>
      <c r="CB3" s="0" t="n">
        <v>79</v>
      </c>
      <c r="CC3" s="0" t="n">
        <v>80</v>
      </c>
      <c r="CD3" s="0" t="n">
        <v>81</v>
      </c>
      <c r="CE3" s="0" t="n">
        <v>82</v>
      </c>
      <c r="CF3" s="0" t="n">
        <v>83</v>
      </c>
      <c r="CG3" s="0" t="n">
        <v>84</v>
      </c>
      <c r="CH3" s="0" t="n">
        <v>85</v>
      </c>
      <c r="CI3" s="0" t="n">
        <v>86</v>
      </c>
      <c r="CJ3" s="0" t="n">
        <v>87</v>
      </c>
      <c r="CK3" s="0" t="n">
        <v>88</v>
      </c>
      <c r="CL3" s="0" t="n">
        <v>89</v>
      </c>
      <c r="CM3" s="0" t="n">
        <v>90</v>
      </c>
      <c r="CN3" s="0" t="n">
        <v>91</v>
      </c>
      <c r="CO3" s="0" t="n">
        <v>92</v>
      </c>
      <c r="CP3" s="0" t="n">
        <v>93</v>
      </c>
      <c r="CQ3" s="0" t="n">
        <v>94</v>
      </c>
      <c r="CR3" s="0" t="n">
        <v>95</v>
      </c>
      <c r="CS3" s="0" t="n">
        <v>96</v>
      </c>
      <c r="CT3" s="0" t="n">
        <v>97</v>
      </c>
      <c r="CU3" s="0" t="n">
        <v>98</v>
      </c>
      <c r="CV3" s="0" t="n">
        <v>99</v>
      </c>
      <c r="CW3" s="0" t="n">
        <v>100</v>
      </c>
    </row>
    <row r="4" customFormat="false" ht="15" hidden="false" customHeight="false" outlineLevel="0" collapsed="false">
      <c r="A4" s="0" t="s">
        <v>13</v>
      </c>
      <c r="B4" s="1" t="n">
        <f aca="false">DATE(YEAR(Inputs!$B$3)+B$3-1,MONTH(Inputs!$B$3),DAY(Inputs!$B$3))</f>
        <v>46381</v>
      </c>
      <c r="C4" s="1" t="n">
        <f aca="false">DATE(YEAR(Inputs!$B$3)+C$3-1,MONTH(Inputs!$B$3),DAY(Inputs!$B$3))</f>
        <v>46746</v>
      </c>
      <c r="D4" s="1" t="n">
        <f aca="false">DATE(YEAR(Inputs!$B$3)+D$3-1,MONTH(Inputs!$B$3),DAY(Inputs!$B$3))</f>
        <v>47112</v>
      </c>
      <c r="E4" s="1" t="n">
        <f aca="false">DATE(YEAR(Inputs!$B$3)+E$3-1,MONTH(Inputs!$B$3),DAY(Inputs!$B$3))</f>
        <v>47477</v>
      </c>
      <c r="F4" s="1" t="n">
        <f aca="false">DATE(YEAR(Inputs!$B$3)+F$3-1,MONTH(Inputs!$B$3),DAY(Inputs!$B$3))</f>
        <v>47842</v>
      </c>
      <c r="G4" s="1" t="n">
        <f aca="false">DATE(YEAR(Inputs!$B$3)+G$3-1,MONTH(Inputs!$B$3),DAY(Inputs!$B$3))</f>
        <v>48207</v>
      </c>
      <c r="H4" s="1" t="n">
        <f aca="false">DATE(YEAR(Inputs!$B$3)+H$3-1,MONTH(Inputs!$B$3),DAY(Inputs!$B$3))</f>
        <v>48573</v>
      </c>
      <c r="I4" s="1" t="n">
        <f aca="false">DATE(YEAR(Inputs!$B$3)+I$3-1,MONTH(Inputs!$B$3),DAY(Inputs!$B$3))</f>
        <v>48938</v>
      </c>
      <c r="J4" s="1" t="n">
        <f aca="false">DATE(YEAR(Inputs!$B$3)+J$3-1,MONTH(Inputs!$B$3),DAY(Inputs!$B$3))</f>
        <v>49303</v>
      </c>
      <c r="K4" s="1" t="n">
        <f aca="false">DATE(YEAR(Inputs!$B$3)+K$3-1,MONTH(Inputs!$B$3),DAY(Inputs!$B$3))</f>
        <v>49668</v>
      </c>
      <c r="L4" s="1" t="n">
        <f aca="false">DATE(YEAR(Inputs!$B$3)+L$3-1,MONTH(Inputs!$B$3),DAY(Inputs!$B$3))</f>
        <v>50034</v>
      </c>
      <c r="M4" s="1" t="n">
        <f aca="false">DATE(YEAR(Inputs!$B$3)+M$3-1,MONTH(Inputs!$B$3),DAY(Inputs!$B$3))</f>
        <v>50399</v>
      </c>
      <c r="N4" s="1" t="n">
        <f aca="false">DATE(YEAR(Inputs!$B$3)+N$3-1,MONTH(Inputs!$B$3),DAY(Inputs!$B$3))</f>
        <v>50764</v>
      </c>
      <c r="O4" s="1" t="n">
        <f aca="false">DATE(YEAR(Inputs!$B$3)+O$3-1,MONTH(Inputs!$B$3),DAY(Inputs!$B$3))</f>
        <v>51129</v>
      </c>
      <c r="P4" s="1" t="n">
        <f aca="false">DATE(YEAR(Inputs!$B$3)+P$3-1,MONTH(Inputs!$B$3),DAY(Inputs!$B$3))</f>
        <v>51495</v>
      </c>
      <c r="Q4" s="1" t="n">
        <f aca="false">DATE(YEAR(Inputs!$B$3)+Q$3-1,MONTH(Inputs!$B$3),DAY(Inputs!$B$3))</f>
        <v>51860</v>
      </c>
      <c r="R4" s="1" t="n">
        <f aca="false">DATE(YEAR(Inputs!$B$3)+R$3-1,MONTH(Inputs!$B$3),DAY(Inputs!$B$3))</f>
        <v>52225</v>
      </c>
      <c r="S4" s="1" t="n">
        <f aca="false">DATE(YEAR(Inputs!$B$3)+S$3-1,MONTH(Inputs!$B$3),DAY(Inputs!$B$3))</f>
        <v>52590</v>
      </c>
      <c r="T4" s="1" t="n">
        <f aca="false">DATE(YEAR(Inputs!$B$3)+T$3-1,MONTH(Inputs!$B$3),DAY(Inputs!$B$3))</f>
        <v>52956</v>
      </c>
      <c r="U4" s="1" t="n">
        <f aca="false">DATE(YEAR(Inputs!$B$3)+U$3-1,MONTH(Inputs!$B$3),DAY(Inputs!$B$3))</f>
        <v>53321</v>
      </c>
      <c r="V4" s="1" t="n">
        <f aca="false">DATE(YEAR(Inputs!$B$3)+V$3-1,MONTH(Inputs!$B$3),DAY(Inputs!$B$3))</f>
        <v>53686</v>
      </c>
      <c r="W4" s="1" t="n">
        <f aca="false">DATE(YEAR(Inputs!$B$3)+W$3-1,MONTH(Inputs!$B$3),DAY(Inputs!$B$3))</f>
        <v>54051</v>
      </c>
      <c r="X4" s="1" t="n">
        <f aca="false">DATE(YEAR(Inputs!$B$3)+X$3-1,MONTH(Inputs!$B$3),DAY(Inputs!$B$3))</f>
        <v>54417</v>
      </c>
      <c r="Y4" s="1" t="n">
        <f aca="false">DATE(YEAR(Inputs!$B$3)+Y$3-1,MONTH(Inputs!$B$3),DAY(Inputs!$B$3))</f>
        <v>54782</v>
      </c>
      <c r="Z4" s="1" t="n">
        <f aca="false">DATE(YEAR(Inputs!$B$3)+Z$3-1,MONTH(Inputs!$B$3),DAY(Inputs!$B$3))</f>
        <v>55147</v>
      </c>
      <c r="AA4" s="1" t="n">
        <f aca="false">DATE(YEAR(Inputs!$B$3)+AA$3-1,MONTH(Inputs!$B$3),DAY(Inputs!$B$3))</f>
        <v>55512</v>
      </c>
      <c r="AB4" s="1" t="n">
        <f aca="false">DATE(YEAR(Inputs!$B$3)+AB$3-1,MONTH(Inputs!$B$3),DAY(Inputs!$B$3))</f>
        <v>55878</v>
      </c>
      <c r="AC4" s="1" t="n">
        <f aca="false">DATE(YEAR(Inputs!$B$3)+AC$3-1,MONTH(Inputs!$B$3),DAY(Inputs!$B$3))</f>
        <v>56243</v>
      </c>
      <c r="AD4" s="1" t="n">
        <f aca="false">DATE(YEAR(Inputs!$B$3)+AD$3-1,MONTH(Inputs!$B$3),DAY(Inputs!$B$3))</f>
        <v>56608</v>
      </c>
      <c r="AE4" s="1" t="n">
        <f aca="false">DATE(YEAR(Inputs!$B$3)+AE$3-1,MONTH(Inputs!$B$3),DAY(Inputs!$B$3))</f>
        <v>56973</v>
      </c>
      <c r="AF4" s="1" t="n">
        <f aca="false">DATE(YEAR(Inputs!$B$3)+AF$3-1,MONTH(Inputs!$B$3),DAY(Inputs!$B$3))</f>
        <v>57339</v>
      </c>
      <c r="AG4" s="1" t="n">
        <f aca="false">DATE(YEAR(Inputs!$B$3)+AG$3-1,MONTH(Inputs!$B$3),DAY(Inputs!$B$3))</f>
        <v>57704</v>
      </c>
      <c r="AH4" s="1" t="n">
        <f aca="false">DATE(YEAR(Inputs!$B$3)+AH$3-1,MONTH(Inputs!$B$3),DAY(Inputs!$B$3))</f>
        <v>58069</v>
      </c>
      <c r="AI4" s="1" t="n">
        <f aca="false">DATE(YEAR(Inputs!$B$3)+AI$3-1,MONTH(Inputs!$B$3),DAY(Inputs!$B$3))</f>
        <v>58434</v>
      </c>
      <c r="AJ4" s="1" t="n">
        <f aca="false">DATE(YEAR(Inputs!$B$3)+AJ$3-1,MONTH(Inputs!$B$3),DAY(Inputs!$B$3))</f>
        <v>58800</v>
      </c>
      <c r="AK4" s="1" t="n">
        <f aca="false">DATE(YEAR(Inputs!$B$3)+AK$3-1,MONTH(Inputs!$B$3),DAY(Inputs!$B$3))</f>
        <v>59165</v>
      </c>
      <c r="AL4" s="1" t="n">
        <f aca="false">DATE(YEAR(Inputs!$B$3)+AL$3-1,MONTH(Inputs!$B$3),DAY(Inputs!$B$3))</f>
        <v>59530</v>
      </c>
      <c r="AM4" s="1" t="n">
        <f aca="false">DATE(YEAR(Inputs!$B$3)+AM$3-1,MONTH(Inputs!$B$3),DAY(Inputs!$B$3))</f>
        <v>59895</v>
      </c>
      <c r="AN4" s="1" t="n">
        <f aca="false">DATE(YEAR(Inputs!$B$3)+AN$3-1,MONTH(Inputs!$B$3),DAY(Inputs!$B$3))</f>
        <v>60261</v>
      </c>
      <c r="AO4" s="1" t="n">
        <f aca="false">DATE(YEAR(Inputs!$B$3)+AO$3-1,MONTH(Inputs!$B$3),DAY(Inputs!$B$3))</f>
        <v>60626</v>
      </c>
      <c r="AP4" s="1" t="n">
        <f aca="false">DATE(YEAR(Inputs!$B$3)+AP$3-1,MONTH(Inputs!$B$3),DAY(Inputs!$B$3))</f>
        <v>60991</v>
      </c>
      <c r="AQ4" s="1" t="n">
        <f aca="false">DATE(YEAR(Inputs!$B$3)+AQ$3-1,MONTH(Inputs!$B$3),DAY(Inputs!$B$3))</f>
        <v>61356</v>
      </c>
      <c r="AR4" s="1" t="n">
        <f aca="false">DATE(YEAR(Inputs!$B$3)+AR$3-1,MONTH(Inputs!$B$3),DAY(Inputs!$B$3))</f>
        <v>61722</v>
      </c>
      <c r="AS4" s="1" t="n">
        <f aca="false">DATE(YEAR(Inputs!$B$3)+AS$3-1,MONTH(Inputs!$B$3),DAY(Inputs!$B$3))</f>
        <v>62087</v>
      </c>
      <c r="AT4" s="1" t="n">
        <f aca="false">DATE(YEAR(Inputs!$B$3)+AT$3-1,MONTH(Inputs!$B$3),DAY(Inputs!$B$3))</f>
        <v>62452</v>
      </c>
      <c r="AU4" s="1" t="n">
        <f aca="false">DATE(YEAR(Inputs!$B$3)+AU$3-1,MONTH(Inputs!$B$3),DAY(Inputs!$B$3))</f>
        <v>62817</v>
      </c>
      <c r="AV4" s="1" t="n">
        <f aca="false">DATE(YEAR(Inputs!$B$3)+AV$3-1,MONTH(Inputs!$B$3),DAY(Inputs!$B$3))</f>
        <v>63183</v>
      </c>
      <c r="AW4" s="1" t="n">
        <f aca="false">DATE(YEAR(Inputs!$B$3)+AW$3-1,MONTH(Inputs!$B$3),DAY(Inputs!$B$3))</f>
        <v>63548</v>
      </c>
      <c r="AX4" s="1" t="n">
        <f aca="false">DATE(YEAR(Inputs!$B$3)+AX$3-1,MONTH(Inputs!$B$3),DAY(Inputs!$B$3))</f>
        <v>63913</v>
      </c>
      <c r="AY4" s="1" t="n">
        <f aca="false">DATE(YEAR(Inputs!$B$3)+AY$3-1,MONTH(Inputs!$B$3),DAY(Inputs!$B$3))</f>
        <v>64278</v>
      </c>
      <c r="AZ4" s="1" t="n">
        <f aca="false">DATE(YEAR(Inputs!$B$3)+AZ$3-1,MONTH(Inputs!$B$3),DAY(Inputs!$B$3))</f>
        <v>64644</v>
      </c>
      <c r="BA4" s="1" t="n">
        <f aca="false">DATE(YEAR(Inputs!$B$3)+BA$3-1,MONTH(Inputs!$B$3),DAY(Inputs!$B$3))</f>
        <v>65009</v>
      </c>
      <c r="BB4" s="1" t="n">
        <f aca="false">DATE(YEAR(Inputs!$B$3)+BB$3-1,MONTH(Inputs!$B$3),DAY(Inputs!$B$3))</f>
        <v>65374</v>
      </c>
      <c r="BC4" s="1" t="n">
        <f aca="false">DATE(YEAR(Inputs!$B$3)+BC$3-1,MONTH(Inputs!$B$3),DAY(Inputs!$B$3))</f>
        <v>65739</v>
      </c>
      <c r="BD4" s="1" t="n">
        <f aca="false">DATE(YEAR(Inputs!$B$3)+BD$3-1,MONTH(Inputs!$B$3),DAY(Inputs!$B$3))</f>
        <v>66105</v>
      </c>
      <c r="BE4" s="1" t="n">
        <f aca="false">DATE(YEAR(Inputs!$B$3)+BE$3-1,MONTH(Inputs!$B$3),DAY(Inputs!$B$3))</f>
        <v>66470</v>
      </c>
      <c r="BF4" s="1" t="n">
        <f aca="false">DATE(YEAR(Inputs!$B$3)+BF$3-1,MONTH(Inputs!$B$3),DAY(Inputs!$B$3))</f>
        <v>66835</v>
      </c>
      <c r="BG4" s="1" t="n">
        <f aca="false">DATE(YEAR(Inputs!$B$3)+BG$3-1,MONTH(Inputs!$B$3),DAY(Inputs!$B$3))</f>
        <v>67200</v>
      </c>
      <c r="BH4" s="1" t="n">
        <f aca="false">DATE(YEAR(Inputs!$B$3)+BH$3-1,MONTH(Inputs!$B$3),DAY(Inputs!$B$3))</f>
        <v>67566</v>
      </c>
      <c r="BI4" s="1" t="n">
        <f aca="false">DATE(YEAR(Inputs!$B$3)+BI$3-1,MONTH(Inputs!$B$3),DAY(Inputs!$B$3))</f>
        <v>67931</v>
      </c>
      <c r="BJ4" s="1" t="n">
        <f aca="false">DATE(YEAR(Inputs!$B$3)+BJ$3-1,MONTH(Inputs!$B$3),DAY(Inputs!$B$3))</f>
        <v>68296</v>
      </c>
      <c r="BK4" s="1" t="n">
        <f aca="false">DATE(YEAR(Inputs!$B$3)+BK$3-1,MONTH(Inputs!$B$3),DAY(Inputs!$B$3))</f>
        <v>68661</v>
      </c>
      <c r="BL4" s="1" t="n">
        <f aca="false">DATE(YEAR(Inputs!$B$3)+BL$3-1,MONTH(Inputs!$B$3),DAY(Inputs!$B$3))</f>
        <v>69027</v>
      </c>
      <c r="BM4" s="1" t="n">
        <f aca="false">DATE(YEAR(Inputs!$B$3)+BM$3-1,MONTH(Inputs!$B$3),DAY(Inputs!$B$3))</f>
        <v>69392</v>
      </c>
      <c r="BN4" s="1" t="n">
        <f aca="false">DATE(YEAR(Inputs!$B$3)+BN$3-1,MONTH(Inputs!$B$3),DAY(Inputs!$B$3))</f>
        <v>69757</v>
      </c>
      <c r="BO4" s="1" t="n">
        <f aca="false">DATE(YEAR(Inputs!$B$3)+BO$3-1,MONTH(Inputs!$B$3),DAY(Inputs!$B$3))</f>
        <v>70122</v>
      </c>
      <c r="BP4" s="1" t="n">
        <f aca="false">DATE(YEAR(Inputs!$B$3)+BP$3-1,MONTH(Inputs!$B$3),DAY(Inputs!$B$3))</f>
        <v>70488</v>
      </c>
      <c r="BQ4" s="1" t="n">
        <f aca="false">DATE(YEAR(Inputs!$B$3)+BQ$3-1,MONTH(Inputs!$B$3),DAY(Inputs!$B$3))</f>
        <v>70853</v>
      </c>
      <c r="BR4" s="1" t="n">
        <f aca="false">DATE(YEAR(Inputs!$B$3)+BR$3-1,MONTH(Inputs!$B$3),DAY(Inputs!$B$3))</f>
        <v>71218</v>
      </c>
      <c r="BS4" s="1" t="n">
        <f aca="false">DATE(YEAR(Inputs!$B$3)+BS$3-1,MONTH(Inputs!$B$3),DAY(Inputs!$B$3))</f>
        <v>71583</v>
      </c>
      <c r="BT4" s="1" t="n">
        <f aca="false">DATE(YEAR(Inputs!$B$3)+BT$3-1,MONTH(Inputs!$B$3),DAY(Inputs!$B$3))</f>
        <v>71949</v>
      </c>
      <c r="BU4" s="1" t="n">
        <f aca="false">DATE(YEAR(Inputs!$B$3)+BU$3-1,MONTH(Inputs!$B$3),DAY(Inputs!$B$3))</f>
        <v>72314</v>
      </c>
      <c r="BV4" s="1" t="n">
        <f aca="false">DATE(YEAR(Inputs!$B$3)+BV$3-1,MONTH(Inputs!$B$3),DAY(Inputs!$B$3))</f>
        <v>72679</v>
      </c>
      <c r="BW4" s="1" t="n">
        <f aca="false">DATE(YEAR(Inputs!$B$3)+BW$3-1,MONTH(Inputs!$B$3),DAY(Inputs!$B$3))</f>
        <v>73044</v>
      </c>
      <c r="BX4" s="1" t="n">
        <f aca="false">DATE(YEAR(Inputs!$B$3)+BX$3-1,MONTH(Inputs!$B$3),DAY(Inputs!$B$3))</f>
        <v>73409</v>
      </c>
      <c r="BY4" s="1" t="n">
        <f aca="false">DATE(YEAR(Inputs!$B$3)+BY$3-1,MONTH(Inputs!$B$3),DAY(Inputs!$B$3))</f>
        <v>73774</v>
      </c>
      <c r="BZ4" s="1" t="n">
        <f aca="false">DATE(YEAR(Inputs!$B$3)+BZ$3-1,MONTH(Inputs!$B$3),DAY(Inputs!$B$3))</f>
        <v>74139</v>
      </c>
      <c r="CA4" s="1" t="n">
        <f aca="false">DATE(YEAR(Inputs!$B$3)+CA$3-1,MONTH(Inputs!$B$3),DAY(Inputs!$B$3))</f>
        <v>74504</v>
      </c>
      <c r="CB4" s="1" t="n">
        <f aca="false">DATE(YEAR(Inputs!$B$3)+CB$3-1,MONTH(Inputs!$B$3),DAY(Inputs!$B$3))</f>
        <v>74870</v>
      </c>
      <c r="CC4" s="1" t="n">
        <f aca="false">DATE(YEAR(Inputs!$B$3)+CC$3-1,MONTH(Inputs!$B$3),DAY(Inputs!$B$3))</f>
        <v>75235</v>
      </c>
      <c r="CD4" s="1" t="n">
        <f aca="false">DATE(YEAR(Inputs!$B$3)+CD$3-1,MONTH(Inputs!$B$3),DAY(Inputs!$B$3))</f>
        <v>75600</v>
      </c>
      <c r="CE4" s="1" t="n">
        <f aca="false">DATE(YEAR(Inputs!$B$3)+CE$3-1,MONTH(Inputs!$B$3),DAY(Inputs!$B$3))</f>
        <v>75965</v>
      </c>
      <c r="CF4" s="1" t="n">
        <f aca="false">DATE(YEAR(Inputs!$B$3)+CF$3-1,MONTH(Inputs!$B$3),DAY(Inputs!$B$3))</f>
        <v>76331</v>
      </c>
      <c r="CG4" s="1" t="n">
        <f aca="false">DATE(YEAR(Inputs!$B$3)+CG$3-1,MONTH(Inputs!$B$3),DAY(Inputs!$B$3))</f>
        <v>76696</v>
      </c>
      <c r="CH4" s="1" t="n">
        <f aca="false">DATE(YEAR(Inputs!$B$3)+CH$3-1,MONTH(Inputs!$B$3),DAY(Inputs!$B$3))</f>
        <v>77061</v>
      </c>
      <c r="CI4" s="1" t="n">
        <f aca="false">DATE(YEAR(Inputs!$B$3)+CI$3-1,MONTH(Inputs!$B$3),DAY(Inputs!$B$3))</f>
        <v>77426</v>
      </c>
      <c r="CJ4" s="1" t="n">
        <f aca="false">DATE(YEAR(Inputs!$B$3)+CJ$3-1,MONTH(Inputs!$B$3),DAY(Inputs!$B$3))</f>
        <v>77792</v>
      </c>
      <c r="CK4" s="1" t="n">
        <f aca="false">DATE(YEAR(Inputs!$B$3)+CK$3-1,MONTH(Inputs!$B$3),DAY(Inputs!$B$3))</f>
        <v>78157</v>
      </c>
      <c r="CL4" s="1" t="n">
        <f aca="false">DATE(YEAR(Inputs!$B$3)+CL$3-1,MONTH(Inputs!$B$3),DAY(Inputs!$B$3))</f>
        <v>78522</v>
      </c>
      <c r="CM4" s="1" t="n">
        <f aca="false">DATE(YEAR(Inputs!$B$3)+CM$3-1,MONTH(Inputs!$B$3),DAY(Inputs!$B$3))</f>
        <v>78887</v>
      </c>
      <c r="CN4" s="1" t="n">
        <f aca="false">DATE(YEAR(Inputs!$B$3)+CN$3-1,MONTH(Inputs!$B$3),DAY(Inputs!$B$3))</f>
        <v>79253</v>
      </c>
      <c r="CO4" s="1" t="n">
        <f aca="false">DATE(YEAR(Inputs!$B$3)+CO$3-1,MONTH(Inputs!$B$3),DAY(Inputs!$B$3))</f>
        <v>79618</v>
      </c>
      <c r="CP4" s="1" t="n">
        <f aca="false">DATE(YEAR(Inputs!$B$3)+CP$3-1,MONTH(Inputs!$B$3),DAY(Inputs!$B$3))</f>
        <v>79983</v>
      </c>
      <c r="CQ4" s="1" t="n">
        <f aca="false">DATE(YEAR(Inputs!$B$3)+CQ$3-1,MONTH(Inputs!$B$3),DAY(Inputs!$B$3))</f>
        <v>80348</v>
      </c>
      <c r="CR4" s="1" t="n">
        <f aca="false">DATE(YEAR(Inputs!$B$3)+CR$3-1,MONTH(Inputs!$B$3),DAY(Inputs!$B$3))</f>
        <v>80714</v>
      </c>
      <c r="CS4" s="1" t="n">
        <f aca="false">DATE(YEAR(Inputs!$B$3)+CS$3-1,MONTH(Inputs!$B$3),DAY(Inputs!$B$3))</f>
        <v>81079</v>
      </c>
      <c r="CT4" s="1" t="n">
        <f aca="false">DATE(YEAR(Inputs!$B$3)+CT$3-1,MONTH(Inputs!$B$3),DAY(Inputs!$B$3))</f>
        <v>81444</v>
      </c>
      <c r="CU4" s="1" t="n">
        <f aca="false">DATE(YEAR(Inputs!$B$3)+CU$3-1,MONTH(Inputs!$B$3),DAY(Inputs!$B$3))</f>
        <v>81809</v>
      </c>
      <c r="CV4" s="1" t="n">
        <f aca="false">DATE(YEAR(Inputs!$B$3)+CV$3-1,MONTH(Inputs!$B$3),DAY(Inputs!$B$3))</f>
        <v>82175</v>
      </c>
      <c r="CW4" s="1" t="n">
        <f aca="false">DATE(YEAR(Inputs!$B$3)+CW$3-1,MONTH(Inputs!$B$3),DAY(Inputs!$B$3))</f>
        <v>82540</v>
      </c>
    </row>
    <row r="5" customFormat="false" ht="15" hidden="false" customHeight="false" outlineLevel="0" collapsed="false">
      <c r="A5" s="0" t="s">
        <v>14</v>
      </c>
      <c r="B5" s="0" t="n">
        <f aca="false">IF(AND(B$3&gt;1,MOD(B$3-1,Inputs!$B$9)=0),1,0)</f>
        <v>0</v>
      </c>
      <c r="C5" s="0" t="n">
        <f aca="false">IF(AND(C$3&gt;1,MOD(C$3-1,Inputs!$B$9)=0),1,0)</f>
        <v>0</v>
      </c>
      <c r="D5" s="0" t="n">
        <f aca="false">IF(AND(D$3&gt;1,MOD(D$3-1,Inputs!$B$9)=0),1,0)</f>
        <v>0</v>
      </c>
      <c r="E5" s="0" t="n">
        <f aca="false">IF(AND(E$3&gt;1,MOD(E$3-1,Inputs!$B$9)=0),1,0)</f>
        <v>0</v>
      </c>
      <c r="F5" s="0" t="n">
        <f aca="false">IF(AND(F$3&gt;1,MOD(F$3-1,Inputs!$B$9)=0),1,0)</f>
        <v>0</v>
      </c>
      <c r="G5" s="0" t="n">
        <f aca="false">IF(AND(G$3&gt;1,MOD(G$3-1,Inputs!$B$9)=0),1,0)</f>
        <v>1</v>
      </c>
      <c r="H5" s="0" t="n">
        <f aca="false">IF(AND(H$3&gt;1,MOD(H$3-1,Inputs!$B$9)=0),1,0)</f>
        <v>0</v>
      </c>
      <c r="I5" s="0" t="n">
        <f aca="false">IF(AND(I$3&gt;1,MOD(I$3-1,Inputs!$B$9)=0),1,0)</f>
        <v>0</v>
      </c>
      <c r="J5" s="0" t="n">
        <f aca="false">IF(AND(J$3&gt;1,MOD(J$3-1,Inputs!$B$9)=0),1,0)</f>
        <v>0</v>
      </c>
      <c r="K5" s="0" t="n">
        <f aca="false">IF(AND(K$3&gt;1,MOD(K$3-1,Inputs!$B$9)=0),1,0)</f>
        <v>0</v>
      </c>
      <c r="L5" s="0" t="n">
        <f aca="false">IF(AND(L$3&gt;1,MOD(L$3-1,Inputs!$B$9)=0),1,0)</f>
        <v>1</v>
      </c>
      <c r="M5" s="0" t="n">
        <f aca="false">IF(AND(M$3&gt;1,MOD(M$3-1,Inputs!$B$9)=0),1,0)</f>
        <v>0</v>
      </c>
      <c r="N5" s="0" t="n">
        <f aca="false">IF(AND(N$3&gt;1,MOD(N$3-1,Inputs!$B$9)=0),1,0)</f>
        <v>0</v>
      </c>
      <c r="O5" s="0" t="n">
        <f aca="false">IF(AND(O$3&gt;1,MOD(O$3-1,Inputs!$B$9)=0),1,0)</f>
        <v>0</v>
      </c>
      <c r="P5" s="0" t="n">
        <f aca="false">IF(AND(P$3&gt;1,MOD(P$3-1,Inputs!$B$9)=0),1,0)</f>
        <v>0</v>
      </c>
      <c r="Q5" s="0" t="n">
        <f aca="false">IF(AND(Q$3&gt;1,MOD(Q$3-1,Inputs!$B$9)=0),1,0)</f>
        <v>1</v>
      </c>
      <c r="R5" s="0" t="n">
        <f aca="false">IF(AND(R$3&gt;1,MOD(R$3-1,Inputs!$B$9)=0),1,0)</f>
        <v>0</v>
      </c>
      <c r="S5" s="0" t="n">
        <f aca="false">IF(AND(S$3&gt;1,MOD(S$3-1,Inputs!$B$9)=0),1,0)</f>
        <v>0</v>
      </c>
      <c r="T5" s="0" t="n">
        <f aca="false">IF(AND(T$3&gt;1,MOD(T$3-1,Inputs!$B$9)=0),1,0)</f>
        <v>0</v>
      </c>
      <c r="U5" s="0" t="n">
        <f aca="false">IF(AND(U$3&gt;1,MOD(U$3-1,Inputs!$B$9)=0),1,0)</f>
        <v>0</v>
      </c>
      <c r="V5" s="0" t="n">
        <f aca="false">IF(AND(V$3&gt;1,MOD(V$3-1,Inputs!$B$9)=0),1,0)</f>
        <v>1</v>
      </c>
      <c r="W5" s="0" t="n">
        <f aca="false">IF(AND(W$3&gt;1,MOD(W$3-1,Inputs!$B$9)=0),1,0)</f>
        <v>0</v>
      </c>
      <c r="X5" s="0" t="n">
        <f aca="false">IF(AND(X$3&gt;1,MOD(X$3-1,Inputs!$B$9)=0),1,0)</f>
        <v>0</v>
      </c>
      <c r="Y5" s="0" t="n">
        <f aca="false">IF(AND(Y$3&gt;1,MOD(Y$3-1,Inputs!$B$9)=0),1,0)</f>
        <v>0</v>
      </c>
      <c r="Z5" s="0" t="n">
        <f aca="false">IF(AND(Z$3&gt;1,MOD(Z$3-1,Inputs!$B$9)=0),1,0)</f>
        <v>0</v>
      </c>
      <c r="AA5" s="0" t="n">
        <f aca="false">IF(AND(AA$3&gt;1,MOD(AA$3-1,Inputs!$B$9)=0),1,0)</f>
        <v>1</v>
      </c>
      <c r="AB5" s="0" t="n">
        <f aca="false">IF(AND(AB$3&gt;1,MOD(AB$3-1,Inputs!$B$9)=0),1,0)</f>
        <v>0</v>
      </c>
      <c r="AC5" s="0" t="n">
        <f aca="false">IF(AND(AC$3&gt;1,MOD(AC$3-1,Inputs!$B$9)=0),1,0)</f>
        <v>0</v>
      </c>
      <c r="AD5" s="0" t="n">
        <f aca="false">IF(AND(AD$3&gt;1,MOD(AD$3-1,Inputs!$B$9)=0),1,0)</f>
        <v>0</v>
      </c>
      <c r="AE5" s="0" t="n">
        <f aca="false">IF(AND(AE$3&gt;1,MOD(AE$3-1,Inputs!$B$9)=0),1,0)</f>
        <v>0</v>
      </c>
      <c r="AF5" s="0" t="n">
        <f aca="false">IF(AND(AF$3&gt;1,MOD(AF$3-1,Inputs!$B$9)=0),1,0)</f>
        <v>1</v>
      </c>
      <c r="AG5" s="0" t="n">
        <f aca="false">IF(AND(AG$3&gt;1,MOD(AG$3-1,Inputs!$B$9)=0),1,0)</f>
        <v>0</v>
      </c>
      <c r="AH5" s="0" t="n">
        <f aca="false">IF(AND(AH$3&gt;1,MOD(AH$3-1,Inputs!$B$9)=0),1,0)</f>
        <v>0</v>
      </c>
      <c r="AI5" s="0" t="n">
        <f aca="false">IF(AND(AI$3&gt;1,MOD(AI$3-1,Inputs!$B$9)=0),1,0)</f>
        <v>0</v>
      </c>
      <c r="AJ5" s="0" t="n">
        <f aca="false">IF(AND(AJ$3&gt;1,MOD(AJ$3-1,Inputs!$B$9)=0),1,0)</f>
        <v>0</v>
      </c>
      <c r="AK5" s="0" t="n">
        <f aca="false">IF(AND(AK$3&gt;1,MOD(AK$3-1,Inputs!$B$9)=0),1,0)</f>
        <v>1</v>
      </c>
      <c r="AL5" s="0" t="n">
        <f aca="false">IF(AND(AL$3&gt;1,MOD(AL$3-1,Inputs!$B$9)=0),1,0)</f>
        <v>0</v>
      </c>
      <c r="AM5" s="0" t="n">
        <f aca="false">IF(AND(AM$3&gt;1,MOD(AM$3-1,Inputs!$B$9)=0),1,0)</f>
        <v>0</v>
      </c>
      <c r="AN5" s="0" t="n">
        <f aca="false">IF(AND(AN$3&gt;1,MOD(AN$3-1,Inputs!$B$9)=0),1,0)</f>
        <v>0</v>
      </c>
      <c r="AO5" s="0" t="n">
        <f aca="false">IF(AND(AO$3&gt;1,MOD(AO$3-1,Inputs!$B$9)=0),1,0)</f>
        <v>0</v>
      </c>
      <c r="AP5" s="0" t="n">
        <f aca="false">IF(AND(AP$3&gt;1,MOD(AP$3-1,Inputs!$B$9)=0),1,0)</f>
        <v>1</v>
      </c>
      <c r="AQ5" s="0" t="n">
        <f aca="false">IF(AND(AQ$3&gt;1,MOD(AQ$3-1,Inputs!$B$9)=0),1,0)</f>
        <v>0</v>
      </c>
      <c r="AR5" s="0" t="n">
        <f aca="false">IF(AND(AR$3&gt;1,MOD(AR$3-1,Inputs!$B$9)=0),1,0)</f>
        <v>0</v>
      </c>
      <c r="AS5" s="0" t="n">
        <f aca="false">IF(AND(AS$3&gt;1,MOD(AS$3-1,Inputs!$B$9)=0),1,0)</f>
        <v>0</v>
      </c>
      <c r="AT5" s="0" t="n">
        <f aca="false">IF(AND(AT$3&gt;1,MOD(AT$3-1,Inputs!$B$9)=0),1,0)</f>
        <v>0</v>
      </c>
      <c r="AU5" s="0" t="n">
        <f aca="false">IF(AND(AU$3&gt;1,MOD(AU$3-1,Inputs!$B$9)=0),1,0)</f>
        <v>1</v>
      </c>
      <c r="AV5" s="0" t="n">
        <f aca="false">IF(AND(AV$3&gt;1,MOD(AV$3-1,Inputs!$B$9)=0),1,0)</f>
        <v>0</v>
      </c>
      <c r="AW5" s="0" t="n">
        <f aca="false">IF(AND(AW$3&gt;1,MOD(AW$3-1,Inputs!$B$9)=0),1,0)</f>
        <v>0</v>
      </c>
      <c r="AX5" s="0" t="n">
        <f aca="false">IF(AND(AX$3&gt;1,MOD(AX$3-1,Inputs!$B$9)=0),1,0)</f>
        <v>0</v>
      </c>
      <c r="AY5" s="0" t="n">
        <f aca="false">IF(AND(AY$3&gt;1,MOD(AY$3-1,Inputs!$B$9)=0),1,0)</f>
        <v>0</v>
      </c>
      <c r="AZ5" s="0" t="n">
        <f aca="false">IF(AND(AZ$3&gt;1,MOD(AZ$3-1,Inputs!$B$9)=0),1,0)</f>
        <v>1</v>
      </c>
      <c r="BA5" s="0" t="n">
        <f aca="false">IF(AND(BA$3&gt;1,MOD(BA$3-1,Inputs!$B$9)=0),1,0)</f>
        <v>0</v>
      </c>
      <c r="BB5" s="0" t="n">
        <f aca="false">IF(AND(BB$3&gt;1,MOD(BB$3-1,Inputs!$B$9)=0),1,0)</f>
        <v>0</v>
      </c>
      <c r="BC5" s="0" t="n">
        <f aca="false">IF(AND(BC$3&gt;1,MOD(BC$3-1,Inputs!$B$9)=0),1,0)</f>
        <v>0</v>
      </c>
      <c r="BD5" s="0" t="n">
        <f aca="false">IF(AND(BD$3&gt;1,MOD(BD$3-1,Inputs!$B$9)=0),1,0)</f>
        <v>0</v>
      </c>
      <c r="BE5" s="0" t="n">
        <f aca="false">IF(AND(BE$3&gt;1,MOD(BE$3-1,Inputs!$B$9)=0),1,0)</f>
        <v>1</v>
      </c>
      <c r="BF5" s="0" t="n">
        <f aca="false">IF(AND(BF$3&gt;1,MOD(BF$3-1,Inputs!$B$9)=0),1,0)</f>
        <v>0</v>
      </c>
      <c r="BG5" s="0" t="n">
        <f aca="false">IF(AND(BG$3&gt;1,MOD(BG$3-1,Inputs!$B$9)=0),1,0)</f>
        <v>0</v>
      </c>
      <c r="BH5" s="0" t="n">
        <f aca="false">IF(AND(BH$3&gt;1,MOD(BH$3-1,Inputs!$B$9)=0),1,0)</f>
        <v>0</v>
      </c>
      <c r="BI5" s="0" t="n">
        <f aca="false">IF(AND(BI$3&gt;1,MOD(BI$3-1,Inputs!$B$9)=0),1,0)</f>
        <v>0</v>
      </c>
      <c r="BJ5" s="0" t="n">
        <f aca="false">IF(AND(BJ$3&gt;1,MOD(BJ$3-1,Inputs!$B$9)=0),1,0)</f>
        <v>1</v>
      </c>
      <c r="BK5" s="0" t="n">
        <f aca="false">IF(AND(BK$3&gt;1,MOD(BK$3-1,Inputs!$B$9)=0),1,0)</f>
        <v>0</v>
      </c>
      <c r="BL5" s="0" t="n">
        <f aca="false">IF(AND(BL$3&gt;1,MOD(BL$3-1,Inputs!$B$9)=0),1,0)</f>
        <v>0</v>
      </c>
      <c r="BM5" s="0" t="n">
        <f aca="false">IF(AND(BM$3&gt;1,MOD(BM$3-1,Inputs!$B$9)=0),1,0)</f>
        <v>0</v>
      </c>
      <c r="BN5" s="0" t="n">
        <f aca="false">IF(AND(BN$3&gt;1,MOD(BN$3-1,Inputs!$B$9)=0),1,0)</f>
        <v>0</v>
      </c>
      <c r="BO5" s="0" t="n">
        <f aca="false">IF(AND(BO$3&gt;1,MOD(BO$3-1,Inputs!$B$9)=0),1,0)</f>
        <v>1</v>
      </c>
      <c r="BP5" s="0" t="n">
        <f aca="false">IF(AND(BP$3&gt;1,MOD(BP$3-1,Inputs!$B$9)=0),1,0)</f>
        <v>0</v>
      </c>
      <c r="BQ5" s="0" t="n">
        <f aca="false">IF(AND(BQ$3&gt;1,MOD(BQ$3-1,Inputs!$B$9)=0),1,0)</f>
        <v>0</v>
      </c>
      <c r="BR5" s="0" t="n">
        <f aca="false">IF(AND(BR$3&gt;1,MOD(BR$3-1,Inputs!$B$9)=0),1,0)</f>
        <v>0</v>
      </c>
      <c r="BS5" s="0" t="n">
        <f aca="false">IF(AND(BS$3&gt;1,MOD(BS$3-1,Inputs!$B$9)=0),1,0)</f>
        <v>0</v>
      </c>
      <c r="BT5" s="0" t="n">
        <f aca="false">IF(AND(BT$3&gt;1,MOD(BT$3-1,Inputs!$B$9)=0),1,0)</f>
        <v>1</v>
      </c>
      <c r="BU5" s="0" t="n">
        <f aca="false">IF(AND(BU$3&gt;1,MOD(BU$3-1,Inputs!$B$9)=0),1,0)</f>
        <v>0</v>
      </c>
      <c r="BV5" s="0" t="n">
        <f aca="false">IF(AND(BV$3&gt;1,MOD(BV$3-1,Inputs!$B$9)=0),1,0)</f>
        <v>0</v>
      </c>
      <c r="BW5" s="0" t="n">
        <f aca="false">IF(AND(BW$3&gt;1,MOD(BW$3-1,Inputs!$B$9)=0),1,0)</f>
        <v>0</v>
      </c>
      <c r="BX5" s="0" t="n">
        <f aca="false">IF(AND(BX$3&gt;1,MOD(BX$3-1,Inputs!$B$9)=0),1,0)</f>
        <v>0</v>
      </c>
      <c r="BY5" s="0" t="n">
        <f aca="false">IF(AND(BY$3&gt;1,MOD(BY$3-1,Inputs!$B$9)=0),1,0)</f>
        <v>1</v>
      </c>
      <c r="BZ5" s="0" t="n">
        <f aca="false">IF(AND(BZ$3&gt;1,MOD(BZ$3-1,Inputs!$B$9)=0),1,0)</f>
        <v>0</v>
      </c>
      <c r="CA5" s="0" t="n">
        <f aca="false">IF(AND(CA$3&gt;1,MOD(CA$3-1,Inputs!$B$9)=0),1,0)</f>
        <v>0</v>
      </c>
      <c r="CB5" s="0" t="n">
        <f aca="false">IF(AND(CB$3&gt;1,MOD(CB$3-1,Inputs!$B$9)=0),1,0)</f>
        <v>0</v>
      </c>
      <c r="CC5" s="0" t="n">
        <f aca="false">IF(AND(CC$3&gt;1,MOD(CC$3-1,Inputs!$B$9)=0),1,0)</f>
        <v>0</v>
      </c>
      <c r="CD5" s="0" t="n">
        <f aca="false">IF(AND(CD$3&gt;1,MOD(CD$3-1,Inputs!$B$9)=0),1,0)</f>
        <v>1</v>
      </c>
      <c r="CE5" s="0" t="n">
        <f aca="false">IF(AND(CE$3&gt;1,MOD(CE$3-1,Inputs!$B$9)=0),1,0)</f>
        <v>0</v>
      </c>
      <c r="CF5" s="0" t="n">
        <f aca="false">IF(AND(CF$3&gt;1,MOD(CF$3-1,Inputs!$B$9)=0),1,0)</f>
        <v>0</v>
      </c>
      <c r="CG5" s="0" t="n">
        <f aca="false">IF(AND(CG$3&gt;1,MOD(CG$3-1,Inputs!$B$9)=0),1,0)</f>
        <v>0</v>
      </c>
      <c r="CH5" s="0" t="n">
        <f aca="false">IF(AND(CH$3&gt;1,MOD(CH$3-1,Inputs!$B$9)=0),1,0)</f>
        <v>0</v>
      </c>
      <c r="CI5" s="0" t="n">
        <f aca="false">IF(AND(CI$3&gt;1,MOD(CI$3-1,Inputs!$B$9)=0),1,0)</f>
        <v>1</v>
      </c>
      <c r="CJ5" s="0" t="n">
        <f aca="false">IF(AND(CJ$3&gt;1,MOD(CJ$3-1,Inputs!$B$9)=0),1,0)</f>
        <v>0</v>
      </c>
      <c r="CK5" s="0" t="n">
        <f aca="false">IF(AND(CK$3&gt;1,MOD(CK$3-1,Inputs!$B$9)=0),1,0)</f>
        <v>0</v>
      </c>
      <c r="CL5" s="0" t="n">
        <f aca="false">IF(AND(CL$3&gt;1,MOD(CL$3-1,Inputs!$B$9)=0),1,0)</f>
        <v>0</v>
      </c>
      <c r="CM5" s="0" t="n">
        <f aca="false">IF(AND(CM$3&gt;1,MOD(CM$3-1,Inputs!$B$9)=0),1,0)</f>
        <v>0</v>
      </c>
      <c r="CN5" s="0" t="n">
        <f aca="false">IF(AND(CN$3&gt;1,MOD(CN$3-1,Inputs!$B$9)=0),1,0)</f>
        <v>1</v>
      </c>
      <c r="CO5" s="0" t="n">
        <f aca="false">IF(AND(CO$3&gt;1,MOD(CO$3-1,Inputs!$B$9)=0),1,0)</f>
        <v>0</v>
      </c>
      <c r="CP5" s="0" t="n">
        <f aca="false">IF(AND(CP$3&gt;1,MOD(CP$3-1,Inputs!$B$9)=0),1,0)</f>
        <v>0</v>
      </c>
      <c r="CQ5" s="0" t="n">
        <f aca="false">IF(AND(CQ$3&gt;1,MOD(CQ$3-1,Inputs!$B$9)=0),1,0)</f>
        <v>0</v>
      </c>
      <c r="CR5" s="0" t="n">
        <f aca="false">IF(AND(CR$3&gt;1,MOD(CR$3-1,Inputs!$B$9)=0),1,0)</f>
        <v>0</v>
      </c>
      <c r="CS5" s="0" t="n">
        <f aca="false">IF(AND(CS$3&gt;1,MOD(CS$3-1,Inputs!$B$9)=0),1,0)</f>
        <v>1</v>
      </c>
      <c r="CT5" s="0" t="n">
        <f aca="false">IF(AND(CT$3&gt;1,MOD(CT$3-1,Inputs!$B$9)=0),1,0)</f>
        <v>0</v>
      </c>
      <c r="CU5" s="0" t="n">
        <f aca="false">IF(AND(CU$3&gt;1,MOD(CU$3-1,Inputs!$B$9)=0),1,0)</f>
        <v>0</v>
      </c>
      <c r="CV5" s="0" t="n">
        <f aca="false">IF(AND(CV$3&gt;1,MOD(CV$3-1,Inputs!$B$9)=0),1,0)</f>
        <v>0</v>
      </c>
      <c r="CW5" s="0" t="n">
        <f aca="false">IF(AND(CW$3&gt;1,MOD(CW$3-1,Inputs!$B$9)=0),1,0)</f>
        <v>0</v>
      </c>
    </row>
    <row r="6" customFormat="false" ht="15" hidden="false" customHeight="false" outlineLevel="0" collapsed="false">
      <c r="A6" s="0" t="s">
        <v>15</v>
      </c>
      <c r="B6" s="0" t="n">
        <f aca="false">MIN((1+Inputs!$B$8)^Inputs!$B$9,MAX((1+Inputs!$B$7)^Inputs!$B$9,(1+Inputs!$B$6)^Inputs!$B$9))</f>
        <v>1.1592740743</v>
      </c>
      <c r="C6" s="0" t="n">
        <f aca="false">MIN((1+Inputs!$B$8)^Inputs!$B$9,MAX((1+Inputs!$B$7)^Inputs!$B$9,(1+Inputs!$B$6)^Inputs!$B$9))</f>
        <v>1.1592740743</v>
      </c>
      <c r="D6" s="0" t="n">
        <f aca="false">MIN((1+Inputs!$B$8)^Inputs!$B$9,MAX((1+Inputs!$B$7)^Inputs!$B$9,(1+Inputs!$B$6)^Inputs!$B$9))</f>
        <v>1.1592740743</v>
      </c>
      <c r="E6" s="0" t="n">
        <f aca="false">MIN((1+Inputs!$B$8)^Inputs!$B$9,MAX((1+Inputs!$B$7)^Inputs!$B$9,(1+Inputs!$B$6)^Inputs!$B$9))</f>
        <v>1.1592740743</v>
      </c>
      <c r="F6" s="0" t="n">
        <f aca="false">MIN((1+Inputs!$B$8)^Inputs!$B$9,MAX((1+Inputs!$B$7)^Inputs!$B$9,(1+Inputs!$B$6)^Inputs!$B$9))</f>
        <v>1.1592740743</v>
      </c>
      <c r="G6" s="0" t="n">
        <f aca="false">MIN((1+Inputs!$B$8)^Inputs!$B$9,MAX((1+Inputs!$B$7)^Inputs!$B$9,(1+Inputs!$B$6)^Inputs!$B$9))</f>
        <v>1.1592740743</v>
      </c>
      <c r="H6" s="0" t="n">
        <f aca="false">MIN((1+Inputs!$B$8)^Inputs!$B$9,MAX((1+Inputs!$B$7)^Inputs!$B$9,(1+Inputs!$B$6)^Inputs!$B$9))</f>
        <v>1.1592740743</v>
      </c>
      <c r="I6" s="0" t="n">
        <f aca="false">MIN((1+Inputs!$B$8)^Inputs!$B$9,MAX((1+Inputs!$B$7)^Inputs!$B$9,(1+Inputs!$B$6)^Inputs!$B$9))</f>
        <v>1.1592740743</v>
      </c>
      <c r="J6" s="0" t="n">
        <f aca="false">MIN((1+Inputs!$B$8)^Inputs!$B$9,MAX((1+Inputs!$B$7)^Inputs!$B$9,(1+Inputs!$B$6)^Inputs!$B$9))</f>
        <v>1.1592740743</v>
      </c>
      <c r="K6" s="0" t="n">
        <f aca="false">MIN((1+Inputs!$B$8)^Inputs!$B$9,MAX((1+Inputs!$B$7)^Inputs!$B$9,(1+Inputs!$B$6)^Inputs!$B$9))</f>
        <v>1.1592740743</v>
      </c>
      <c r="L6" s="0" t="n">
        <f aca="false">MIN((1+Inputs!$B$8)^Inputs!$B$9,MAX((1+Inputs!$B$7)^Inputs!$B$9,(1+Inputs!$B$6)^Inputs!$B$9))</f>
        <v>1.1592740743</v>
      </c>
      <c r="M6" s="0" t="n">
        <f aca="false">MIN((1+Inputs!$B$8)^Inputs!$B$9,MAX((1+Inputs!$B$7)^Inputs!$B$9,(1+Inputs!$B$6)^Inputs!$B$9))</f>
        <v>1.1592740743</v>
      </c>
      <c r="N6" s="0" t="n">
        <f aca="false">MIN((1+Inputs!$B$8)^Inputs!$B$9,MAX((1+Inputs!$B$7)^Inputs!$B$9,(1+Inputs!$B$6)^Inputs!$B$9))</f>
        <v>1.1592740743</v>
      </c>
      <c r="O6" s="0" t="n">
        <f aca="false">MIN((1+Inputs!$B$8)^Inputs!$B$9,MAX((1+Inputs!$B$7)^Inputs!$B$9,(1+Inputs!$B$6)^Inputs!$B$9))</f>
        <v>1.1592740743</v>
      </c>
      <c r="P6" s="0" t="n">
        <f aca="false">MIN((1+Inputs!$B$8)^Inputs!$B$9,MAX((1+Inputs!$B$7)^Inputs!$B$9,(1+Inputs!$B$6)^Inputs!$B$9))</f>
        <v>1.1592740743</v>
      </c>
      <c r="Q6" s="0" t="n">
        <f aca="false">MIN((1+Inputs!$B$8)^Inputs!$B$9,MAX((1+Inputs!$B$7)^Inputs!$B$9,(1+Inputs!$B$6)^Inputs!$B$9))</f>
        <v>1.1592740743</v>
      </c>
      <c r="R6" s="0" t="n">
        <f aca="false">MIN((1+Inputs!$B$8)^Inputs!$B$9,MAX((1+Inputs!$B$7)^Inputs!$B$9,(1+Inputs!$B$6)^Inputs!$B$9))</f>
        <v>1.1592740743</v>
      </c>
      <c r="S6" s="0" t="n">
        <f aca="false">MIN((1+Inputs!$B$8)^Inputs!$B$9,MAX((1+Inputs!$B$7)^Inputs!$B$9,(1+Inputs!$B$6)^Inputs!$B$9))</f>
        <v>1.1592740743</v>
      </c>
      <c r="T6" s="0" t="n">
        <f aca="false">MIN((1+Inputs!$B$8)^Inputs!$B$9,MAX((1+Inputs!$B$7)^Inputs!$B$9,(1+Inputs!$B$6)^Inputs!$B$9))</f>
        <v>1.1592740743</v>
      </c>
      <c r="U6" s="0" t="n">
        <f aca="false">MIN((1+Inputs!$B$8)^Inputs!$B$9,MAX((1+Inputs!$B$7)^Inputs!$B$9,(1+Inputs!$B$6)^Inputs!$B$9))</f>
        <v>1.1592740743</v>
      </c>
      <c r="V6" s="0" t="n">
        <f aca="false">MIN((1+Inputs!$B$8)^Inputs!$B$9,MAX((1+Inputs!$B$7)^Inputs!$B$9,(1+Inputs!$B$6)^Inputs!$B$9))</f>
        <v>1.1592740743</v>
      </c>
      <c r="W6" s="0" t="n">
        <f aca="false">MIN((1+Inputs!$B$8)^Inputs!$B$9,MAX((1+Inputs!$B$7)^Inputs!$B$9,(1+Inputs!$B$6)^Inputs!$B$9))</f>
        <v>1.1592740743</v>
      </c>
      <c r="X6" s="0" t="n">
        <f aca="false">MIN((1+Inputs!$B$8)^Inputs!$B$9,MAX((1+Inputs!$B$7)^Inputs!$B$9,(1+Inputs!$B$6)^Inputs!$B$9))</f>
        <v>1.1592740743</v>
      </c>
      <c r="Y6" s="0" t="n">
        <f aca="false">MIN((1+Inputs!$B$8)^Inputs!$B$9,MAX((1+Inputs!$B$7)^Inputs!$B$9,(1+Inputs!$B$6)^Inputs!$B$9))</f>
        <v>1.1592740743</v>
      </c>
      <c r="Z6" s="0" t="n">
        <f aca="false">MIN((1+Inputs!$B$8)^Inputs!$B$9,MAX((1+Inputs!$B$7)^Inputs!$B$9,(1+Inputs!$B$6)^Inputs!$B$9))</f>
        <v>1.1592740743</v>
      </c>
      <c r="AA6" s="0" t="n">
        <f aca="false">MIN((1+Inputs!$B$8)^Inputs!$B$9,MAX((1+Inputs!$B$7)^Inputs!$B$9,(1+Inputs!$B$6)^Inputs!$B$9))</f>
        <v>1.1592740743</v>
      </c>
      <c r="AB6" s="0" t="n">
        <f aca="false">MIN((1+Inputs!$B$8)^Inputs!$B$9,MAX((1+Inputs!$B$7)^Inputs!$B$9,(1+Inputs!$B$6)^Inputs!$B$9))</f>
        <v>1.1592740743</v>
      </c>
      <c r="AC6" s="0" t="n">
        <f aca="false">MIN((1+Inputs!$B$8)^Inputs!$B$9,MAX((1+Inputs!$B$7)^Inputs!$B$9,(1+Inputs!$B$6)^Inputs!$B$9))</f>
        <v>1.1592740743</v>
      </c>
      <c r="AD6" s="0" t="n">
        <f aca="false">MIN((1+Inputs!$B$8)^Inputs!$B$9,MAX((1+Inputs!$B$7)^Inputs!$B$9,(1+Inputs!$B$6)^Inputs!$B$9))</f>
        <v>1.1592740743</v>
      </c>
      <c r="AE6" s="0" t="n">
        <f aca="false">MIN((1+Inputs!$B$8)^Inputs!$B$9,MAX((1+Inputs!$B$7)^Inputs!$B$9,(1+Inputs!$B$6)^Inputs!$B$9))</f>
        <v>1.1592740743</v>
      </c>
      <c r="AF6" s="0" t="n">
        <f aca="false">MIN((1+Inputs!$B$8)^Inputs!$B$9,MAX((1+Inputs!$B$7)^Inputs!$B$9,(1+Inputs!$B$6)^Inputs!$B$9))</f>
        <v>1.1592740743</v>
      </c>
      <c r="AG6" s="0" t="n">
        <f aca="false">MIN((1+Inputs!$B$8)^Inputs!$B$9,MAX((1+Inputs!$B$7)^Inputs!$B$9,(1+Inputs!$B$6)^Inputs!$B$9))</f>
        <v>1.1592740743</v>
      </c>
      <c r="AH6" s="0" t="n">
        <f aca="false">MIN((1+Inputs!$B$8)^Inputs!$B$9,MAX((1+Inputs!$B$7)^Inputs!$B$9,(1+Inputs!$B$6)^Inputs!$B$9))</f>
        <v>1.1592740743</v>
      </c>
      <c r="AI6" s="0" t="n">
        <f aca="false">MIN((1+Inputs!$B$8)^Inputs!$B$9,MAX((1+Inputs!$B$7)^Inputs!$B$9,(1+Inputs!$B$6)^Inputs!$B$9))</f>
        <v>1.1592740743</v>
      </c>
      <c r="AJ6" s="0" t="n">
        <f aca="false">MIN((1+Inputs!$B$8)^Inputs!$B$9,MAX((1+Inputs!$B$7)^Inputs!$B$9,(1+Inputs!$B$6)^Inputs!$B$9))</f>
        <v>1.1592740743</v>
      </c>
      <c r="AK6" s="0" t="n">
        <f aca="false">MIN((1+Inputs!$B$8)^Inputs!$B$9,MAX((1+Inputs!$B$7)^Inputs!$B$9,(1+Inputs!$B$6)^Inputs!$B$9))</f>
        <v>1.1592740743</v>
      </c>
      <c r="AL6" s="0" t="n">
        <f aca="false">MIN((1+Inputs!$B$8)^Inputs!$B$9,MAX((1+Inputs!$B$7)^Inputs!$B$9,(1+Inputs!$B$6)^Inputs!$B$9))</f>
        <v>1.1592740743</v>
      </c>
      <c r="AM6" s="0" t="n">
        <f aca="false">MIN((1+Inputs!$B$8)^Inputs!$B$9,MAX((1+Inputs!$B$7)^Inputs!$B$9,(1+Inputs!$B$6)^Inputs!$B$9))</f>
        <v>1.1592740743</v>
      </c>
      <c r="AN6" s="0" t="n">
        <f aca="false">MIN((1+Inputs!$B$8)^Inputs!$B$9,MAX((1+Inputs!$B$7)^Inputs!$B$9,(1+Inputs!$B$6)^Inputs!$B$9))</f>
        <v>1.1592740743</v>
      </c>
      <c r="AO6" s="0" t="n">
        <f aca="false">MIN((1+Inputs!$B$8)^Inputs!$B$9,MAX((1+Inputs!$B$7)^Inputs!$B$9,(1+Inputs!$B$6)^Inputs!$B$9))</f>
        <v>1.1592740743</v>
      </c>
      <c r="AP6" s="0" t="n">
        <f aca="false">MIN((1+Inputs!$B$8)^Inputs!$B$9,MAX((1+Inputs!$B$7)^Inputs!$B$9,(1+Inputs!$B$6)^Inputs!$B$9))</f>
        <v>1.1592740743</v>
      </c>
      <c r="AQ6" s="0" t="n">
        <f aca="false">MIN((1+Inputs!$B$8)^Inputs!$B$9,MAX((1+Inputs!$B$7)^Inputs!$B$9,(1+Inputs!$B$6)^Inputs!$B$9))</f>
        <v>1.1592740743</v>
      </c>
      <c r="AR6" s="0" t="n">
        <f aca="false">MIN((1+Inputs!$B$8)^Inputs!$B$9,MAX((1+Inputs!$B$7)^Inputs!$B$9,(1+Inputs!$B$6)^Inputs!$B$9))</f>
        <v>1.1592740743</v>
      </c>
      <c r="AS6" s="0" t="n">
        <f aca="false">MIN((1+Inputs!$B$8)^Inputs!$B$9,MAX((1+Inputs!$B$7)^Inputs!$B$9,(1+Inputs!$B$6)^Inputs!$B$9))</f>
        <v>1.1592740743</v>
      </c>
      <c r="AT6" s="0" t="n">
        <f aca="false">MIN((1+Inputs!$B$8)^Inputs!$B$9,MAX((1+Inputs!$B$7)^Inputs!$B$9,(1+Inputs!$B$6)^Inputs!$B$9))</f>
        <v>1.1592740743</v>
      </c>
      <c r="AU6" s="0" t="n">
        <f aca="false">MIN((1+Inputs!$B$8)^Inputs!$B$9,MAX((1+Inputs!$B$7)^Inputs!$B$9,(1+Inputs!$B$6)^Inputs!$B$9))</f>
        <v>1.1592740743</v>
      </c>
      <c r="AV6" s="0" t="n">
        <f aca="false">MIN((1+Inputs!$B$8)^Inputs!$B$9,MAX((1+Inputs!$B$7)^Inputs!$B$9,(1+Inputs!$B$6)^Inputs!$B$9))</f>
        <v>1.1592740743</v>
      </c>
      <c r="AW6" s="0" t="n">
        <f aca="false">MIN((1+Inputs!$B$8)^Inputs!$B$9,MAX((1+Inputs!$B$7)^Inputs!$B$9,(1+Inputs!$B$6)^Inputs!$B$9))</f>
        <v>1.1592740743</v>
      </c>
      <c r="AX6" s="0" t="n">
        <f aca="false">MIN((1+Inputs!$B$8)^Inputs!$B$9,MAX((1+Inputs!$B$7)^Inputs!$B$9,(1+Inputs!$B$6)^Inputs!$B$9))</f>
        <v>1.1592740743</v>
      </c>
      <c r="AY6" s="0" t="n">
        <f aca="false">MIN((1+Inputs!$B$8)^Inputs!$B$9,MAX((1+Inputs!$B$7)^Inputs!$B$9,(1+Inputs!$B$6)^Inputs!$B$9))</f>
        <v>1.1592740743</v>
      </c>
      <c r="AZ6" s="0" t="n">
        <f aca="false">MIN((1+Inputs!$B$8)^Inputs!$B$9,MAX((1+Inputs!$B$7)^Inputs!$B$9,(1+Inputs!$B$6)^Inputs!$B$9))</f>
        <v>1.1592740743</v>
      </c>
      <c r="BA6" s="0" t="n">
        <f aca="false">MIN((1+Inputs!$B$8)^Inputs!$B$9,MAX((1+Inputs!$B$7)^Inputs!$B$9,(1+Inputs!$B$6)^Inputs!$B$9))</f>
        <v>1.1592740743</v>
      </c>
      <c r="BB6" s="0" t="n">
        <f aca="false">MIN((1+Inputs!$B$8)^Inputs!$B$9,MAX((1+Inputs!$B$7)^Inputs!$B$9,(1+Inputs!$B$6)^Inputs!$B$9))</f>
        <v>1.1592740743</v>
      </c>
      <c r="BC6" s="0" t="n">
        <f aca="false">MIN((1+Inputs!$B$8)^Inputs!$B$9,MAX((1+Inputs!$B$7)^Inputs!$B$9,(1+Inputs!$B$6)^Inputs!$B$9))</f>
        <v>1.1592740743</v>
      </c>
      <c r="BD6" s="0" t="n">
        <f aca="false">MIN((1+Inputs!$B$8)^Inputs!$B$9,MAX((1+Inputs!$B$7)^Inputs!$B$9,(1+Inputs!$B$6)^Inputs!$B$9))</f>
        <v>1.1592740743</v>
      </c>
      <c r="BE6" s="0" t="n">
        <f aca="false">MIN((1+Inputs!$B$8)^Inputs!$B$9,MAX((1+Inputs!$B$7)^Inputs!$B$9,(1+Inputs!$B$6)^Inputs!$B$9))</f>
        <v>1.1592740743</v>
      </c>
      <c r="BF6" s="0" t="n">
        <f aca="false">MIN((1+Inputs!$B$8)^Inputs!$B$9,MAX((1+Inputs!$B$7)^Inputs!$B$9,(1+Inputs!$B$6)^Inputs!$B$9))</f>
        <v>1.1592740743</v>
      </c>
      <c r="BG6" s="0" t="n">
        <f aca="false">MIN((1+Inputs!$B$8)^Inputs!$B$9,MAX((1+Inputs!$B$7)^Inputs!$B$9,(1+Inputs!$B$6)^Inputs!$B$9))</f>
        <v>1.1592740743</v>
      </c>
      <c r="BH6" s="0" t="n">
        <f aca="false">MIN((1+Inputs!$B$8)^Inputs!$B$9,MAX((1+Inputs!$B$7)^Inputs!$B$9,(1+Inputs!$B$6)^Inputs!$B$9))</f>
        <v>1.1592740743</v>
      </c>
      <c r="BI6" s="0" t="n">
        <f aca="false">MIN((1+Inputs!$B$8)^Inputs!$B$9,MAX((1+Inputs!$B$7)^Inputs!$B$9,(1+Inputs!$B$6)^Inputs!$B$9))</f>
        <v>1.1592740743</v>
      </c>
      <c r="BJ6" s="0" t="n">
        <f aca="false">MIN((1+Inputs!$B$8)^Inputs!$B$9,MAX((1+Inputs!$B$7)^Inputs!$B$9,(1+Inputs!$B$6)^Inputs!$B$9))</f>
        <v>1.1592740743</v>
      </c>
      <c r="BK6" s="0" t="n">
        <f aca="false">MIN((1+Inputs!$B$8)^Inputs!$B$9,MAX((1+Inputs!$B$7)^Inputs!$B$9,(1+Inputs!$B$6)^Inputs!$B$9))</f>
        <v>1.1592740743</v>
      </c>
      <c r="BL6" s="0" t="n">
        <f aca="false">MIN((1+Inputs!$B$8)^Inputs!$B$9,MAX((1+Inputs!$B$7)^Inputs!$B$9,(1+Inputs!$B$6)^Inputs!$B$9))</f>
        <v>1.1592740743</v>
      </c>
      <c r="BM6" s="0" t="n">
        <f aca="false">MIN((1+Inputs!$B$8)^Inputs!$B$9,MAX((1+Inputs!$B$7)^Inputs!$B$9,(1+Inputs!$B$6)^Inputs!$B$9))</f>
        <v>1.1592740743</v>
      </c>
      <c r="BN6" s="0" t="n">
        <f aca="false">MIN((1+Inputs!$B$8)^Inputs!$B$9,MAX((1+Inputs!$B$7)^Inputs!$B$9,(1+Inputs!$B$6)^Inputs!$B$9))</f>
        <v>1.1592740743</v>
      </c>
      <c r="BO6" s="0" t="n">
        <f aca="false">MIN((1+Inputs!$B$8)^Inputs!$B$9,MAX((1+Inputs!$B$7)^Inputs!$B$9,(1+Inputs!$B$6)^Inputs!$B$9))</f>
        <v>1.1592740743</v>
      </c>
      <c r="BP6" s="0" t="n">
        <f aca="false">MIN((1+Inputs!$B$8)^Inputs!$B$9,MAX((1+Inputs!$B$7)^Inputs!$B$9,(1+Inputs!$B$6)^Inputs!$B$9))</f>
        <v>1.1592740743</v>
      </c>
      <c r="BQ6" s="0" t="n">
        <f aca="false">MIN((1+Inputs!$B$8)^Inputs!$B$9,MAX((1+Inputs!$B$7)^Inputs!$B$9,(1+Inputs!$B$6)^Inputs!$B$9))</f>
        <v>1.1592740743</v>
      </c>
      <c r="BR6" s="0" t="n">
        <f aca="false">MIN((1+Inputs!$B$8)^Inputs!$B$9,MAX((1+Inputs!$B$7)^Inputs!$B$9,(1+Inputs!$B$6)^Inputs!$B$9))</f>
        <v>1.1592740743</v>
      </c>
      <c r="BS6" s="0" t="n">
        <f aca="false">MIN((1+Inputs!$B$8)^Inputs!$B$9,MAX((1+Inputs!$B$7)^Inputs!$B$9,(1+Inputs!$B$6)^Inputs!$B$9))</f>
        <v>1.1592740743</v>
      </c>
      <c r="BT6" s="0" t="n">
        <f aca="false">MIN((1+Inputs!$B$8)^Inputs!$B$9,MAX((1+Inputs!$B$7)^Inputs!$B$9,(1+Inputs!$B$6)^Inputs!$B$9))</f>
        <v>1.1592740743</v>
      </c>
      <c r="BU6" s="0" t="n">
        <f aca="false">MIN((1+Inputs!$B$8)^Inputs!$B$9,MAX((1+Inputs!$B$7)^Inputs!$B$9,(1+Inputs!$B$6)^Inputs!$B$9))</f>
        <v>1.1592740743</v>
      </c>
      <c r="BV6" s="0" t="n">
        <f aca="false">MIN((1+Inputs!$B$8)^Inputs!$B$9,MAX((1+Inputs!$B$7)^Inputs!$B$9,(1+Inputs!$B$6)^Inputs!$B$9))</f>
        <v>1.1592740743</v>
      </c>
      <c r="BW6" s="0" t="n">
        <f aca="false">MIN((1+Inputs!$B$8)^Inputs!$B$9,MAX((1+Inputs!$B$7)^Inputs!$B$9,(1+Inputs!$B$6)^Inputs!$B$9))</f>
        <v>1.1592740743</v>
      </c>
      <c r="BX6" s="0" t="n">
        <f aca="false">MIN((1+Inputs!$B$8)^Inputs!$B$9,MAX((1+Inputs!$B$7)^Inputs!$B$9,(1+Inputs!$B$6)^Inputs!$B$9))</f>
        <v>1.1592740743</v>
      </c>
      <c r="BY6" s="0" t="n">
        <f aca="false">MIN((1+Inputs!$B$8)^Inputs!$B$9,MAX((1+Inputs!$B$7)^Inputs!$B$9,(1+Inputs!$B$6)^Inputs!$B$9))</f>
        <v>1.1592740743</v>
      </c>
      <c r="BZ6" s="0" t="n">
        <f aca="false">MIN((1+Inputs!$B$8)^Inputs!$B$9,MAX((1+Inputs!$B$7)^Inputs!$B$9,(1+Inputs!$B$6)^Inputs!$B$9))</f>
        <v>1.1592740743</v>
      </c>
      <c r="CA6" s="0" t="n">
        <f aca="false">MIN((1+Inputs!$B$8)^Inputs!$B$9,MAX((1+Inputs!$B$7)^Inputs!$B$9,(1+Inputs!$B$6)^Inputs!$B$9))</f>
        <v>1.1592740743</v>
      </c>
      <c r="CB6" s="0" t="n">
        <f aca="false">MIN((1+Inputs!$B$8)^Inputs!$B$9,MAX((1+Inputs!$B$7)^Inputs!$B$9,(1+Inputs!$B$6)^Inputs!$B$9))</f>
        <v>1.1592740743</v>
      </c>
      <c r="CC6" s="0" t="n">
        <f aca="false">MIN((1+Inputs!$B$8)^Inputs!$B$9,MAX((1+Inputs!$B$7)^Inputs!$B$9,(1+Inputs!$B$6)^Inputs!$B$9))</f>
        <v>1.1592740743</v>
      </c>
      <c r="CD6" s="0" t="n">
        <f aca="false">MIN((1+Inputs!$B$8)^Inputs!$B$9,MAX((1+Inputs!$B$7)^Inputs!$B$9,(1+Inputs!$B$6)^Inputs!$B$9))</f>
        <v>1.1592740743</v>
      </c>
      <c r="CE6" s="0" t="n">
        <f aca="false">MIN((1+Inputs!$B$8)^Inputs!$B$9,MAX((1+Inputs!$B$7)^Inputs!$B$9,(1+Inputs!$B$6)^Inputs!$B$9))</f>
        <v>1.1592740743</v>
      </c>
      <c r="CF6" s="0" t="n">
        <f aca="false">MIN((1+Inputs!$B$8)^Inputs!$B$9,MAX((1+Inputs!$B$7)^Inputs!$B$9,(1+Inputs!$B$6)^Inputs!$B$9))</f>
        <v>1.1592740743</v>
      </c>
      <c r="CG6" s="0" t="n">
        <f aca="false">MIN((1+Inputs!$B$8)^Inputs!$B$9,MAX((1+Inputs!$B$7)^Inputs!$B$9,(1+Inputs!$B$6)^Inputs!$B$9))</f>
        <v>1.1592740743</v>
      </c>
      <c r="CH6" s="0" t="n">
        <f aca="false">MIN((1+Inputs!$B$8)^Inputs!$B$9,MAX((1+Inputs!$B$7)^Inputs!$B$9,(1+Inputs!$B$6)^Inputs!$B$9))</f>
        <v>1.1592740743</v>
      </c>
      <c r="CI6" s="0" t="n">
        <f aca="false">MIN((1+Inputs!$B$8)^Inputs!$B$9,MAX((1+Inputs!$B$7)^Inputs!$B$9,(1+Inputs!$B$6)^Inputs!$B$9))</f>
        <v>1.1592740743</v>
      </c>
      <c r="CJ6" s="0" t="n">
        <f aca="false">MIN((1+Inputs!$B$8)^Inputs!$B$9,MAX((1+Inputs!$B$7)^Inputs!$B$9,(1+Inputs!$B$6)^Inputs!$B$9))</f>
        <v>1.1592740743</v>
      </c>
      <c r="CK6" s="0" t="n">
        <f aca="false">MIN((1+Inputs!$B$8)^Inputs!$B$9,MAX((1+Inputs!$B$7)^Inputs!$B$9,(1+Inputs!$B$6)^Inputs!$B$9))</f>
        <v>1.1592740743</v>
      </c>
      <c r="CL6" s="0" t="n">
        <f aca="false">MIN((1+Inputs!$B$8)^Inputs!$B$9,MAX((1+Inputs!$B$7)^Inputs!$B$9,(1+Inputs!$B$6)^Inputs!$B$9))</f>
        <v>1.1592740743</v>
      </c>
      <c r="CM6" s="0" t="n">
        <f aca="false">MIN((1+Inputs!$B$8)^Inputs!$B$9,MAX((1+Inputs!$B$7)^Inputs!$B$9,(1+Inputs!$B$6)^Inputs!$B$9))</f>
        <v>1.1592740743</v>
      </c>
      <c r="CN6" s="0" t="n">
        <f aca="false">MIN((1+Inputs!$B$8)^Inputs!$B$9,MAX((1+Inputs!$B$7)^Inputs!$B$9,(1+Inputs!$B$6)^Inputs!$B$9))</f>
        <v>1.1592740743</v>
      </c>
      <c r="CO6" s="0" t="n">
        <f aca="false">MIN((1+Inputs!$B$8)^Inputs!$B$9,MAX((1+Inputs!$B$7)^Inputs!$B$9,(1+Inputs!$B$6)^Inputs!$B$9))</f>
        <v>1.1592740743</v>
      </c>
      <c r="CP6" s="0" t="n">
        <f aca="false">MIN((1+Inputs!$B$8)^Inputs!$B$9,MAX((1+Inputs!$B$7)^Inputs!$B$9,(1+Inputs!$B$6)^Inputs!$B$9))</f>
        <v>1.1592740743</v>
      </c>
      <c r="CQ6" s="0" t="n">
        <f aca="false">MIN((1+Inputs!$B$8)^Inputs!$B$9,MAX((1+Inputs!$B$7)^Inputs!$B$9,(1+Inputs!$B$6)^Inputs!$B$9))</f>
        <v>1.1592740743</v>
      </c>
      <c r="CR6" s="0" t="n">
        <f aca="false">MIN((1+Inputs!$B$8)^Inputs!$B$9,MAX((1+Inputs!$B$7)^Inputs!$B$9,(1+Inputs!$B$6)^Inputs!$B$9))</f>
        <v>1.1592740743</v>
      </c>
      <c r="CS6" s="0" t="n">
        <f aca="false">MIN((1+Inputs!$B$8)^Inputs!$B$9,MAX((1+Inputs!$B$7)^Inputs!$B$9,(1+Inputs!$B$6)^Inputs!$B$9))</f>
        <v>1.1592740743</v>
      </c>
      <c r="CT6" s="0" t="n">
        <f aca="false">MIN((1+Inputs!$B$8)^Inputs!$B$9,MAX((1+Inputs!$B$7)^Inputs!$B$9,(1+Inputs!$B$6)^Inputs!$B$9))</f>
        <v>1.1592740743</v>
      </c>
      <c r="CU6" s="0" t="n">
        <f aca="false">MIN((1+Inputs!$B$8)^Inputs!$B$9,MAX((1+Inputs!$B$7)^Inputs!$B$9,(1+Inputs!$B$6)^Inputs!$B$9))</f>
        <v>1.1592740743</v>
      </c>
      <c r="CV6" s="0" t="n">
        <f aca="false">MIN((1+Inputs!$B$8)^Inputs!$B$9,MAX((1+Inputs!$B$7)^Inputs!$B$9,(1+Inputs!$B$6)^Inputs!$B$9))</f>
        <v>1.1592740743</v>
      </c>
      <c r="CW6" s="0" t="n">
        <f aca="false">MIN((1+Inputs!$B$8)^Inputs!$B$9,MAX((1+Inputs!$B$7)^Inputs!$B$9,(1+Inputs!$B$6)^Inputs!$B$9))</f>
        <v>1.1592740743</v>
      </c>
    </row>
    <row r="7" customFormat="false" ht="15" hidden="false" customHeight="false" outlineLevel="0" collapsed="false">
      <c r="A7" s="0" t="s">
        <v>16</v>
      </c>
      <c r="B7" s="2" t="n">
        <f aca="false">Inputs!$B$4</f>
        <v>4800000</v>
      </c>
      <c r="C7" s="5" t="n">
        <f aca="false">IF(C5=1,MAX(B7,B7*C6),B7)*IF(C$3&lt;=Inputs!$B$13,1,0)</f>
        <v>4800000</v>
      </c>
      <c r="D7" s="5" t="n">
        <f aca="false">IF(D5=1,MAX(C7,C7*D6),C7)*IF(D$3&lt;=Inputs!$B$13,1,0)</f>
        <v>4800000</v>
      </c>
      <c r="E7" s="5" t="n">
        <f aca="false">IF(E5=1,MAX(D7,D7*E6),D7)*IF(E$3&lt;=Inputs!$B$13,1,0)</f>
        <v>4800000</v>
      </c>
      <c r="F7" s="5" t="n">
        <f aca="false">IF(F5=1,MAX(E7,E7*F6),E7)*IF(F$3&lt;=Inputs!$B$13,1,0)</f>
        <v>4800000</v>
      </c>
      <c r="G7" s="5" t="n">
        <f aca="false">IF(G5=1,MAX(F7,F7*G6),F7)*IF(G$3&lt;=Inputs!$B$13,1,0)</f>
        <v>5564515.55664</v>
      </c>
      <c r="H7" s="5" t="n">
        <f aca="false">IF(H5=1,MAX(G7,G7*H6),G7)*IF(H$3&lt;=Inputs!$B$13,1,0)</f>
        <v>5564515.55664</v>
      </c>
      <c r="I7" s="5" t="n">
        <f aca="false">IF(I5=1,MAX(H7,H7*I6),H7)*IF(I$3&lt;=Inputs!$B$13,1,0)</f>
        <v>5564515.55664</v>
      </c>
      <c r="J7" s="5" t="n">
        <f aca="false">IF(J5=1,MAX(I7,I7*J6),I7)*IF(J$3&lt;=Inputs!$B$13,1,0)</f>
        <v>5564515.55664</v>
      </c>
      <c r="K7" s="5" t="n">
        <f aca="false">IF(K5=1,MAX(J7,J7*K6),J7)*IF(K$3&lt;=Inputs!$B$13,1,0)</f>
        <v>5564515.55664</v>
      </c>
      <c r="L7" s="5" t="n">
        <f aca="false">IF(L5=1,MAX(K7,K7*L6),K7)*IF(L$3&lt;=Inputs!$B$13,1,0)</f>
        <v>6450798.62085179</v>
      </c>
      <c r="M7" s="5" t="n">
        <f aca="false">IF(M5=1,MAX(L7,L7*M6),L7)*IF(M$3&lt;=Inputs!$B$13,1,0)</f>
        <v>6450798.62085179</v>
      </c>
      <c r="N7" s="5" t="n">
        <f aca="false">IF(N5=1,MAX(M7,M7*N6),M7)*IF(N$3&lt;=Inputs!$B$13,1,0)</f>
        <v>6450798.62085179</v>
      </c>
      <c r="O7" s="5" t="n">
        <f aca="false">IF(O5=1,MAX(N7,N7*O6),N7)*IF(O$3&lt;=Inputs!$B$13,1,0)</f>
        <v>6450798.62085179</v>
      </c>
      <c r="P7" s="5" t="n">
        <f aca="false">IF(P5=1,MAX(O7,O7*P6),O7)*IF(P$3&lt;=Inputs!$B$13,1,0)</f>
        <v>6450798.62085179</v>
      </c>
      <c r="Q7" s="5" t="n">
        <f aca="false">IF(Q5=1,MAX(P7,P7*Q6),P7)*IF(Q$3&lt;=Inputs!$B$13,1,0)</f>
        <v>7478243.59968367</v>
      </c>
      <c r="R7" s="5" t="n">
        <f aca="false">IF(R5=1,MAX(Q7,Q7*R6),Q7)*IF(R$3&lt;=Inputs!$B$13,1,0)</f>
        <v>7478243.59968367</v>
      </c>
      <c r="S7" s="5" t="n">
        <f aca="false">IF(S5=1,MAX(R7,R7*S6),R7)*IF(S$3&lt;=Inputs!$B$13,1,0)</f>
        <v>7478243.59968367</v>
      </c>
      <c r="T7" s="5" t="n">
        <f aca="false">IF(T5=1,MAX(S7,S7*T6),S7)*IF(T$3&lt;=Inputs!$B$13,1,0)</f>
        <v>7478243.59968367</v>
      </c>
      <c r="U7" s="5" t="n">
        <f aca="false">IF(U5=1,MAX(T7,T7*U6),T7)*IF(U$3&lt;=Inputs!$B$13,1,0)</f>
        <v>7478243.59968367</v>
      </c>
      <c r="V7" s="5" t="n">
        <f aca="false">IF(V5=1,MAX(U7,U7*V6),U7)*IF(V$3&lt;=Inputs!$B$13,1,0)</f>
        <v>8669333.92641319</v>
      </c>
      <c r="W7" s="5" t="n">
        <f aca="false">IF(W5=1,MAX(V7,V7*W6),V7)*IF(W$3&lt;=Inputs!$B$13,1,0)</f>
        <v>8669333.92641319</v>
      </c>
      <c r="X7" s="5" t="n">
        <f aca="false">IF(X5=1,MAX(W7,W7*X6),W7)*IF(X$3&lt;=Inputs!$B$13,1,0)</f>
        <v>8669333.92641319</v>
      </c>
      <c r="Y7" s="5" t="n">
        <f aca="false">IF(Y5=1,MAX(X7,X7*Y6),X7)*IF(Y$3&lt;=Inputs!$B$13,1,0)</f>
        <v>8669333.92641319</v>
      </c>
      <c r="Z7" s="5" t="n">
        <f aca="false">IF(Z5=1,MAX(Y7,Y7*Z6),Y7)*IF(Z$3&lt;=Inputs!$B$13,1,0)</f>
        <v>8669333.92641319</v>
      </c>
      <c r="AA7" s="5" t="n">
        <f aca="false">IF(AA5=1,MAX(Z7,Z7*AA6),Z7)*IF(AA$3&lt;=Inputs!$B$13,1,0)</f>
        <v>10050134.0623402</v>
      </c>
      <c r="AB7" s="5" t="n">
        <f aca="false">IF(AB5=1,MAX(AA7,AA7*AB6),AA7)*IF(AB$3&lt;=Inputs!$B$13,1,0)</f>
        <v>10050134.0623402</v>
      </c>
      <c r="AC7" s="5" t="n">
        <f aca="false">IF(AC5=1,MAX(AB7,AB7*AC6),AB7)*IF(AC$3&lt;=Inputs!$B$13,1,0)</f>
        <v>10050134.0623402</v>
      </c>
      <c r="AD7" s="5" t="n">
        <f aca="false">IF(AD5=1,MAX(AC7,AC7*AD6),AC7)*IF(AD$3&lt;=Inputs!$B$13,1,0)</f>
        <v>10050134.0623402</v>
      </c>
      <c r="AE7" s="5" t="n">
        <f aca="false">IF(AE5=1,MAX(AD7,AD7*AE6),AD7)*IF(AE$3&lt;=Inputs!$B$13,1,0)</f>
        <v>10050134.0623402</v>
      </c>
      <c r="AF7" s="5" t="n">
        <f aca="false">IF(AF5=1,MAX(AE7,AE7*AF6),AE7)*IF(AF$3&lt;=Inputs!$B$13,1,0)</f>
        <v>11650859.8617104</v>
      </c>
      <c r="AG7" s="5" t="n">
        <f aca="false">IF(AG5=1,MAX(AF7,AF7*AG6),AF7)*IF(AG$3&lt;=Inputs!$B$13,1,0)</f>
        <v>11650859.8617104</v>
      </c>
      <c r="AH7" s="5" t="n">
        <f aca="false">IF(AH5=1,MAX(AG7,AG7*AH6),AG7)*IF(AH$3&lt;=Inputs!$B$13,1,0)</f>
        <v>11650859.8617104</v>
      </c>
      <c r="AI7" s="5" t="n">
        <f aca="false">IF(AI5=1,MAX(AH7,AH7*AI6),AH7)*IF(AI$3&lt;=Inputs!$B$13,1,0)</f>
        <v>11650859.8617104</v>
      </c>
      <c r="AJ7" s="5" t="n">
        <f aca="false">IF(AJ5=1,MAX(AI7,AI7*AJ6),AI7)*IF(AJ$3&lt;=Inputs!$B$13,1,0)</f>
        <v>11650859.8617104</v>
      </c>
      <c r="AK7" s="5" t="n">
        <f aca="false">IF(AK5=1,MAX(AJ7,AJ7*AK6),AJ7)*IF(AK$3&lt;=Inputs!$B$13,1,0)</f>
        <v>13506539.7809833</v>
      </c>
      <c r="AL7" s="5" t="n">
        <f aca="false">IF(AL5=1,MAX(AK7,AK7*AL6),AK7)*IF(AL$3&lt;=Inputs!$B$13,1,0)</f>
        <v>13506539.7809833</v>
      </c>
      <c r="AM7" s="5" t="n">
        <f aca="false">IF(AM5=1,MAX(AL7,AL7*AM6),AL7)*IF(AM$3&lt;=Inputs!$B$13,1,0)</f>
        <v>13506539.7809833</v>
      </c>
      <c r="AN7" s="5" t="n">
        <f aca="false">IF(AN5=1,MAX(AM7,AM7*AN6),AM7)*IF(AN$3&lt;=Inputs!$B$13,1,0)</f>
        <v>13506539.7809833</v>
      </c>
      <c r="AO7" s="5" t="n">
        <f aca="false">IF(AO5=1,MAX(AN7,AN7*AO6),AN7)*IF(AO$3&lt;=Inputs!$B$13,1,0)</f>
        <v>13506539.7809833</v>
      </c>
      <c r="AP7" s="5" t="n">
        <f aca="false">IF(AP5=1,MAX(AO7,AO7*AP6),AO7)*IF(AP$3&lt;=Inputs!$B$13,1,0)</f>
        <v>15657781.4015956</v>
      </c>
      <c r="AQ7" s="5" t="n">
        <f aca="false">IF(AQ5=1,MAX(AP7,AP7*AQ6),AP7)*IF(AQ$3&lt;=Inputs!$B$13,1,0)</f>
        <v>15657781.4015956</v>
      </c>
      <c r="AR7" s="5" t="n">
        <f aca="false">IF(AR5=1,MAX(AQ7,AQ7*AR6),AQ7)*IF(AR$3&lt;=Inputs!$B$13,1,0)</f>
        <v>15657781.4015956</v>
      </c>
      <c r="AS7" s="5" t="n">
        <f aca="false">IF(AS5=1,MAX(AR7,AR7*AS6),AR7)*IF(AS$3&lt;=Inputs!$B$13,1,0)</f>
        <v>15657781.4015956</v>
      </c>
      <c r="AT7" s="5" t="n">
        <f aca="false">IF(AT5=1,MAX(AS7,AS7*AT6),AS7)*IF(AT$3&lt;=Inputs!$B$13,1,0)</f>
        <v>15657781.4015956</v>
      </c>
      <c r="AU7" s="5" t="n">
        <f aca="false">IF(AU5=1,MAX(AT7,AT7*AU6),AT7)*IF(AU$3&lt;=Inputs!$B$13,1,0)</f>
        <v>18151660.0399265</v>
      </c>
      <c r="AV7" s="5" t="n">
        <f aca="false">IF(AV5=1,MAX(AU7,AU7*AV6),AU7)*IF(AV$3&lt;=Inputs!$B$13,1,0)</f>
        <v>18151660.0399265</v>
      </c>
      <c r="AW7" s="5" t="n">
        <f aca="false">IF(AW5=1,MAX(AV7,AV7*AW6),AV7)*IF(AW$3&lt;=Inputs!$B$13,1,0)</f>
        <v>18151660.0399265</v>
      </c>
      <c r="AX7" s="5" t="n">
        <f aca="false">IF(AX5=1,MAX(AW7,AW7*AX6),AW7)*IF(AX$3&lt;=Inputs!$B$13,1,0)</f>
        <v>18151660.0399265</v>
      </c>
      <c r="AY7" s="5" t="n">
        <f aca="false">IF(AY5=1,MAX(AX7,AX7*AY6),AX7)*IF(AY$3&lt;=Inputs!$B$13,1,0)</f>
        <v>18151660.0399265</v>
      </c>
      <c r="AZ7" s="5" t="n">
        <f aca="false">IF(AZ5=1,MAX(AY7,AY7*AZ6),AY7)*IF(AZ$3&lt;=Inputs!$B$13,1,0)</f>
        <v>21042748.889794</v>
      </c>
      <c r="BA7" s="5" t="n">
        <f aca="false">IF(BA5=1,MAX(AZ7,AZ7*BA6),AZ7)*IF(BA$3&lt;=Inputs!$B$13,1,0)</f>
        <v>21042748.889794</v>
      </c>
      <c r="BB7" s="5" t="n">
        <f aca="false">IF(BB5=1,MAX(BA7,BA7*BB6),BA7)*IF(BB$3&lt;=Inputs!$B$13,1,0)</f>
        <v>21042748.889794</v>
      </c>
      <c r="BC7" s="5" t="n">
        <f aca="false">IF(BC5=1,MAX(BB7,BB7*BC6),BB7)*IF(BC$3&lt;=Inputs!$B$13,1,0)</f>
        <v>21042748.889794</v>
      </c>
      <c r="BD7" s="5" t="n">
        <f aca="false">IF(BD5=1,MAX(BC7,BC7*BD6),BC7)*IF(BD$3&lt;=Inputs!$B$13,1,0)</f>
        <v>21042748.889794</v>
      </c>
      <c r="BE7" s="5" t="n">
        <f aca="false">IF(BE5=1,MAX(BD7,BD7*BE6),BD7)*IF(BE$3&lt;=Inputs!$B$13,1,0)</f>
        <v>24394313.2399433</v>
      </c>
      <c r="BF7" s="5" t="n">
        <f aca="false">IF(BF5=1,MAX(BE7,BE7*BF6),BE7)*IF(BF$3&lt;=Inputs!$B$13,1,0)</f>
        <v>24394313.2399433</v>
      </c>
      <c r="BG7" s="5" t="n">
        <f aca="false">IF(BG5=1,MAX(BF7,BF7*BG6),BF7)*IF(BG$3&lt;=Inputs!$B$13,1,0)</f>
        <v>24394313.2399433</v>
      </c>
      <c r="BH7" s="5" t="n">
        <f aca="false">IF(BH5=1,MAX(BG7,BG7*BH6),BG7)*IF(BH$3&lt;=Inputs!$B$13,1,0)</f>
        <v>24394313.2399433</v>
      </c>
      <c r="BI7" s="5" t="n">
        <f aca="false">IF(BI5=1,MAX(BH7,BH7*BI6),BH7)*IF(BI$3&lt;=Inputs!$B$13,1,0)</f>
        <v>24394313.2399433</v>
      </c>
      <c r="BJ7" s="5" t="n">
        <f aca="false">IF(BJ5=1,MAX(BI7,BI7*BJ6),BI7)*IF(BJ$3&lt;=Inputs!$B$13,1,0)</f>
        <v>28279694.8994196</v>
      </c>
      <c r="BK7" s="5" t="n">
        <f aca="false">IF(BK5=1,MAX(BJ7,BJ7*BK6),BJ7)*IF(BK$3&lt;=Inputs!$B$13,1,0)</f>
        <v>28279694.8994196</v>
      </c>
      <c r="BL7" s="5" t="n">
        <f aca="false">IF(BL5=1,MAX(BK7,BK7*BL6),BK7)*IF(BL$3&lt;=Inputs!$B$13,1,0)</f>
        <v>28279694.8994196</v>
      </c>
      <c r="BM7" s="5" t="n">
        <f aca="false">IF(BM5=1,MAX(BL7,BL7*BM6),BL7)*IF(BM$3&lt;=Inputs!$B$13,1,0)</f>
        <v>28279694.8994196</v>
      </c>
      <c r="BN7" s="5" t="n">
        <f aca="false">IF(BN5=1,MAX(BM7,BM7*BN6),BM7)*IF(BN$3&lt;=Inputs!$B$13,1,0)</f>
        <v>28279694.8994196</v>
      </c>
      <c r="BO7" s="5" t="n">
        <f aca="false">IF(BO5=1,MAX(BN7,BN7*BO6),BN7)*IF(BO$3&lt;=Inputs!$B$13,1,0)</f>
        <v>32783917.126011</v>
      </c>
      <c r="BP7" s="5" t="n">
        <f aca="false">IF(BP5=1,MAX(BO7,BO7*BP6),BO7)*IF(BP$3&lt;=Inputs!$B$13,1,0)</f>
        <v>32783917.126011</v>
      </c>
      <c r="BQ7" s="5" t="n">
        <f aca="false">IF(BQ5=1,MAX(BP7,BP7*BQ6),BP7)*IF(BQ$3&lt;=Inputs!$B$13,1,0)</f>
        <v>32783917.126011</v>
      </c>
      <c r="BR7" s="5" t="n">
        <f aca="false">IF(BR5=1,MAX(BQ7,BQ7*BR6),BQ7)*IF(BR$3&lt;=Inputs!$B$13,1,0)</f>
        <v>32783917.126011</v>
      </c>
      <c r="BS7" s="5" t="n">
        <f aca="false">IF(BS5=1,MAX(BR7,BR7*BS6),BR7)*IF(BS$3&lt;=Inputs!$B$13,1,0)</f>
        <v>32783917.126011</v>
      </c>
      <c r="BT7" s="5" t="n">
        <f aca="false">IF(BT5=1,MAX(BS7,BS7*BT6),BS7)*IF(BT$3&lt;=Inputs!$B$13,1,0)</f>
        <v>38005545.1781844</v>
      </c>
      <c r="BU7" s="5" t="n">
        <f aca="false">IF(BU5=1,MAX(BT7,BT7*BU6),BT7)*IF(BU$3&lt;=Inputs!$B$13,1,0)</f>
        <v>38005545.1781844</v>
      </c>
      <c r="BV7" s="5" t="n">
        <f aca="false">IF(BV5=1,MAX(BU7,BU7*BV6),BU7)*IF(BV$3&lt;=Inputs!$B$13,1,0)</f>
        <v>38005545.1781844</v>
      </c>
      <c r="BW7" s="5" t="n">
        <f aca="false">IF(BW5=1,MAX(BV7,BV7*BW6),BV7)*IF(BW$3&lt;=Inputs!$B$13,1,0)</f>
        <v>38005545.1781844</v>
      </c>
      <c r="BX7" s="5" t="n">
        <f aca="false">IF(BX5=1,MAX(BW7,BW7*BX6),BW7)*IF(BX$3&lt;=Inputs!$B$13,1,0)</f>
        <v>38005545.1781844</v>
      </c>
      <c r="BY7" s="5" t="n">
        <f aca="false">IF(BY5=1,MAX(BX7,BX7*BY6),BX7)*IF(BY$3&lt;=Inputs!$B$13,1,0)</f>
        <v>44058843.2047065</v>
      </c>
      <c r="BZ7" s="5" t="n">
        <f aca="false">IF(BZ5=1,MAX(BY7,BY7*BZ6),BY7)*IF(BZ$3&lt;=Inputs!$B$13,1,0)</f>
        <v>44058843.2047065</v>
      </c>
      <c r="CA7" s="5" t="n">
        <f aca="false">IF(CA5=1,MAX(BZ7,BZ7*CA6),BZ7)*IF(CA$3&lt;=Inputs!$B$13,1,0)</f>
        <v>44058843.2047065</v>
      </c>
      <c r="CB7" s="5" t="n">
        <f aca="false">IF(CB5=1,MAX(CA7,CA7*CB6),CA7)*IF(CB$3&lt;=Inputs!$B$13,1,0)</f>
        <v>44058843.2047065</v>
      </c>
      <c r="CC7" s="5" t="n">
        <f aca="false">IF(CC5=1,MAX(CB7,CB7*CC6),CB7)*IF(CC$3&lt;=Inputs!$B$13,1,0)</f>
        <v>44058843.2047065</v>
      </c>
      <c r="CD7" s="5" t="n">
        <f aca="false">IF(CD5=1,MAX(CC7,CC7*CD6),CC7)*IF(CD$3&lt;=Inputs!$B$13,1,0)</f>
        <v>51076274.670865</v>
      </c>
      <c r="CE7" s="5" t="n">
        <f aca="false">IF(CE5=1,MAX(CD7,CD7*CE6),CD7)*IF(CE$3&lt;=Inputs!$B$13,1,0)</f>
        <v>51076274.670865</v>
      </c>
      <c r="CF7" s="5" t="n">
        <f aca="false">IF(CF5=1,MAX(CE7,CE7*CF6),CE7)*IF(CF$3&lt;=Inputs!$B$13,1,0)</f>
        <v>51076274.670865</v>
      </c>
      <c r="CG7" s="5" t="n">
        <f aca="false">IF(CG5=1,MAX(CF7,CF7*CG6),CF7)*IF(CG$3&lt;=Inputs!$B$13,1,0)</f>
        <v>51076274.670865</v>
      </c>
      <c r="CH7" s="5" t="n">
        <f aca="false">IF(CH5=1,MAX(CG7,CG7*CH6),CG7)*IF(CH$3&lt;=Inputs!$B$13,1,0)</f>
        <v>51076274.670865</v>
      </c>
      <c r="CI7" s="5" t="n">
        <f aca="false">IF(CI5=1,MAX(CH7,CH7*CI6),CH7)*IF(CI$3&lt;=Inputs!$B$13,1,0)</f>
        <v>59211401.0377596</v>
      </c>
      <c r="CJ7" s="5" t="n">
        <f aca="false">IF(CJ5=1,MAX(CI7,CI7*CJ6),CI7)*IF(CJ$3&lt;=Inputs!$B$13,1,0)</f>
        <v>59211401.0377596</v>
      </c>
      <c r="CK7" s="5" t="n">
        <f aca="false">IF(CK5=1,MAX(CJ7,CJ7*CK6),CJ7)*IF(CK$3&lt;=Inputs!$B$13,1,0)</f>
        <v>59211401.0377596</v>
      </c>
      <c r="CL7" s="5" t="n">
        <f aca="false">IF(CL5=1,MAX(CK7,CK7*CL6),CK7)*IF(CL$3&lt;=Inputs!$B$13,1,0)</f>
        <v>59211401.0377596</v>
      </c>
      <c r="CM7" s="5" t="n">
        <f aca="false">IF(CM5=1,MAX(CL7,CL7*CM6),CL7)*IF(CM$3&lt;=Inputs!$B$13,1,0)</f>
        <v>59211401.0377596</v>
      </c>
      <c r="CN7" s="5" t="n">
        <f aca="false">IF(CN5=1,MAX(CM7,CM7*CN6),CM7)*IF(CN$3&lt;=Inputs!$B$13,1,0)</f>
        <v>68642242.1260548</v>
      </c>
      <c r="CO7" s="5" t="n">
        <f aca="false">IF(CO5=1,MAX(CN7,CN7*CO6),CN7)*IF(CO$3&lt;=Inputs!$B$13,1,0)</f>
        <v>68642242.1260548</v>
      </c>
      <c r="CP7" s="5" t="n">
        <f aca="false">IF(CP5=1,MAX(CO7,CO7*CP6),CO7)*IF(CP$3&lt;=Inputs!$B$13,1,0)</f>
        <v>68642242.1260548</v>
      </c>
      <c r="CQ7" s="5" t="n">
        <f aca="false">IF(CQ5=1,MAX(CP7,CP7*CQ6),CP7)*IF(CQ$3&lt;=Inputs!$B$13,1,0)</f>
        <v>68642242.1260548</v>
      </c>
      <c r="CR7" s="5" t="n">
        <f aca="false">IF(CR5=1,MAX(CQ7,CQ7*CR6),CQ7)*IF(CR$3&lt;=Inputs!$B$13,1,0)</f>
        <v>68642242.1260548</v>
      </c>
      <c r="CS7" s="5" t="n">
        <f aca="false">IF(CS5=1,MAX(CR7,CR7*CS6),CR7)*IF(CS$3&lt;=Inputs!$B$13,1,0)</f>
        <v>79575171.6985586</v>
      </c>
      <c r="CT7" s="5" t="n">
        <f aca="false">IF(CT5=1,MAX(CS7,CS7*CT6),CS7)*IF(CT$3&lt;=Inputs!$B$13,1,0)</f>
        <v>79575171.6985586</v>
      </c>
      <c r="CU7" s="5" t="n">
        <f aca="false">IF(CU5=1,MAX(CT7,CT7*CU6),CT7)*IF(CU$3&lt;=Inputs!$B$13,1,0)</f>
        <v>79575171.6985586</v>
      </c>
      <c r="CV7" s="5" t="n">
        <f aca="false">IF(CV5=1,MAX(CU7,CU7*CV6),CU7)*IF(CV$3&lt;=Inputs!$B$13,1,0)</f>
        <v>79575171.6985586</v>
      </c>
      <c r="CW7" s="5" t="n">
        <f aca="false">IF(CW5=1,MAX(CV7,CV7*CW6),CV7)*IF(CW$3&lt;=Inputs!$B$13,1,0)</f>
        <v>0</v>
      </c>
    </row>
    <row r="8" customFormat="false" ht="15" hidden="false" customHeight="false" outlineLevel="0" collapsed="false">
      <c r="A8" s="0" t="s">
        <v>17</v>
      </c>
      <c r="B8" s="0" t="n">
        <f aca="false">B7*Inputs!$B$5</f>
        <v>576000</v>
      </c>
      <c r="C8" s="0" t="n">
        <f aca="false">C7*Inputs!$B$5</f>
        <v>576000</v>
      </c>
      <c r="D8" s="0" t="n">
        <f aca="false">D7*Inputs!$B$5</f>
        <v>576000</v>
      </c>
      <c r="E8" s="0" t="n">
        <f aca="false">E7*Inputs!$B$5</f>
        <v>576000</v>
      </c>
      <c r="F8" s="0" t="n">
        <f aca="false">F7*Inputs!$B$5</f>
        <v>576000</v>
      </c>
      <c r="G8" s="0" t="n">
        <f aca="false">G7*Inputs!$B$5</f>
        <v>667741.8667968</v>
      </c>
      <c r="H8" s="0" t="n">
        <f aca="false">H7*Inputs!$B$5</f>
        <v>667741.8667968</v>
      </c>
      <c r="I8" s="0" t="n">
        <f aca="false">I7*Inputs!$B$5</f>
        <v>667741.8667968</v>
      </c>
      <c r="J8" s="0" t="n">
        <f aca="false">J7*Inputs!$B$5</f>
        <v>667741.8667968</v>
      </c>
      <c r="K8" s="0" t="n">
        <f aca="false">K7*Inputs!$B$5</f>
        <v>667741.8667968</v>
      </c>
      <c r="L8" s="0" t="n">
        <f aca="false">L7*Inputs!$B$5</f>
        <v>774095.834502214</v>
      </c>
      <c r="M8" s="0" t="n">
        <f aca="false">M7*Inputs!$B$5</f>
        <v>774095.834502214</v>
      </c>
      <c r="N8" s="0" t="n">
        <f aca="false">N7*Inputs!$B$5</f>
        <v>774095.834502214</v>
      </c>
      <c r="O8" s="0" t="n">
        <f aca="false">O7*Inputs!$B$5</f>
        <v>774095.834502214</v>
      </c>
      <c r="P8" s="0" t="n">
        <f aca="false">P7*Inputs!$B$5</f>
        <v>774095.834502214</v>
      </c>
      <c r="Q8" s="0" t="n">
        <f aca="false">Q7*Inputs!$B$5</f>
        <v>897389.231962041</v>
      </c>
      <c r="R8" s="0" t="n">
        <f aca="false">R7*Inputs!$B$5</f>
        <v>897389.231962041</v>
      </c>
      <c r="S8" s="0" t="n">
        <f aca="false">S7*Inputs!$B$5</f>
        <v>897389.231962041</v>
      </c>
      <c r="T8" s="0" t="n">
        <f aca="false">T7*Inputs!$B$5</f>
        <v>897389.231962041</v>
      </c>
      <c r="U8" s="0" t="n">
        <f aca="false">U7*Inputs!$B$5</f>
        <v>897389.231962041</v>
      </c>
      <c r="V8" s="0" t="n">
        <f aca="false">V7*Inputs!$B$5</f>
        <v>1040320.07116958</v>
      </c>
      <c r="W8" s="0" t="n">
        <f aca="false">W7*Inputs!$B$5</f>
        <v>1040320.07116958</v>
      </c>
      <c r="X8" s="0" t="n">
        <f aca="false">X7*Inputs!$B$5</f>
        <v>1040320.07116958</v>
      </c>
      <c r="Y8" s="0" t="n">
        <f aca="false">Y7*Inputs!$B$5</f>
        <v>1040320.07116958</v>
      </c>
      <c r="Z8" s="0" t="n">
        <f aca="false">Z7*Inputs!$B$5</f>
        <v>1040320.07116958</v>
      </c>
      <c r="AA8" s="0" t="n">
        <f aca="false">AA7*Inputs!$B$5</f>
        <v>1206016.08748083</v>
      </c>
      <c r="AB8" s="0" t="n">
        <f aca="false">AB7*Inputs!$B$5</f>
        <v>1206016.08748083</v>
      </c>
      <c r="AC8" s="0" t="n">
        <f aca="false">AC7*Inputs!$B$5</f>
        <v>1206016.08748083</v>
      </c>
      <c r="AD8" s="0" t="n">
        <f aca="false">AD7*Inputs!$B$5</f>
        <v>1206016.08748083</v>
      </c>
      <c r="AE8" s="0" t="n">
        <f aca="false">AE7*Inputs!$B$5</f>
        <v>1206016.08748083</v>
      </c>
      <c r="AF8" s="0" t="n">
        <f aca="false">AF7*Inputs!$B$5</f>
        <v>1398103.18340524</v>
      </c>
      <c r="AG8" s="0" t="n">
        <f aca="false">AG7*Inputs!$B$5</f>
        <v>1398103.18340524</v>
      </c>
      <c r="AH8" s="0" t="n">
        <f aca="false">AH7*Inputs!$B$5</f>
        <v>1398103.18340524</v>
      </c>
      <c r="AI8" s="0" t="n">
        <f aca="false">AI7*Inputs!$B$5</f>
        <v>1398103.18340524</v>
      </c>
      <c r="AJ8" s="0" t="n">
        <f aca="false">AJ7*Inputs!$B$5</f>
        <v>1398103.18340524</v>
      </c>
      <c r="AK8" s="0" t="n">
        <f aca="false">AK7*Inputs!$B$5</f>
        <v>1620784.773718</v>
      </c>
      <c r="AL8" s="0" t="n">
        <f aca="false">AL7*Inputs!$B$5</f>
        <v>1620784.773718</v>
      </c>
      <c r="AM8" s="0" t="n">
        <f aca="false">AM7*Inputs!$B$5</f>
        <v>1620784.773718</v>
      </c>
      <c r="AN8" s="0" t="n">
        <f aca="false">AN7*Inputs!$B$5</f>
        <v>1620784.773718</v>
      </c>
      <c r="AO8" s="0" t="n">
        <f aca="false">AO7*Inputs!$B$5</f>
        <v>1620784.773718</v>
      </c>
      <c r="AP8" s="0" t="n">
        <f aca="false">AP7*Inputs!$B$5</f>
        <v>1878933.76819147</v>
      </c>
      <c r="AQ8" s="0" t="n">
        <f aca="false">AQ7*Inputs!$B$5</f>
        <v>1878933.76819147</v>
      </c>
      <c r="AR8" s="0" t="n">
        <f aca="false">AR7*Inputs!$B$5</f>
        <v>1878933.76819147</v>
      </c>
      <c r="AS8" s="0" t="n">
        <f aca="false">AS7*Inputs!$B$5</f>
        <v>1878933.76819147</v>
      </c>
      <c r="AT8" s="0" t="n">
        <f aca="false">AT7*Inputs!$B$5</f>
        <v>1878933.76819147</v>
      </c>
      <c r="AU8" s="0" t="n">
        <f aca="false">AU7*Inputs!$B$5</f>
        <v>2178199.20479117</v>
      </c>
      <c r="AV8" s="0" t="n">
        <f aca="false">AV7*Inputs!$B$5</f>
        <v>2178199.20479117</v>
      </c>
      <c r="AW8" s="0" t="n">
        <f aca="false">AW7*Inputs!$B$5</f>
        <v>2178199.20479117</v>
      </c>
      <c r="AX8" s="0" t="n">
        <f aca="false">AX7*Inputs!$B$5</f>
        <v>2178199.20479117</v>
      </c>
      <c r="AY8" s="0" t="n">
        <f aca="false">AY7*Inputs!$B$5</f>
        <v>2178199.20479117</v>
      </c>
      <c r="AZ8" s="0" t="n">
        <f aca="false">AZ7*Inputs!$B$5</f>
        <v>2525129.86677529</v>
      </c>
      <c r="BA8" s="0" t="n">
        <f aca="false">BA7*Inputs!$B$5</f>
        <v>2525129.86677529</v>
      </c>
      <c r="BB8" s="0" t="n">
        <f aca="false">BB7*Inputs!$B$5</f>
        <v>2525129.86677529</v>
      </c>
      <c r="BC8" s="0" t="n">
        <f aca="false">BC7*Inputs!$B$5</f>
        <v>2525129.86677529</v>
      </c>
      <c r="BD8" s="0" t="n">
        <f aca="false">BD7*Inputs!$B$5</f>
        <v>2525129.86677529</v>
      </c>
      <c r="BE8" s="0" t="n">
        <f aca="false">BE7*Inputs!$B$5</f>
        <v>2927317.5887932</v>
      </c>
      <c r="BF8" s="0" t="n">
        <f aca="false">BF7*Inputs!$B$5</f>
        <v>2927317.5887932</v>
      </c>
      <c r="BG8" s="0" t="n">
        <f aca="false">BG7*Inputs!$B$5</f>
        <v>2927317.5887932</v>
      </c>
      <c r="BH8" s="0" t="n">
        <f aca="false">BH7*Inputs!$B$5</f>
        <v>2927317.5887932</v>
      </c>
      <c r="BI8" s="0" t="n">
        <f aca="false">BI7*Inputs!$B$5</f>
        <v>2927317.5887932</v>
      </c>
      <c r="BJ8" s="0" t="n">
        <f aca="false">BJ7*Inputs!$B$5</f>
        <v>3393563.38793035</v>
      </c>
      <c r="BK8" s="0" t="n">
        <f aca="false">BK7*Inputs!$B$5</f>
        <v>3393563.38793035</v>
      </c>
      <c r="BL8" s="0" t="n">
        <f aca="false">BL7*Inputs!$B$5</f>
        <v>3393563.38793035</v>
      </c>
      <c r="BM8" s="0" t="n">
        <f aca="false">BM7*Inputs!$B$5</f>
        <v>3393563.38793035</v>
      </c>
      <c r="BN8" s="0" t="n">
        <f aca="false">BN7*Inputs!$B$5</f>
        <v>3393563.38793035</v>
      </c>
      <c r="BO8" s="0" t="n">
        <f aca="false">BO7*Inputs!$B$5</f>
        <v>3934070.05512132</v>
      </c>
      <c r="BP8" s="0" t="n">
        <f aca="false">BP7*Inputs!$B$5</f>
        <v>3934070.05512132</v>
      </c>
      <c r="BQ8" s="0" t="n">
        <f aca="false">BQ7*Inputs!$B$5</f>
        <v>3934070.05512132</v>
      </c>
      <c r="BR8" s="0" t="n">
        <f aca="false">BR7*Inputs!$B$5</f>
        <v>3934070.05512132</v>
      </c>
      <c r="BS8" s="0" t="n">
        <f aca="false">BS7*Inputs!$B$5</f>
        <v>3934070.05512132</v>
      </c>
      <c r="BT8" s="0" t="n">
        <f aca="false">BT7*Inputs!$B$5</f>
        <v>4560665.42138212</v>
      </c>
      <c r="BU8" s="0" t="n">
        <f aca="false">BU7*Inputs!$B$5</f>
        <v>4560665.42138212</v>
      </c>
      <c r="BV8" s="0" t="n">
        <f aca="false">BV7*Inputs!$B$5</f>
        <v>4560665.42138212</v>
      </c>
      <c r="BW8" s="0" t="n">
        <f aca="false">BW7*Inputs!$B$5</f>
        <v>4560665.42138212</v>
      </c>
      <c r="BX8" s="0" t="n">
        <f aca="false">BX7*Inputs!$B$5</f>
        <v>4560665.42138212</v>
      </c>
      <c r="BY8" s="0" t="n">
        <f aca="false">BY7*Inputs!$B$5</f>
        <v>5287061.18456478</v>
      </c>
      <c r="BZ8" s="0" t="n">
        <f aca="false">BZ7*Inputs!$B$5</f>
        <v>5287061.18456478</v>
      </c>
      <c r="CA8" s="0" t="n">
        <f aca="false">CA7*Inputs!$B$5</f>
        <v>5287061.18456478</v>
      </c>
      <c r="CB8" s="0" t="n">
        <f aca="false">CB7*Inputs!$B$5</f>
        <v>5287061.18456478</v>
      </c>
      <c r="CC8" s="0" t="n">
        <f aca="false">CC7*Inputs!$B$5</f>
        <v>5287061.18456478</v>
      </c>
      <c r="CD8" s="0" t="n">
        <f aca="false">CD7*Inputs!$B$5</f>
        <v>6129152.9605038</v>
      </c>
      <c r="CE8" s="0" t="n">
        <f aca="false">CE7*Inputs!$B$5</f>
        <v>6129152.9605038</v>
      </c>
      <c r="CF8" s="0" t="n">
        <f aca="false">CF7*Inputs!$B$5</f>
        <v>6129152.9605038</v>
      </c>
      <c r="CG8" s="0" t="n">
        <f aca="false">CG7*Inputs!$B$5</f>
        <v>6129152.9605038</v>
      </c>
      <c r="CH8" s="0" t="n">
        <f aca="false">CH7*Inputs!$B$5</f>
        <v>6129152.9605038</v>
      </c>
      <c r="CI8" s="0" t="n">
        <f aca="false">CI7*Inputs!$B$5</f>
        <v>7105368.12453115</v>
      </c>
      <c r="CJ8" s="0" t="n">
        <f aca="false">CJ7*Inputs!$B$5</f>
        <v>7105368.12453115</v>
      </c>
      <c r="CK8" s="0" t="n">
        <f aca="false">CK7*Inputs!$B$5</f>
        <v>7105368.12453115</v>
      </c>
      <c r="CL8" s="0" t="n">
        <f aca="false">CL7*Inputs!$B$5</f>
        <v>7105368.12453115</v>
      </c>
      <c r="CM8" s="0" t="n">
        <f aca="false">CM7*Inputs!$B$5</f>
        <v>7105368.12453115</v>
      </c>
      <c r="CN8" s="0" t="n">
        <f aca="false">CN7*Inputs!$B$5</f>
        <v>8237069.05512657</v>
      </c>
      <c r="CO8" s="0" t="n">
        <f aca="false">CO7*Inputs!$B$5</f>
        <v>8237069.05512657</v>
      </c>
      <c r="CP8" s="0" t="n">
        <f aca="false">CP7*Inputs!$B$5</f>
        <v>8237069.05512657</v>
      </c>
      <c r="CQ8" s="0" t="n">
        <f aca="false">CQ7*Inputs!$B$5</f>
        <v>8237069.05512657</v>
      </c>
      <c r="CR8" s="0" t="n">
        <f aca="false">CR7*Inputs!$B$5</f>
        <v>8237069.05512657</v>
      </c>
      <c r="CS8" s="0" t="n">
        <f aca="false">CS7*Inputs!$B$5</f>
        <v>9549020.60382704</v>
      </c>
      <c r="CT8" s="0" t="n">
        <f aca="false">CT7*Inputs!$B$5</f>
        <v>9549020.60382704</v>
      </c>
      <c r="CU8" s="0" t="n">
        <f aca="false">CU7*Inputs!$B$5</f>
        <v>9549020.60382704</v>
      </c>
      <c r="CV8" s="0" t="n">
        <f aca="false">CV7*Inputs!$B$5</f>
        <v>9549020.60382704</v>
      </c>
      <c r="CW8" s="0" t="n">
        <f aca="false">CW7*Inputs!$B$5</f>
        <v>0</v>
      </c>
    </row>
    <row r="9" customFormat="false" ht="15" hidden="false" customHeight="false" outlineLevel="0" collapsed="false">
      <c r="A9" s="0" t="s">
        <v>18</v>
      </c>
      <c r="B9" s="0" t="n">
        <f aca="false">B7-B8</f>
        <v>4224000</v>
      </c>
      <c r="C9" s="0" t="n">
        <f aca="false">C7-C8</f>
        <v>4224000</v>
      </c>
      <c r="D9" s="0" t="n">
        <f aca="false">D7-D8</f>
        <v>4224000</v>
      </c>
      <c r="E9" s="0" t="n">
        <f aca="false">E7-E8</f>
        <v>4224000</v>
      </c>
      <c r="F9" s="0" t="n">
        <f aca="false">F7-F8</f>
        <v>4224000</v>
      </c>
      <c r="G9" s="0" t="n">
        <f aca="false">G7-G8</f>
        <v>4896773.6898432</v>
      </c>
      <c r="H9" s="0" t="n">
        <f aca="false">H7-H8</f>
        <v>4896773.6898432</v>
      </c>
      <c r="I9" s="0" t="n">
        <f aca="false">I7-I8</f>
        <v>4896773.6898432</v>
      </c>
      <c r="J9" s="0" t="n">
        <f aca="false">J7-J8</f>
        <v>4896773.6898432</v>
      </c>
      <c r="K9" s="0" t="n">
        <f aca="false">K7-K8</f>
        <v>4896773.6898432</v>
      </c>
      <c r="L9" s="0" t="n">
        <f aca="false">L7-L8</f>
        <v>5676702.78634957</v>
      </c>
      <c r="M9" s="0" t="n">
        <f aca="false">M7-M8</f>
        <v>5676702.78634957</v>
      </c>
      <c r="N9" s="0" t="n">
        <f aca="false">N7-N8</f>
        <v>5676702.78634957</v>
      </c>
      <c r="O9" s="0" t="n">
        <f aca="false">O7-O8</f>
        <v>5676702.78634957</v>
      </c>
      <c r="P9" s="0" t="n">
        <f aca="false">P7-P8</f>
        <v>5676702.78634957</v>
      </c>
      <c r="Q9" s="0" t="n">
        <f aca="false">Q7-Q8</f>
        <v>6580854.36772163</v>
      </c>
      <c r="R9" s="0" t="n">
        <f aca="false">R7-R8</f>
        <v>6580854.36772163</v>
      </c>
      <c r="S9" s="0" t="n">
        <f aca="false">S7-S8</f>
        <v>6580854.36772163</v>
      </c>
      <c r="T9" s="0" t="n">
        <f aca="false">T7-T8</f>
        <v>6580854.36772163</v>
      </c>
      <c r="U9" s="0" t="n">
        <f aca="false">U7-U8</f>
        <v>6580854.36772163</v>
      </c>
      <c r="V9" s="0" t="n">
        <f aca="false">V7-V8</f>
        <v>7629013.85524361</v>
      </c>
      <c r="W9" s="0" t="n">
        <f aca="false">W7-W8</f>
        <v>7629013.85524361</v>
      </c>
      <c r="X9" s="0" t="n">
        <f aca="false">X7-X8</f>
        <v>7629013.85524361</v>
      </c>
      <c r="Y9" s="0" t="n">
        <f aca="false">Y7-Y8</f>
        <v>7629013.85524361</v>
      </c>
      <c r="Z9" s="0" t="n">
        <f aca="false">Z7-Z8</f>
        <v>7629013.85524361</v>
      </c>
      <c r="AA9" s="0" t="n">
        <f aca="false">AA7-AA8</f>
        <v>8844117.97485941</v>
      </c>
      <c r="AB9" s="0" t="n">
        <f aca="false">AB7-AB8</f>
        <v>8844117.97485941</v>
      </c>
      <c r="AC9" s="0" t="n">
        <f aca="false">AC7-AC8</f>
        <v>8844117.97485941</v>
      </c>
      <c r="AD9" s="0" t="n">
        <f aca="false">AD7-AD8</f>
        <v>8844117.97485941</v>
      </c>
      <c r="AE9" s="0" t="n">
        <f aca="false">AE7-AE8</f>
        <v>8844117.97485941</v>
      </c>
      <c r="AF9" s="0" t="n">
        <f aca="false">AF7-AF8</f>
        <v>10252756.6783051</v>
      </c>
      <c r="AG9" s="0" t="n">
        <f aca="false">AG7-AG8</f>
        <v>10252756.6783051</v>
      </c>
      <c r="AH9" s="0" t="n">
        <f aca="false">AH7-AH8</f>
        <v>10252756.6783051</v>
      </c>
      <c r="AI9" s="0" t="n">
        <f aca="false">AI7-AI8</f>
        <v>10252756.6783051</v>
      </c>
      <c r="AJ9" s="0" t="n">
        <f aca="false">AJ7-AJ8</f>
        <v>10252756.6783051</v>
      </c>
      <c r="AK9" s="0" t="n">
        <f aca="false">AK7-AK8</f>
        <v>11885755.0072653</v>
      </c>
      <c r="AL9" s="0" t="n">
        <f aca="false">AL7-AL8</f>
        <v>11885755.0072653</v>
      </c>
      <c r="AM9" s="0" t="n">
        <f aca="false">AM7-AM8</f>
        <v>11885755.0072653</v>
      </c>
      <c r="AN9" s="0" t="n">
        <f aca="false">AN7-AN8</f>
        <v>11885755.0072653</v>
      </c>
      <c r="AO9" s="0" t="n">
        <f aca="false">AO7-AO8</f>
        <v>11885755.0072653</v>
      </c>
      <c r="AP9" s="0" t="n">
        <f aca="false">AP7-AP8</f>
        <v>13778847.6334041</v>
      </c>
      <c r="AQ9" s="0" t="n">
        <f aca="false">AQ7-AQ8</f>
        <v>13778847.6334041</v>
      </c>
      <c r="AR9" s="0" t="n">
        <f aca="false">AR7-AR8</f>
        <v>13778847.6334041</v>
      </c>
      <c r="AS9" s="0" t="n">
        <f aca="false">AS7-AS8</f>
        <v>13778847.6334041</v>
      </c>
      <c r="AT9" s="0" t="n">
        <f aca="false">AT7-AT8</f>
        <v>13778847.6334041</v>
      </c>
      <c r="AU9" s="0" t="n">
        <f aca="false">AU7-AU8</f>
        <v>15973460.8351353</v>
      </c>
      <c r="AV9" s="0" t="n">
        <f aca="false">AV7-AV8</f>
        <v>15973460.8351353</v>
      </c>
      <c r="AW9" s="0" t="n">
        <f aca="false">AW7-AW8</f>
        <v>15973460.8351353</v>
      </c>
      <c r="AX9" s="0" t="n">
        <f aca="false">AX7-AX8</f>
        <v>15973460.8351353</v>
      </c>
      <c r="AY9" s="0" t="n">
        <f aca="false">AY7-AY8</f>
        <v>15973460.8351353</v>
      </c>
      <c r="AZ9" s="0" t="n">
        <f aca="false">AZ7-AZ8</f>
        <v>18517619.0230188</v>
      </c>
      <c r="BA9" s="0" t="n">
        <f aca="false">BA7-BA8</f>
        <v>18517619.0230188</v>
      </c>
      <c r="BB9" s="0" t="n">
        <f aca="false">BB7-BB8</f>
        <v>18517619.0230188</v>
      </c>
      <c r="BC9" s="0" t="n">
        <f aca="false">BC7-BC8</f>
        <v>18517619.0230188</v>
      </c>
      <c r="BD9" s="0" t="n">
        <f aca="false">BD7-BD8</f>
        <v>18517619.0230188</v>
      </c>
      <c r="BE9" s="0" t="n">
        <f aca="false">BE7-BE8</f>
        <v>21466995.6511501</v>
      </c>
      <c r="BF9" s="0" t="n">
        <f aca="false">BF7-BF8</f>
        <v>21466995.6511501</v>
      </c>
      <c r="BG9" s="0" t="n">
        <f aca="false">BG7-BG8</f>
        <v>21466995.6511501</v>
      </c>
      <c r="BH9" s="0" t="n">
        <f aca="false">BH7-BH8</f>
        <v>21466995.6511501</v>
      </c>
      <c r="BI9" s="0" t="n">
        <f aca="false">BI7-BI8</f>
        <v>21466995.6511501</v>
      </c>
      <c r="BJ9" s="0" t="n">
        <f aca="false">BJ7-BJ8</f>
        <v>24886131.5114892</v>
      </c>
      <c r="BK9" s="0" t="n">
        <f aca="false">BK7-BK8</f>
        <v>24886131.5114892</v>
      </c>
      <c r="BL9" s="0" t="n">
        <f aca="false">BL7-BL8</f>
        <v>24886131.5114892</v>
      </c>
      <c r="BM9" s="0" t="n">
        <f aca="false">BM7-BM8</f>
        <v>24886131.5114892</v>
      </c>
      <c r="BN9" s="0" t="n">
        <f aca="false">BN7-BN8</f>
        <v>24886131.5114892</v>
      </c>
      <c r="BO9" s="0" t="n">
        <f aca="false">BO7-BO8</f>
        <v>28849847.0708897</v>
      </c>
      <c r="BP9" s="0" t="n">
        <f aca="false">BP7-BP8</f>
        <v>28849847.0708897</v>
      </c>
      <c r="BQ9" s="0" t="n">
        <f aca="false">BQ7-BQ8</f>
        <v>28849847.0708897</v>
      </c>
      <c r="BR9" s="0" t="n">
        <f aca="false">BR7-BR8</f>
        <v>28849847.0708897</v>
      </c>
      <c r="BS9" s="0" t="n">
        <f aca="false">BS7-BS8</f>
        <v>28849847.0708897</v>
      </c>
      <c r="BT9" s="0" t="n">
        <f aca="false">BT7-BT8</f>
        <v>33444879.7568022</v>
      </c>
      <c r="BU9" s="0" t="n">
        <f aca="false">BU7-BU8</f>
        <v>33444879.7568022</v>
      </c>
      <c r="BV9" s="0" t="n">
        <f aca="false">BV7-BV8</f>
        <v>33444879.7568022</v>
      </c>
      <c r="BW9" s="0" t="n">
        <f aca="false">BW7-BW8</f>
        <v>33444879.7568022</v>
      </c>
      <c r="BX9" s="0" t="n">
        <f aca="false">BX7-BX8</f>
        <v>33444879.7568022</v>
      </c>
      <c r="BY9" s="0" t="n">
        <f aca="false">BY7-BY8</f>
        <v>38771782.0201417</v>
      </c>
      <c r="BZ9" s="0" t="n">
        <f aca="false">BZ7-BZ8</f>
        <v>38771782.0201417</v>
      </c>
      <c r="CA9" s="0" t="n">
        <f aca="false">CA7-CA8</f>
        <v>38771782.0201417</v>
      </c>
      <c r="CB9" s="0" t="n">
        <f aca="false">CB7-CB8</f>
        <v>38771782.0201417</v>
      </c>
      <c r="CC9" s="0" t="n">
        <f aca="false">CC7-CC8</f>
        <v>38771782.0201417</v>
      </c>
      <c r="CD9" s="0" t="n">
        <f aca="false">CD7-CD8</f>
        <v>44947121.7103612</v>
      </c>
      <c r="CE9" s="0" t="n">
        <f aca="false">CE7-CE8</f>
        <v>44947121.7103612</v>
      </c>
      <c r="CF9" s="0" t="n">
        <f aca="false">CF7-CF8</f>
        <v>44947121.7103612</v>
      </c>
      <c r="CG9" s="0" t="n">
        <f aca="false">CG7-CG8</f>
        <v>44947121.7103612</v>
      </c>
      <c r="CH9" s="0" t="n">
        <f aca="false">CH7-CH8</f>
        <v>44947121.7103612</v>
      </c>
      <c r="CI9" s="0" t="n">
        <f aca="false">CI7-CI8</f>
        <v>52106032.9132284</v>
      </c>
      <c r="CJ9" s="0" t="n">
        <f aca="false">CJ7-CJ8</f>
        <v>52106032.9132284</v>
      </c>
      <c r="CK9" s="0" t="n">
        <f aca="false">CK7-CK8</f>
        <v>52106032.9132284</v>
      </c>
      <c r="CL9" s="0" t="n">
        <f aca="false">CL7-CL8</f>
        <v>52106032.9132284</v>
      </c>
      <c r="CM9" s="0" t="n">
        <f aca="false">CM7-CM8</f>
        <v>52106032.9132284</v>
      </c>
      <c r="CN9" s="0" t="n">
        <f aca="false">CN7-CN8</f>
        <v>60405173.0709282</v>
      </c>
      <c r="CO9" s="0" t="n">
        <f aca="false">CO7-CO8</f>
        <v>60405173.0709282</v>
      </c>
      <c r="CP9" s="0" t="n">
        <f aca="false">CP7-CP8</f>
        <v>60405173.0709282</v>
      </c>
      <c r="CQ9" s="0" t="n">
        <f aca="false">CQ7-CQ8</f>
        <v>60405173.0709282</v>
      </c>
      <c r="CR9" s="0" t="n">
        <f aca="false">CR7-CR8</f>
        <v>60405173.0709282</v>
      </c>
      <c r="CS9" s="0" t="n">
        <f aca="false">CS7-CS8</f>
        <v>70026151.0947316</v>
      </c>
      <c r="CT9" s="0" t="n">
        <f aca="false">CT7-CT8</f>
        <v>70026151.0947316</v>
      </c>
      <c r="CU9" s="0" t="n">
        <f aca="false">CU7-CU8</f>
        <v>70026151.0947316</v>
      </c>
      <c r="CV9" s="0" t="n">
        <f aca="false">CV7-CV8</f>
        <v>70026151.0947316</v>
      </c>
      <c r="CW9" s="0" t="n">
        <f aca="false">CW7-CW8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19</v>
      </c>
      <c r="B3" s="2" t="n">
        <f aca="false">XNPV(Inputs!$B$10,'Cash Flow'!$B$8:$CW$8,'Cash Flow'!$B$4:$CW$4)</f>
        <v>28809851.8503407</v>
      </c>
    </row>
    <row r="4" customFormat="false" ht="15" hidden="false" customHeight="false" outlineLevel="0" collapsed="false">
      <c r="A4" s="0" t="s">
        <v>20</v>
      </c>
      <c r="B4" s="3" t="n">
        <f aca="false">Inputs!$B$4*Inputs!$B$5/B3</f>
        <v>0.0199931607768121</v>
      </c>
    </row>
    <row r="5" customFormat="false" ht="15" hidden="false" customHeight="false" outlineLevel="0" collapsed="false">
      <c r="A5" s="0" t="s">
        <v>21</v>
      </c>
      <c r="B5" s="2" t="n">
        <f aca="true">NPV(Inputs!$B$11,OFFSET('Cash Flow'!$B$9,0,Inputs!$B$12,1,Inputs!$B$13-Inputs!$B$12))</f>
        <v>129680069.822262</v>
      </c>
    </row>
    <row r="6" customFormat="false" ht="15" hidden="false" customHeight="false" outlineLevel="0" collapsed="false">
      <c r="A6" s="0" t="s">
        <v>22</v>
      </c>
      <c r="B6" s="2" t="n">
        <f aca="false">INDEX('Cash Flow'!$B$8:$CW$8,50)</f>
        <v>2178199.20479117</v>
      </c>
    </row>
    <row r="7" customFormat="false" ht="15" hidden="false" customHeight="false" outlineLevel="0" collapsed="false">
      <c r="A7" s="0" t="s">
        <v>23</v>
      </c>
      <c r="B7" s="1" t="n">
        <f aca="false">INDEX('Cash Flow'!$B$4:$CW$4,Inputs!$B$13)</f>
        <v>82175</v>
      </c>
    </row>
    <row r="8" customFormat="false" ht="15" hidden="false" customHeight="false" outlineLevel="0" collapsed="false">
      <c r="A8" s="0" t="s">
        <v>24</v>
      </c>
      <c r="B8" s="2" t="n">
        <f aca="false">SUM('Cash Flow'!$B$8:$CW$8)</f>
        <v>319880990.749038</v>
      </c>
    </row>
    <row r="9" customFormat="false" ht="15" hidden="false" customHeight="false" outlineLevel="0" collapsed="false">
      <c r="A9" s="0" t="s">
        <v>25</v>
      </c>
      <c r="B9" s="2" t="n">
        <f aca="false">SUMPRODUCT((YEAR('Cash Flow'!$B$4:$CW$4)=2100)*'Cash Flow'!$B$8:$CW$8)</f>
        <v>4560665.42138212</v>
      </c>
    </row>
    <row r="10" customFormat="false" ht="15" hidden="false" customHeight="false" outlineLevel="0" collapsed="false">
      <c r="A10" s="0" t="s">
        <v>26</v>
      </c>
      <c r="B10" s="2" t="n">
        <f aca="false">SUM('Cash Flow'!$B$9:$CW$9)</f>
        <v>2345793932.15961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2026-10-17T19:36:24Z</dcterms:created>
  <dc:creator>openpyxl</dc:creator>
  <dc:description/>
  <dc:language>en-US</dc:language>
  <cp:lastModifiedBy/>
  <dcterms:modified xsi:type="dcterms:W3CDTF">2026-10-17T19:36:24Z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