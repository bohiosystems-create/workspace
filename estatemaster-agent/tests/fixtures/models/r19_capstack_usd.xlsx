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urve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<sst xmlns="http://schemas.openxmlformats.org/spreadsheetml/2006/main" count="64" uniqueCount="63">
  <si>
    <t xml:space="preserve">LAKESHORE PLAZA – RECAPITALISATION, CAPITAL STACK AND CASH TRAP (USD)</t>
  </si>
  <si>
    <t xml:space="preserve">Purchase price ($)</t>
  </si>
  <si>
    <t xml:space="preserve">Closing costs</t>
  </si>
  <si>
    <t xml:space="preserve">NOI, year 1 ($)</t>
  </si>
  <si>
    <t xml:space="preserve">NOI growth a year</t>
  </si>
  <si>
    <t xml:space="preserve">Capital reserve a quarter ($)</t>
  </si>
  <si>
    <t xml:space="preserve">Hold (quarters)</t>
  </si>
  <si>
    <t xml:space="preserve">Exit cap rate</t>
  </si>
  <si>
    <t xml:space="preserve">Selling costs</t>
  </si>
  <si>
    <t xml:space="preserve">Senior loan to value</t>
  </si>
  <si>
    <t xml:space="preserve">Senior margin over SOFR</t>
  </si>
  <si>
    <t xml:space="preserve">Senior amortisation a year (of original)</t>
  </si>
  <si>
    <t xml:space="preserve">Cash trap: senior DSCR below</t>
  </si>
  <si>
    <t xml:space="preserve">Mezzanine (% of price)</t>
  </si>
  <si>
    <t xml:space="preserve">Mezzanine coupon</t>
  </si>
  <si>
    <t xml:space="preserve">Preferred equity (% of price)</t>
  </si>
  <si>
    <t xml:space="preserve">Preferred return (accrues)</t>
  </si>
  <si>
    <t xml:space="preserve">Quarter</t>
  </si>
  <si>
    <t xml:space="preserve">SOFR forward</t>
  </si>
  <si>
    <t xml:space="preserve">SOFR</t>
  </si>
  <si>
    <t xml:space="preserve">NOI</t>
  </si>
  <si>
    <t xml:space="preserve">Capital reserve</t>
  </si>
  <si>
    <t xml:space="preserve">CFADS</t>
  </si>
  <si>
    <t xml:space="preserve">Senior opening</t>
  </si>
  <si>
    <t xml:space="preserve">Senior interest</t>
  </si>
  <si>
    <t xml:space="preserve">Senior amortisation</t>
  </si>
  <si>
    <t xml:space="preserve">Senior debt service</t>
  </si>
  <si>
    <t xml:space="preserve">Senior DSCR</t>
  </si>
  <si>
    <t xml:space="preserve">Cash after senior</t>
  </si>
  <si>
    <t xml:space="preserve">Equity cure</t>
  </si>
  <si>
    <t xml:space="preserve">Mezz opening</t>
  </si>
  <si>
    <t xml:space="preserve">Mezz interest due</t>
  </si>
  <si>
    <t xml:space="preserve">Mezz interest paid</t>
  </si>
  <si>
    <t xml:space="preserve">Mezz PIK</t>
  </si>
  <si>
    <t xml:space="preserve">Cash after mezz</t>
  </si>
  <si>
    <t xml:space="preserve">Pref opening</t>
  </si>
  <si>
    <t xml:space="preserve">Pref accrual</t>
  </si>
  <si>
    <t xml:space="preserve">Pref paid</t>
  </si>
  <si>
    <t xml:space="preserve">Residual cash</t>
  </si>
  <si>
    <t xml:space="preserve">Cash trap on</t>
  </si>
  <si>
    <t xml:space="preserve">Cash swept</t>
  </si>
  <si>
    <t xml:space="preserve">Distributions</t>
  </si>
  <si>
    <t xml:space="preserve">Senior closing</t>
  </si>
  <si>
    <t xml:space="preserve">Mezz closing</t>
  </si>
  <si>
    <t xml:space="preserve">Pref closing</t>
  </si>
  <si>
    <t xml:space="preserve">Gross sale</t>
  </si>
  <si>
    <t xml:space="preserve">Net sale</t>
  </si>
  <si>
    <t xml:space="preserve">Common at exit</t>
  </si>
  <si>
    <t xml:space="preserve">Common cash flow</t>
  </si>
  <si>
    <t xml:space="preserve">Senior cash flow</t>
  </si>
  <si>
    <t xml:space="preserve">Mezz cash flow</t>
  </si>
  <si>
    <t xml:space="preserve">Pref cash flow</t>
  </si>
  <si>
    <t xml:space="preserve">Common equity IRR</t>
  </si>
  <si>
    <t xml:space="preserve">Common equity multiple</t>
  </si>
  <si>
    <t xml:space="preserve">Mezzanine IRR</t>
  </si>
  <si>
    <t xml:space="preserve">Preferred equity IRR</t>
  </si>
  <si>
    <t xml:space="preserve">Senior IRR</t>
  </si>
  <si>
    <t xml:space="preserve">Minimum senior DSCR</t>
  </si>
  <si>
    <t xml:space="preserve">Quarters in cash trap</t>
  </si>
  <si>
    <t xml:space="preserve">Cash swept to senior ($)</t>
  </si>
  <si>
    <t xml:space="preserve">Peak mezzanine balance with PIK ($)</t>
  </si>
  <si>
    <t xml:space="preserve">Equity cures ($)</t>
  </si>
  <si>
    <t xml:space="preserve">Net sale proceeds ($)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</si>
</sst>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250000000</v>
      </c>
    </row>
    <row r="4" customFormat="false" ht="15" hidden="false" customHeight="false" outlineLevel="0" collapsed="false">
      <c r="A4" s="0" t="s">
        <v>2</v>
      </c>
      <c r="B4" s="2" t="n">
        <v>0.02</v>
      </c>
    </row>
    <row r="5" customFormat="false" ht="15" hidden="false" customHeight="false" outlineLevel="0" collapsed="false">
      <c r="A5" s="0" t="s">
        <v>3</v>
      </c>
      <c r="B5" s="1" t="n">
        <v>15500000</v>
      </c>
    </row>
    <row r="6" customFormat="false" ht="15" hidden="false" customHeight="false" outlineLevel="0" collapsed="false">
      <c r="A6" s="0" t="s">
        <v>4</v>
      </c>
      <c r="B6" s="2" t="n">
        <v>0.03</v>
      </c>
    </row>
    <row r="7" customFormat="false" ht="15" hidden="false" customHeight="false" outlineLevel="0" collapsed="false">
      <c r="A7" s="0" t="s">
        <v>5</v>
      </c>
      <c r="B7" s="1" t="n">
        <v>500000</v>
      </c>
    </row>
    <row r="8" customFormat="false" ht="15" hidden="false" customHeight="false" outlineLevel="0" collapsed="false">
      <c r="A8" s="0" t="s">
        <v>6</v>
      </c>
      <c r="B8" s="3" t="n">
        <v>28</v>
      </c>
    </row>
    <row r="9" customFormat="false" ht="15" hidden="false" customHeight="false" outlineLevel="0" collapsed="false">
      <c r="A9" s="0" t="s">
        <v>7</v>
      </c>
      <c r="B9" s="2" t="n">
        <v>0.0625</v>
      </c>
    </row>
    <row r="10" customFormat="false" ht="15" hidden="false" customHeight="false" outlineLevel="0" collapsed="false">
      <c r="A10" s="0" t="s">
        <v>8</v>
      </c>
      <c r="B10" s="2" t="n">
        <v>0.015</v>
      </c>
    </row>
    <row r="11" customFormat="false" ht="15" hidden="false" customHeight="false" outlineLevel="0" collapsed="false">
      <c r="A11" s="0" t="s">
        <v>9</v>
      </c>
      <c r="B11" s="2" t="n">
        <v>0.55</v>
      </c>
    </row>
    <row r="12" customFormat="false" ht="15" hidden="false" customHeight="false" outlineLevel="0" collapsed="false">
      <c r="A12" s="0" t="s">
        <v>10</v>
      </c>
      <c r="B12" s="2" t="n">
        <v>0.0225</v>
      </c>
    </row>
    <row r="13" customFormat="false" ht="15" hidden="false" customHeight="false" outlineLevel="0" collapsed="false">
      <c r="A13" s="0" t="s">
        <v>11</v>
      </c>
      <c r="B13" s="2" t="n">
        <v>0.01</v>
      </c>
    </row>
    <row r="14" customFormat="false" ht="15" hidden="false" customHeight="false" outlineLevel="0" collapsed="false">
      <c r="A14" s="0" t="s">
        <v>12</v>
      </c>
      <c r="B14" s="4" t="n">
        <v>1.25</v>
      </c>
    </row>
    <row r="15" customFormat="false" ht="15" hidden="false" customHeight="false" outlineLevel="0" collapsed="false">
      <c r="A15" s="0" t="s">
        <v>13</v>
      </c>
      <c r="B15" s="2" t="n">
        <v>0.15</v>
      </c>
    </row>
    <row r="16" customFormat="false" ht="15" hidden="false" customHeight="false" outlineLevel="0" collapsed="false">
      <c r="A16" s="0" t="s">
        <v>14</v>
      </c>
      <c r="B16" s="2" t="n">
        <v>0.11</v>
      </c>
    </row>
    <row r="17" customFormat="false" ht="15" hidden="false" customHeight="false" outlineLevel="0" collapsed="false">
      <c r="A17" s="0" t="s">
        <v>15</v>
      </c>
      <c r="B17" s="2" t="n">
        <v>0.1</v>
      </c>
    </row>
    <row r="18" customFormat="false" ht="15" hidden="false" customHeight="false" outlineLevel="0" collapsed="false">
      <c r="A18" s="0" t="s">
        <v>16</v>
      </c>
      <c r="B18" s="2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18</v>
      </c>
    </row>
    <row r="2" customFormat="false" ht="15" hidden="false" customHeight="false" outlineLevel="0" collapsed="false">
      <c r="A2" s="0" t="n">
        <v>1</v>
      </c>
      <c r="B2" s="2" t="n">
        <v>0.041942</v>
      </c>
    </row>
    <row r="3" customFormat="false" ht="15" hidden="false" customHeight="false" outlineLevel="0" collapsed="false">
      <c r="A3" s="0" t="n">
        <v>2</v>
      </c>
      <c r="B3" s="2" t="n">
        <v>0.041009</v>
      </c>
    </row>
    <row r="4" customFormat="false" ht="15" hidden="false" customHeight="false" outlineLevel="0" collapsed="false">
      <c r="A4" s="0" t="n">
        <v>3</v>
      </c>
      <c r="B4" s="2" t="n">
        <v>0.040186</v>
      </c>
    </row>
    <row r="5" customFormat="false" ht="15" hidden="false" customHeight="false" outlineLevel="0" collapsed="false">
      <c r="A5" s="0" t="n">
        <v>4</v>
      </c>
      <c r="B5" s="2" t="n">
        <v>0.039459</v>
      </c>
    </row>
    <row r="6" customFormat="false" ht="15" hidden="false" customHeight="false" outlineLevel="0" collapsed="false">
      <c r="A6" s="0" t="n">
        <v>5</v>
      </c>
      <c r="B6" s="2" t="n">
        <v>0.038817</v>
      </c>
    </row>
    <row r="7" customFormat="false" ht="15" hidden="false" customHeight="false" outlineLevel="0" collapsed="false">
      <c r="A7" s="0" t="n">
        <v>6</v>
      </c>
      <c r="B7" s="2" t="n">
        <v>0.038251</v>
      </c>
    </row>
    <row r="8" customFormat="false" ht="15" hidden="false" customHeight="false" outlineLevel="0" collapsed="false">
      <c r="A8" s="0" t="n">
        <v>7</v>
      </c>
      <c r="B8" s="2" t="n">
        <v>0.037752</v>
      </c>
    </row>
    <row r="9" customFormat="false" ht="15" hidden="false" customHeight="false" outlineLevel="0" collapsed="false">
      <c r="A9" s="0" t="n">
        <v>8</v>
      </c>
      <c r="B9" s="2" t="n">
        <v>0.037311</v>
      </c>
    </row>
    <row r="10" customFormat="false" ht="15" hidden="false" customHeight="false" outlineLevel="0" collapsed="false">
      <c r="A10" s="0" t="n">
        <v>9</v>
      </c>
      <c r="B10" s="2" t="n">
        <v>0.036922</v>
      </c>
    </row>
    <row r="11" customFormat="false" ht="15" hidden="false" customHeight="false" outlineLevel="0" collapsed="false">
      <c r="A11" s="0" t="n">
        <v>10</v>
      </c>
      <c r="B11" s="2" t="n">
        <v>0.036579</v>
      </c>
    </row>
    <row r="12" customFormat="false" ht="15" hidden="false" customHeight="false" outlineLevel="0" collapsed="false">
      <c r="A12" s="0" t="n">
        <v>11</v>
      </c>
      <c r="B12" s="2" t="n">
        <v>0.036276</v>
      </c>
    </row>
    <row r="13" customFormat="false" ht="15" hidden="false" customHeight="false" outlineLevel="0" collapsed="false">
      <c r="A13" s="0" t="n">
        <v>12</v>
      </c>
      <c r="B13" s="2" t="n">
        <v>0.036008</v>
      </c>
    </row>
    <row r="14" customFormat="false" ht="15" hidden="false" customHeight="false" outlineLevel="0" collapsed="false">
      <c r="A14" s="0" t="n">
        <v>13</v>
      </c>
      <c r="B14" s="2" t="n">
        <v>0.035772</v>
      </c>
    </row>
    <row r="15" customFormat="false" ht="15" hidden="false" customHeight="false" outlineLevel="0" collapsed="false">
      <c r="A15" s="0" t="n">
        <v>14</v>
      </c>
      <c r="B15" s="2" t="n">
        <v>0.035564</v>
      </c>
    </row>
    <row r="16" customFormat="false" ht="15" hidden="false" customHeight="false" outlineLevel="0" collapsed="false">
      <c r="A16" s="0" t="n">
        <v>15</v>
      </c>
      <c r="B16" s="2" t="n">
        <v>0.03538</v>
      </c>
    </row>
    <row r="17" customFormat="false" ht="15" hidden="false" customHeight="false" outlineLevel="0" collapsed="false">
      <c r="A17" s="0" t="n">
        <v>16</v>
      </c>
      <c r="B17" s="2" t="n">
        <v>0.035218</v>
      </c>
    </row>
    <row r="18" customFormat="false" ht="15" hidden="false" customHeight="false" outlineLevel="0" collapsed="false">
      <c r="A18" s="0" t="n">
        <v>17</v>
      </c>
      <c r="B18" s="2" t="n">
        <v>0.035075</v>
      </c>
    </row>
    <row r="19" customFormat="false" ht="15" hidden="false" customHeight="false" outlineLevel="0" collapsed="false">
      <c r="A19" s="0" t="n">
        <v>18</v>
      </c>
      <c r="B19" s="2" t="n">
        <v>0.034949</v>
      </c>
    </row>
    <row r="20" customFormat="false" ht="15" hidden="false" customHeight="false" outlineLevel="0" collapsed="false">
      <c r="A20" s="0" t="n">
        <v>19</v>
      </c>
      <c r="B20" s="2" t="n">
        <v>0.034837</v>
      </c>
    </row>
    <row r="21" customFormat="false" ht="15" hidden="false" customHeight="false" outlineLevel="0" collapsed="false">
      <c r="A21" s="0" t="n">
        <v>20</v>
      </c>
      <c r="B21" s="2" t="n">
        <v>0.034739</v>
      </c>
    </row>
    <row r="22" customFormat="false" ht="15" hidden="false" customHeight="false" outlineLevel="0" collapsed="false">
      <c r="A22" s="0" t="n">
        <v>21</v>
      </c>
      <c r="B22" s="2" t="n">
        <v>0.034652</v>
      </c>
    </row>
    <row r="23" customFormat="false" ht="15" hidden="false" customHeight="false" outlineLevel="0" collapsed="false">
      <c r="A23" s="0" t="n">
        <v>22</v>
      </c>
      <c r="B23" s="2" t="n">
        <v>0.034575</v>
      </c>
    </row>
    <row r="24" customFormat="false" ht="15" hidden="false" customHeight="false" outlineLevel="0" collapsed="false">
      <c r="A24" s="0" t="n">
        <v>23</v>
      </c>
      <c r="B24" s="2" t="n">
        <v>0.034508</v>
      </c>
    </row>
    <row r="25" customFormat="false" ht="15" hidden="false" customHeight="false" outlineLevel="0" collapsed="false">
      <c r="A25" s="0" t="n">
        <v>24</v>
      </c>
      <c r="B25" s="2" t="n">
        <v>0.034448</v>
      </c>
    </row>
    <row r="26" customFormat="false" ht="15" hidden="false" customHeight="false" outlineLevel="0" collapsed="false">
      <c r="A26" s="0" t="n">
        <v>25</v>
      </c>
      <c r="B26" s="2" t="n">
        <v>0.034395</v>
      </c>
    </row>
    <row r="27" customFormat="false" ht="15" hidden="false" customHeight="false" outlineLevel="0" collapsed="false">
      <c r="A27" s="0" t="n">
        <v>26</v>
      </c>
      <c r="B27" s="2" t="n">
        <v>0.034349</v>
      </c>
    </row>
    <row r="28" customFormat="false" ht="15" hidden="false" customHeight="false" outlineLevel="0" collapsed="false">
      <c r="A28" s="0" t="n">
        <v>27</v>
      </c>
      <c r="B28" s="2" t="n">
        <v>0.034308</v>
      </c>
    </row>
    <row r="29" customFormat="false" ht="15" hidden="false" customHeight="false" outlineLevel="0" collapsed="false">
      <c r="A29" s="0" t="n">
        <v>28</v>
      </c>
      <c r="B29" s="2" t="n">
        <v>0.034272</v>
      </c>
    </row>
    <row r="30" customFormat="false" ht="15" hidden="false" customHeight="false" outlineLevel="0" collapsed="false">
      <c r="A30" s="0" t="n">
        <v>29</v>
      </c>
      <c r="B30" s="2" t="n">
        <v>0.03424</v>
      </c>
    </row>
    <row r="31" customFormat="false" ht="15" hidden="false" customHeight="false" outlineLevel="0" collapsed="false">
      <c r="A31" s="0" t="n">
        <v>30</v>
      </c>
      <c r="B31" s="2" t="n">
        <v>0.034212</v>
      </c>
    </row>
    <row r="32" customFormat="false" ht="15" hidden="false" customHeight="false" outlineLevel="0" collapsed="false">
      <c r="A32" s="0" t="n">
        <v>31</v>
      </c>
      <c r="B32" s="2" t="n">
        <v>0.034187</v>
      </c>
    </row>
    <row r="33" customFormat="false" ht="15" hidden="false" customHeight="false" outlineLevel="0" collapsed="false">
      <c r="A33" s="0" t="n">
        <v>32</v>
      </c>
      <c r="B33" s="2" t="n">
        <v>0.034165</v>
      </c>
    </row>
    <row r="34" customFormat="false" ht="15" hidden="false" customHeight="false" outlineLevel="0" collapsed="false">
      <c r="A34" s="0" t="n">
        <v>33</v>
      </c>
      <c r="B34" s="2" t="n">
        <v>0.034145</v>
      </c>
    </row>
    <row r="35" customFormat="false" ht="15" hidden="false" customHeight="false" outlineLevel="0" collapsed="false">
      <c r="A35" s="0" t="n">
        <v>34</v>
      </c>
      <c r="B35" s="2" t="n">
        <v>0.034128</v>
      </c>
    </row>
    <row r="36" customFormat="false" ht="15" hidden="false" customHeight="false" outlineLevel="0" collapsed="false">
      <c r="A36" s="0" t="n">
        <v>35</v>
      </c>
      <c r="B36" s="2" t="n">
        <v>0.034113</v>
      </c>
    </row>
    <row r="37" customFormat="false" ht="15" hidden="false" customHeight="false" outlineLevel="0" collapsed="false">
      <c r="A37" s="0" t="n">
        <v>36</v>
      </c>
      <c r="B37" s="2" t="n">
        <v>0.0341</v>
      </c>
    </row>
    <row r="38" customFormat="false" ht="15" hidden="false" customHeight="false" outlineLevel="0" collapsed="false">
      <c r="A38" s="0" t="n">
        <v>37</v>
      </c>
      <c r="B38" s="2" t="n">
        <v>0.034088</v>
      </c>
    </row>
    <row r="39" customFormat="false" ht="15" hidden="false" customHeight="false" outlineLevel="0" collapsed="false">
      <c r="A39" s="0" t="n">
        <v>38</v>
      </c>
      <c r="B39" s="2" t="n">
        <v>0.034078</v>
      </c>
    </row>
    <row r="40" customFormat="false" ht="15" hidden="false" customHeight="false" outlineLevel="0" collapsed="false">
      <c r="A40" s="0" t="n">
        <v>39</v>
      </c>
      <c r="B40" s="2" t="n">
        <v>0.034069</v>
      </c>
    </row>
    <row r="41" customFormat="false" ht="15" hidden="false" customHeight="false" outlineLevel="0" collapsed="false">
      <c r="A41" s="0" t="n">
        <v>40</v>
      </c>
      <c r="B41" s="2" t="n">
        <v>0.034061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17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</row>
    <row r="4" customFormat="false" ht="15" hidden="false" customHeight="false" outlineLevel="0" collapsed="false">
      <c r="A4" s="0" t="s">
        <v>19</v>
      </c>
      <c r="B4" s="0" t="n">
        <f aca="false">0</f>
        <v>0</v>
      </c>
      <c r="C4" s="2" t="n">
        <f aca="false">INDEX(Curves!$B$2:$B$41,C$3)</f>
        <v>0.041942</v>
      </c>
      <c r="D4" s="2" t="n">
        <f aca="false">INDEX(Curves!$B$2:$B$41,D$3)</f>
        <v>0.041009</v>
      </c>
      <c r="E4" s="2" t="n">
        <f aca="false">INDEX(Curves!$B$2:$B$41,E$3)</f>
        <v>0.040186</v>
      </c>
      <c r="F4" s="2" t="n">
        <f aca="false">INDEX(Curves!$B$2:$B$41,F$3)</f>
        <v>0.039459</v>
      </c>
      <c r="G4" s="2" t="n">
        <f aca="false">INDEX(Curves!$B$2:$B$41,G$3)</f>
        <v>0.038817</v>
      </c>
      <c r="H4" s="2" t="n">
        <f aca="false">INDEX(Curves!$B$2:$B$41,H$3)</f>
        <v>0.038251</v>
      </c>
      <c r="I4" s="2" t="n">
        <f aca="false">INDEX(Curves!$B$2:$B$41,I$3)</f>
        <v>0.037752</v>
      </c>
      <c r="J4" s="2" t="n">
        <f aca="false">INDEX(Curves!$B$2:$B$41,J$3)</f>
        <v>0.037311</v>
      </c>
      <c r="K4" s="2" t="n">
        <f aca="false">INDEX(Curves!$B$2:$B$41,K$3)</f>
        <v>0.036922</v>
      </c>
      <c r="L4" s="2" t="n">
        <f aca="false">INDEX(Curves!$B$2:$B$41,L$3)</f>
        <v>0.036579</v>
      </c>
      <c r="M4" s="2" t="n">
        <f aca="false">INDEX(Curves!$B$2:$B$41,M$3)</f>
        <v>0.036276</v>
      </c>
      <c r="N4" s="2" t="n">
        <f aca="false">INDEX(Curves!$B$2:$B$41,N$3)</f>
        <v>0.036008</v>
      </c>
      <c r="O4" s="2" t="n">
        <f aca="false">INDEX(Curves!$B$2:$B$41,O$3)</f>
        <v>0.035772</v>
      </c>
      <c r="P4" s="2" t="n">
        <f aca="false">INDEX(Curves!$B$2:$B$41,P$3)</f>
        <v>0.035564</v>
      </c>
      <c r="Q4" s="2" t="n">
        <f aca="false">INDEX(Curves!$B$2:$B$41,Q$3)</f>
        <v>0.03538</v>
      </c>
      <c r="R4" s="2" t="n">
        <f aca="false">INDEX(Curves!$B$2:$B$41,R$3)</f>
        <v>0.035218</v>
      </c>
      <c r="S4" s="2" t="n">
        <f aca="false">INDEX(Curves!$B$2:$B$41,S$3)</f>
        <v>0.035075</v>
      </c>
      <c r="T4" s="2" t="n">
        <f aca="false">INDEX(Curves!$B$2:$B$41,T$3)</f>
        <v>0.034949</v>
      </c>
      <c r="U4" s="2" t="n">
        <f aca="false">INDEX(Curves!$B$2:$B$41,U$3)</f>
        <v>0.034837</v>
      </c>
      <c r="V4" s="2" t="n">
        <f aca="false">INDEX(Curves!$B$2:$B$41,V$3)</f>
        <v>0.034739</v>
      </c>
      <c r="W4" s="2" t="n">
        <f aca="false">INDEX(Curves!$B$2:$B$41,W$3)</f>
        <v>0.034652</v>
      </c>
      <c r="X4" s="2" t="n">
        <f aca="false">INDEX(Curves!$B$2:$B$41,X$3)</f>
        <v>0.034575</v>
      </c>
      <c r="Y4" s="2" t="n">
        <f aca="false">INDEX(Curves!$B$2:$B$41,Y$3)</f>
        <v>0.034508</v>
      </c>
      <c r="Z4" s="2" t="n">
        <f aca="false">INDEX(Curves!$B$2:$B$41,Z$3)</f>
        <v>0.034448</v>
      </c>
      <c r="AA4" s="2" t="n">
        <f aca="false">INDEX(Curves!$B$2:$B$41,AA$3)</f>
        <v>0.034395</v>
      </c>
      <c r="AB4" s="2" t="n">
        <f aca="false">INDEX(Curves!$B$2:$B$41,AB$3)</f>
        <v>0.034349</v>
      </c>
      <c r="AC4" s="2" t="n">
        <f aca="false">INDEX(Curves!$B$2:$B$41,AC$3)</f>
        <v>0.034308</v>
      </c>
      <c r="AD4" s="2" t="n">
        <f aca="false">INDEX(Curves!$B$2:$B$41,AD$3)</f>
        <v>0.034272</v>
      </c>
      <c r="AE4" s="2" t="n">
        <f aca="false">INDEX(Curves!$B$2:$B$41,AE$3)</f>
        <v>0.03424</v>
      </c>
      <c r="AF4" s="2" t="n">
        <f aca="false">INDEX(Curves!$B$2:$B$41,AF$3)</f>
        <v>0.034212</v>
      </c>
      <c r="AG4" s="2" t="n">
        <f aca="false">INDEX(Curves!$B$2:$B$41,AG$3)</f>
        <v>0.034187</v>
      </c>
      <c r="AH4" s="2" t="n">
        <f aca="false">INDEX(Curves!$B$2:$B$41,AH$3)</f>
        <v>0.034165</v>
      </c>
      <c r="AI4" s="2" t="n">
        <f aca="false">INDEX(Curves!$B$2:$B$41,AI$3)</f>
        <v>0.034145</v>
      </c>
      <c r="AJ4" s="2" t="n">
        <f aca="false">INDEX(Curves!$B$2:$B$41,AJ$3)</f>
        <v>0.034128</v>
      </c>
      <c r="AK4" s="2" t="n">
        <f aca="false">INDEX(Curves!$B$2:$B$41,AK$3)</f>
        <v>0.034113</v>
      </c>
      <c r="AL4" s="2" t="n">
        <f aca="false">INDEX(Curves!$B$2:$B$41,AL$3)</f>
        <v>0.0341</v>
      </c>
      <c r="AM4" s="2" t="n">
        <f aca="false">INDEX(Curves!$B$2:$B$41,AM$3)</f>
        <v>0.034088</v>
      </c>
      <c r="AN4" s="2" t="n">
        <f aca="false">INDEX(Curves!$B$2:$B$41,AN$3)</f>
        <v>0.034078</v>
      </c>
      <c r="AO4" s="2" t="n">
        <f aca="false">INDEX(Curves!$B$2:$B$41,AO$3)</f>
        <v>0.034069</v>
      </c>
      <c r="AP4" s="2" t="n">
        <f aca="false">INDEX(Curves!$B$2:$B$41,AP$3)</f>
        <v>0.034061</v>
      </c>
    </row>
    <row r="5" customFormat="false" ht="15" hidden="false" customHeight="false" outlineLevel="0" collapsed="false">
      <c r="A5" s="0" t="s">
        <v>20</v>
      </c>
      <c r="B5" s="0" t="n">
        <f aca="false">IF(AND(B$3&gt;=1,B$3&lt;=Inputs!$B$8),Inputs!$B$5/4*(1+Inputs!$B$6)^((B$3-1)/4),0)</f>
        <v>0</v>
      </c>
      <c r="C5" s="0" t="n">
        <f aca="false">IF(AND(C$3&gt;=1,C$3&lt;=Inputs!$B$8),Inputs!$B$5/4*(1+Inputs!$B$6)^((C$3-1)/4),0)</f>
        <v>3875000</v>
      </c>
      <c r="D5" s="0" t="n">
        <f aca="false">IF(AND(D$3&gt;=1,D$3&lt;=Inputs!$B$8),Inputs!$B$5/4*(1+Inputs!$B$6)^((D$3-1)/4),0)</f>
        <v>3903741.15313872</v>
      </c>
      <c r="E5" s="0" t="n">
        <f aca="false">IF(AND(E$3&gt;=1,E$3&lt;=Inputs!$B$8),Inputs!$B$5/4*(1+Inputs!$B$6)^((E$3-1)/4),0)</f>
        <v>3932695.48147324</v>
      </c>
      <c r="F5" s="0" t="n">
        <f aca="false">IF(AND(F$3&gt;=1,F$3&lt;=Inputs!$B$8),Inputs!$B$5/4*(1+Inputs!$B$6)^((F$3-1)/4),0)</f>
        <v>3961864.56613929</v>
      </c>
      <c r="G5" s="0" t="n">
        <f aca="false">IF(AND(G$3&gt;=1,G$3&lt;=Inputs!$B$8),Inputs!$B$5/4*(1+Inputs!$B$6)^((G$3-1)/4),0)</f>
        <v>3991250</v>
      </c>
      <c r="H5" s="0" t="n">
        <f aca="false">IF(AND(H$3&gt;=1,H$3&lt;=Inputs!$B$8),Inputs!$B$5/4*(1+Inputs!$B$6)^((H$3-1)/4),0)</f>
        <v>4020853.38773288</v>
      </c>
      <c r="I5" s="0" t="n">
        <f aca="false">IF(AND(I$3&gt;=1,I$3&lt;=Inputs!$B$8),Inputs!$B$5/4*(1+Inputs!$B$6)^((I$3-1)/4),0)</f>
        <v>4050676.34591743</v>
      </c>
      <c r="J5" s="0" t="n">
        <f aca="false">IF(AND(J$3&gt;=1,J$3&lt;=Inputs!$B$8),Inputs!$B$5/4*(1+Inputs!$B$6)^((J$3-1)/4),0)</f>
        <v>4080720.50312347</v>
      </c>
      <c r="K5" s="0" t="n">
        <f aca="false">IF(AND(K$3&gt;=1,K$3&lt;=Inputs!$B$8),Inputs!$B$5/4*(1+Inputs!$B$6)^((K$3-1)/4),0)</f>
        <v>4110987.5</v>
      </c>
      <c r="L5" s="0" t="n">
        <f aca="false">IF(AND(L$3&gt;=1,L$3&lt;=Inputs!$B$8),Inputs!$B$5/4*(1+Inputs!$B$6)^((L$3-1)/4),0)</f>
        <v>4141478.98936486</v>
      </c>
      <c r="M5" s="0" t="n">
        <f aca="false">IF(AND(M$3&gt;=1,M$3&lt;=Inputs!$B$8),Inputs!$B$5/4*(1+Inputs!$B$6)^((M$3-1)/4),0)</f>
        <v>4172196.63629496</v>
      </c>
      <c r="N5" s="0" t="n">
        <f aca="false">IF(AND(N$3&gt;=1,N$3&lt;=Inputs!$B$8),Inputs!$B$5/4*(1+Inputs!$B$6)^((N$3-1)/4),0)</f>
        <v>4203142.11821717</v>
      </c>
      <c r="O5" s="0" t="n">
        <f aca="false">IF(AND(O$3&gt;=1,O$3&lt;=Inputs!$B$8),Inputs!$B$5/4*(1+Inputs!$B$6)^((O$3-1)/4),0)</f>
        <v>4234317.125</v>
      </c>
      <c r="P5" s="0" t="n">
        <f aca="false">IF(AND(P$3&gt;=1,P$3&lt;=Inputs!$B$8),Inputs!$B$5/4*(1+Inputs!$B$6)^((P$3-1)/4),0)</f>
        <v>4265723.35904581</v>
      </c>
      <c r="Q5" s="0" t="n">
        <f aca="false">IF(AND(Q$3&gt;=1,Q$3&lt;=Inputs!$B$8),Inputs!$B$5/4*(1+Inputs!$B$6)^((Q$3-1)/4),0)</f>
        <v>4297362.5353838</v>
      </c>
      <c r="R5" s="0" t="n">
        <f aca="false">IF(AND(R$3&gt;=1,R$3&lt;=Inputs!$B$8),Inputs!$B$5/4*(1+Inputs!$B$6)^((R$3-1)/4),0)</f>
        <v>4329236.38176369</v>
      </c>
      <c r="S5" s="0" t="n">
        <f aca="false">IF(AND(S$3&gt;=1,S$3&lt;=Inputs!$B$8),Inputs!$B$5/4*(1+Inputs!$B$6)^((S$3-1)/4),0)</f>
        <v>4361346.63875</v>
      </c>
      <c r="T5" s="0" t="n">
        <f aca="false">IF(AND(T$3&gt;=1,T$3&lt;=Inputs!$B$8),Inputs!$B$5/4*(1+Inputs!$B$6)^((T$3-1)/4),0)</f>
        <v>4393695.05981718</v>
      </c>
      <c r="U5" s="0" t="n">
        <f aca="false">IF(AND(U$3&gt;=1,U$3&lt;=Inputs!$B$8),Inputs!$B$5/4*(1+Inputs!$B$6)^((U$3-1)/4),0)</f>
        <v>4426283.41144532</v>
      </c>
      <c r="V5" s="0" t="n">
        <f aca="false">IF(AND(V$3&gt;=1,V$3&lt;=Inputs!$B$8),Inputs!$B$5/4*(1+Inputs!$B$6)^((V$3-1)/4),0)</f>
        <v>4459113.4732166</v>
      </c>
      <c r="W5" s="0" t="n">
        <f aca="false">IF(AND(W$3&gt;=1,W$3&lt;=Inputs!$B$8),Inputs!$B$5/4*(1+Inputs!$B$6)^((W$3-1)/4),0)</f>
        <v>4492187.0379125</v>
      </c>
      <c r="X5" s="0" t="n">
        <f aca="false">IF(AND(X$3&gt;=1,X$3&lt;=Inputs!$B$8),Inputs!$B$5/4*(1+Inputs!$B$6)^((X$3-1)/4),0)</f>
        <v>4525505.9116117</v>
      </c>
      <c r="Y5" s="0" t="n">
        <f aca="false">IF(AND(Y$3&gt;=1,Y$3&lt;=Inputs!$B$8),Inputs!$B$5/4*(1+Inputs!$B$6)^((Y$3-1)/4),0)</f>
        <v>4559071.91378868</v>
      </c>
      <c r="Z5" s="0" t="n">
        <f aca="false">IF(AND(Z$3&gt;=1,Z$3&lt;=Inputs!$B$8),Inputs!$B$5/4*(1+Inputs!$B$6)^((Z$3-1)/4),0)</f>
        <v>4592886.8774131</v>
      </c>
      <c r="AA5" s="0" t="n">
        <f aca="false">IF(AND(AA$3&gt;=1,AA$3&lt;=Inputs!$B$8),Inputs!$B$5/4*(1+Inputs!$B$6)^((AA$3-1)/4),0)</f>
        <v>4626952.64904988</v>
      </c>
      <c r="AB5" s="0" t="n">
        <f aca="false">IF(AND(AB$3&gt;=1,AB$3&lt;=Inputs!$B$8),Inputs!$B$5/4*(1+Inputs!$B$6)^((AB$3-1)/4),0)</f>
        <v>4661271.08896005</v>
      </c>
      <c r="AC5" s="0" t="n">
        <f aca="false">IF(AND(AC$3&gt;=1,AC$3&lt;=Inputs!$B$8),Inputs!$B$5/4*(1+Inputs!$B$6)^((AC$3-1)/4),0)</f>
        <v>4695844.07120234</v>
      </c>
      <c r="AD5" s="0" t="n">
        <f aca="false">IF(AND(AD$3&gt;=1,AD$3&lt;=Inputs!$B$8),Inputs!$B$5/4*(1+Inputs!$B$6)^((AD$3-1)/4),0)</f>
        <v>4730673.48373549</v>
      </c>
      <c r="AE5" s="0" t="n">
        <f aca="false">IF(AND(AE$3&gt;=1,AE$3&lt;=Inputs!$B$8),Inputs!$B$5/4*(1+Inputs!$B$6)^((AE$3-1)/4),0)</f>
        <v>0</v>
      </c>
      <c r="AF5" s="0" t="n">
        <f aca="false">IF(AND(AF$3&gt;=1,AF$3&lt;=Inputs!$B$8),Inputs!$B$5/4*(1+Inputs!$B$6)^((AF$3-1)/4),0)</f>
        <v>0</v>
      </c>
      <c r="AG5" s="0" t="n">
        <f aca="false">IF(AND(AG$3&gt;=1,AG$3&lt;=Inputs!$B$8),Inputs!$B$5/4*(1+Inputs!$B$6)^((AG$3-1)/4),0)</f>
        <v>0</v>
      </c>
      <c r="AH5" s="0" t="n">
        <f aca="false">IF(AND(AH$3&gt;=1,AH$3&lt;=Inputs!$B$8),Inputs!$B$5/4*(1+Inputs!$B$6)^((AH$3-1)/4),0)</f>
        <v>0</v>
      </c>
      <c r="AI5" s="0" t="n">
        <f aca="false">IF(AND(AI$3&gt;=1,AI$3&lt;=Inputs!$B$8),Inputs!$B$5/4*(1+Inputs!$B$6)^((AI$3-1)/4),0)</f>
        <v>0</v>
      </c>
      <c r="AJ5" s="0" t="n">
        <f aca="false">IF(AND(AJ$3&gt;=1,AJ$3&lt;=Inputs!$B$8),Inputs!$B$5/4*(1+Inputs!$B$6)^((AJ$3-1)/4),0)</f>
        <v>0</v>
      </c>
      <c r="AK5" s="0" t="n">
        <f aca="false">IF(AND(AK$3&gt;=1,AK$3&lt;=Inputs!$B$8),Inputs!$B$5/4*(1+Inputs!$B$6)^((AK$3-1)/4),0)</f>
        <v>0</v>
      </c>
      <c r="AL5" s="0" t="n">
        <f aca="false">IF(AND(AL$3&gt;=1,AL$3&lt;=Inputs!$B$8),Inputs!$B$5/4*(1+Inputs!$B$6)^((AL$3-1)/4),0)</f>
        <v>0</v>
      </c>
      <c r="AM5" s="0" t="n">
        <f aca="false">IF(AND(AM$3&gt;=1,AM$3&lt;=Inputs!$B$8),Inputs!$B$5/4*(1+Inputs!$B$6)^((AM$3-1)/4),0)</f>
        <v>0</v>
      </c>
      <c r="AN5" s="0" t="n">
        <f aca="false">IF(AND(AN$3&gt;=1,AN$3&lt;=Inputs!$B$8),Inputs!$B$5/4*(1+Inputs!$B$6)^((AN$3-1)/4),0)</f>
        <v>0</v>
      </c>
      <c r="AO5" s="0" t="n">
        <f aca="false">IF(AND(AO$3&gt;=1,AO$3&lt;=Inputs!$B$8),Inputs!$B$5/4*(1+Inputs!$B$6)^((AO$3-1)/4),0)</f>
        <v>0</v>
      </c>
      <c r="AP5" s="0" t="n">
        <f aca="false">IF(AND(AP$3&gt;=1,AP$3&lt;=Inputs!$B$8),Inputs!$B$5/4*(1+Inputs!$B$6)^((AP$3-1)/4),0)</f>
        <v>0</v>
      </c>
    </row>
    <row r="6" customFormat="false" ht="15" hidden="false" customHeight="false" outlineLevel="0" collapsed="false">
      <c r="A6" s="0" t="s">
        <v>21</v>
      </c>
      <c r="B6" s="0" t="n">
        <f aca="false">IF(AND(B$3&gt;=1,B$3&lt;=Inputs!$B$8),Inputs!$B$7,0)</f>
        <v>0</v>
      </c>
      <c r="C6" s="1" t="n">
        <f aca="false">IF(AND(C$3&gt;=1,C$3&lt;=Inputs!$B$8),Inputs!$B$7,0)</f>
        <v>500000</v>
      </c>
      <c r="D6" s="1" t="n">
        <f aca="false">IF(AND(D$3&gt;=1,D$3&lt;=Inputs!$B$8),Inputs!$B$7,0)</f>
        <v>500000</v>
      </c>
      <c r="E6" s="1" t="n">
        <f aca="false">IF(AND(E$3&gt;=1,E$3&lt;=Inputs!$B$8),Inputs!$B$7,0)</f>
        <v>500000</v>
      </c>
      <c r="F6" s="1" t="n">
        <f aca="false">IF(AND(F$3&gt;=1,F$3&lt;=Inputs!$B$8),Inputs!$B$7,0)</f>
        <v>500000</v>
      </c>
      <c r="G6" s="1" t="n">
        <f aca="false">IF(AND(G$3&gt;=1,G$3&lt;=Inputs!$B$8),Inputs!$B$7,0)</f>
        <v>500000</v>
      </c>
      <c r="H6" s="1" t="n">
        <f aca="false">IF(AND(H$3&gt;=1,H$3&lt;=Inputs!$B$8),Inputs!$B$7,0)</f>
        <v>500000</v>
      </c>
      <c r="I6" s="1" t="n">
        <f aca="false">IF(AND(I$3&gt;=1,I$3&lt;=Inputs!$B$8),Inputs!$B$7,0)</f>
        <v>500000</v>
      </c>
      <c r="J6" s="1" t="n">
        <f aca="false">IF(AND(J$3&gt;=1,J$3&lt;=Inputs!$B$8),Inputs!$B$7,0)</f>
        <v>500000</v>
      </c>
      <c r="K6" s="1" t="n">
        <f aca="false">IF(AND(K$3&gt;=1,K$3&lt;=Inputs!$B$8),Inputs!$B$7,0)</f>
        <v>500000</v>
      </c>
      <c r="L6" s="1" t="n">
        <f aca="false">IF(AND(L$3&gt;=1,L$3&lt;=Inputs!$B$8),Inputs!$B$7,0)</f>
        <v>500000</v>
      </c>
      <c r="M6" s="1" t="n">
        <f aca="false">IF(AND(M$3&gt;=1,M$3&lt;=Inputs!$B$8),Inputs!$B$7,0)</f>
        <v>500000</v>
      </c>
      <c r="N6" s="1" t="n">
        <f aca="false">IF(AND(N$3&gt;=1,N$3&lt;=Inputs!$B$8),Inputs!$B$7,0)</f>
        <v>500000</v>
      </c>
      <c r="O6" s="1" t="n">
        <f aca="false">IF(AND(O$3&gt;=1,O$3&lt;=Inputs!$B$8),Inputs!$B$7,0)</f>
        <v>500000</v>
      </c>
      <c r="P6" s="1" t="n">
        <f aca="false">IF(AND(P$3&gt;=1,P$3&lt;=Inputs!$B$8),Inputs!$B$7,0)</f>
        <v>500000</v>
      </c>
      <c r="Q6" s="1" t="n">
        <f aca="false">IF(AND(Q$3&gt;=1,Q$3&lt;=Inputs!$B$8),Inputs!$B$7,0)</f>
        <v>500000</v>
      </c>
      <c r="R6" s="1" t="n">
        <f aca="false">IF(AND(R$3&gt;=1,R$3&lt;=Inputs!$B$8),Inputs!$B$7,0)</f>
        <v>500000</v>
      </c>
      <c r="S6" s="1" t="n">
        <f aca="false">IF(AND(S$3&gt;=1,S$3&lt;=Inputs!$B$8),Inputs!$B$7,0)</f>
        <v>500000</v>
      </c>
      <c r="T6" s="1" t="n">
        <f aca="false">IF(AND(T$3&gt;=1,T$3&lt;=Inputs!$B$8),Inputs!$B$7,0)</f>
        <v>500000</v>
      </c>
      <c r="U6" s="1" t="n">
        <f aca="false">IF(AND(U$3&gt;=1,U$3&lt;=Inputs!$B$8),Inputs!$B$7,0)</f>
        <v>500000</v>
      </c>
      <c r="V6" s="1" t="n">
        <f aca="false">IF(AND(V$3&gt;=1,V$3&lt;=Inputs!$B$8),Inputs!$B$7,0)</f>
        <v>500000</v>
      </c>
      <c r="W6" s="1" t="n">
        <f aca="false">IF(AND(W$3&gt;=1,W$3&lt;=Inputs!$B$8),Inputs!$B$7,0)</f>
        <v>500000</v>
      </c>
      <c r="X6" s="1" t="n">
        <f aca="false">IF(AND(X$3&gt;=1,X$3&lt;=Inputs!$B$8),Inputs!$B$7,0)</f>
        <v>500000</v>
      </c>
      <c r="Y6" s="1" t="n">
        <f aca="false">IF(AND(Y$3&gt;=1,Y$3&lt;=Inputs!$B$8),Inputs!$B$7,0)</f>
        <v>500000</v>
      </c>
      <c r="Z6" s="1" t="n">
        <f aca="false">IF(AND(Z$3&gt;=1,Z$3&lt;=Inputs!$B$8),Inputs!$B$7,0)</f>
        <v>500000</v>
      </c>
      <c r="AA6" s="1" t="n">
        <f aca="false">IF(AND(AA$3&gt;=1,AA$3&lt;=Inputs!$B$8),Inputs!$B$7,0)</f>
        <v>500000</v>
      </c>
      <c r="AB6" s="1" t="n">
        <f aca="false">IF(AND(AB$3&gt;=1,AB$3&lt;=Inputs!$B$8),Inputs!$B$7,0)</f>
        <v>500000</v>
      </c>
      <c r="AC6" s="1" t="n">
        <f aca="false">IF(AND(AC$3&gt;=1,AC$3&lt;=Inputs!$B$8),Inputs!$B$7,0)</f>
        <v>500000</v>
      </c>
      <c r="AD6" s="1" t="n">
        <f aca="false">IF(AND(AD$3&gt;=1,AD$3&lt;=Inputs!$B$8),Inputs!$B$7,0)</f>
        <v>500000</v>
      </c>
      <c r="AE6" s="0" t="n">
        <f aca="false">IF(AND(AE$3&gt;=1,AE$3&lt;=Inputs!$B$8),Inputs!$B$7,0)</f>
        <v>0</v>
      </c>
      <c r="AF6" s="0" t="n">
        <f aca="false">IF(AND(AF$3&gt;=1,AF$3&lt;=Inputs!$B$8),Inputs!$B$7,0)</f>
        <v>0</v>
      </c>
      <c r="AG6" s="0" t="n">
        <f aca="false">IF(AND(AG$3&gt;=1,AG$3&lt;=Inputs!$B$8),Inputs!$B$7,0)</f>
        <v>0</v>
      </c>
      <c r="AH6" s="0" t="n">
        <f aca="false">IF(AND(AH$3&gt;=1,AH$3&lt;=Inputs!$B$8),Inputs!$B$7,0)</f>
        <v>0</v>
      </c>
      <c r="AI6" s="0" t="n">
        <f aca="false">IF(AND(AI$3&gt;=1,AI$3&lt;=Inputs!$B$8),Inputs!$B$7,0)</f>
        <v>0</v>
      </c>
      <c r="AJ6" s="0" t="n">
        <f aca="false">IF(AND(AJ$3&gt;=1,AJ$3&lt;=Inputs!$B$8),Inputs!$B$7,0)</f>
        <v>0</v>
      </c>
      <c r="AK6" s="0" t="n">
        <f aca="false">IF(AND(AK$3&gt;=1,AK$3&lt;=Inputs!$B$8),Inputs!$B$7,0)</f>
        <v>0</v>
      </c>
      <c r="AL6" s="0" t="n">
        <f aca="false">IF(AND(AL$3&gt;=1,AL$3&lt;=Inputs!$B$8),Inputs!$B$7,0)</f>
        <v>0</v>
      </c>
      <c r="AM6" s="0" t="n">
        <f aca="false">IF(AND(AM$3&gt;=1,AM$3&lt;=Inputs!$B$8),Inputs!$B$7,0)</f>
        <v>0</v>
      </c>
      <c r="AN6" s="0" t="n">
        <f aca="false">IF(AND(AN$3&gt;=1,AN$3&lt;=Inputs!$B$8),Inputs!$B$7,0)</f>
        <v>0</v>
      </c>
      <c r="AO6" s="0" t="n">
        <f aca="false">IF(AND(AO$3&gt;=1,AO$3&lt;=Inputs!$B$8),Inputs!$B$7,0)</f>
        <v>0</v>
      </c>
      <c r="AP6" s="0" t="n">
        <f aca="false">IF(AND(AP$3&gt;=1,AP$3&lt;=Inputs!$B$8),Inputs!$B$7,0)</f>
        <v>0</v>
      </c>
    </row>
    <row r="7" customFormat="false" ht="15" hidden="false" customHeight="false" outlineLevel="0" collapsed="false">
      <c r="A7" s="0" t="s">
        <v>22</v>
      </c>
      <c r="B7" s="0" t="n">
        <f aca="false">B5-B6</f>
        <v>0</v>
      </c>
      <c r="C7" s="0" t="n">
        <f aca="false">C5-C6</f>
        <v>3375000</v>
      </c>
      <c r="D7" s="0" t="n">
        <f aca="false">D5-D6</f>
        <v>3403741.15313872</v>
      </c>
      <c r="E7" s="0" t="n">
        <f aca="false">E5-E6</f>
        <v>3432695.48147324</v>
      </c>
      <c r="F7" s="0" t="n">
        <f aca="false">F5-F6</f>
        <v>3461864.56613929</v>
      </c>
      <c r="G7" s="0" t="n">
        <f aca="false">G5-G6</f>
        <v>3491250</v>
      </c>
      <c r="H7" s="0" t="n">
        <f aca="false">H5-H6</f>
        <v>3520853.38773288</v>
      </c>
      <c r="I7" s="0" t="n">
        <f aca="false">I5-I6</f>
        <v>3550676.34591743</v>
      </c>
      <c r="J7" s="0" t="n">
        <f aca="false">J5-J6</f>
        <v>3580720.50312347</v>
      </c>
      <c r="K7" s="0" t="n">
        <f aca="false">K5-K6</f>
        <v>3610987.5</v>
      </c>
      <c r="L7" s="0" t="n">
        <f aca="false">L5-L6</f>
        <v>3641478.98936486</v>
      </c>
      <c r="M7" s="0" t="n">
        <f aca="false">M5-M6</f>
        <v>3672196.63629496</v>
      </c>
      <c r="N7" s="0" t="n">
        <f aca="false">N5-N6</f>
        <v>3703142.11821717</v>
      </c>
      <c r="O7" s="0" t="n">
        <f aca="false">O5-O6</f>
        <v>3734317.125</v>
      </c>
      <c r="P7" s="0" t="n">
        <f aca="false">P5-P6</f>
        <v>3765723.35904581</v>
      </c>
      <c r="Q7" s="0" t="n">
        <f aca="false">Q5-Q6</f>
        <v>3797362.5353838</v>
      </c>
      <c r="R7" s="0" t="n">
        <f aca="false">R5-R6</f>
        <v>3829236.38176369</v>
      </c>
      <c r="S7" s="0" t="n">
        <f aca="false">S5-S6</f>
        <v>3861346.63875</v>
      </c>
      <c r="T7" s="0" t="n">
        <f aca="false">T5-T6</f>
        <v>3893695.05981718</v>
      </c>
      <c r="U7" s="0" t="n">
        <f aca="false">U5-U6</f>
        <v>3926283.41144532</v>
      </c>
      <c r="V7" s="0" t="n">
        <f aca="false">V5-V6</f>
        <v>3959113.4732166</v>
      </c>
      <c r="W7" s="0" t="n">
        <f aca="false">W5-W6</f>
        <v>3992187.0379125</v>
      </c>
      <c r="X7" s="0" t="n">
        <f aca="false">X5-X6</f>
        <v>4025505.9116117</v>
      </c>
      <c r="Y7" s="0" t="n">
        <f aca="false">Y5-Y6</f>
        <v>4059071.91378868</v>
      </c>
      <c r="Z7" s="0" t="n">
        <f aca="false">Z5-Z6</f>
        <v>4092886.8774131</v>
      </c>
      <c r="AA7" s="0" t="n">
        <f aca="false">AA5-AA6</f>
        <v>4126952.64904988</v>
      </c>
      <c r="AB7" s="0" t="n">
        <f aca="false">AB5-AB6</f>
        <v>4161271.08896005</v>
      </c>
      <c r="AC7" s="0" t="n">
        <f aca="false">AC5-AC6</f>
        <v>4195844.07120234</v>
      </c>
      <c r="AD7" s="0" t="n">
        <f aca="false">AD5-AD6</f>
        <v>4230673.48373549</v>
      </c>
      <c r="AE7" s="0" t="n">
        <f aca="false">AE5-AE6</f>
        <v>0</v>
      </c>
      <c r="AF7" s="0" t="n">
        <f aca="false">AF5-AF6</f>
        <v>0</v>
      </c>
      <c r="AG7" s="0" t="n">
        <f aca="false">AG5-AG6</f>
        <v>0</v>
      </c>
      <c r="AH7" s="0" t="n">
        <f aca="false">AH5-AH6</f>
        <v>0</v>
      </c>
      <c r="AI7" s="0" t="n">
        <f aca="false">AI5-AI6</f>
        <v>0</v>
      </c>
      <c r="AJ7" s="0" t="n">
        <f aca="false">AJ5-AJ6</f>
        <v>0</v>
      </c>
      <c r="AK7" s="0" t="n">
        <f aca="false">AK5-AK6</f>
        <v>0</v>
      </c>
      <c r="AL7" s="0" t="n">
        <f aca="false">AL5-AL6</f>
        <v>0</v>
      </c>
      <c r="AM7" s="0" t="n">
        <f aca="false">AM5-AM6</f>
        <v>0</v>
      </c>
      <c r="AN7" s="0" t="n">
        <f aca="false">AN5-AN6</f>
        <v>0</v>
      </c>
      <c r="AO7" s="0" t="n">
        <f aca="false">AO5-AO6</f>
        <v>0</v>
      </c>
      <c r="AP7" s="0" t="n">
        <f aca="false">AP5-AP6</f>
        <v>0</v>
      </c>
    </row>
    <row r="8" customFormat="false" ht="15" hidden="false" customHeight="false" outlineLevel="0" collapsed="false">
      <c r="A8" s="0" t="s">
        <v>23</v>
      </c>
      <c r="B8" s="0" t="n">
        <f aca="false">0</f>
        <v>0</v>
      </c>
      <c r="C8" s="0" t="n">
        <f aca="false">B27</f>
        <v>137500000</v>
      </c>
      <c r="D8" s="0" t="n">
        <f aca="false">C27</f>
        <v>137156250</v>
      </c>
      <c r="E8" s="0" t="n">
        <f aca="false">D27</f>
        <v>136812500</v>
      </c>
      <c r="F8" s="0" t="n">
        <f aca="false">E27</f>
        <v>136468750</v>
      </c>
      <c r="G8" s="0" t="n">
        <f aca="false">F27</f>
        <v>136125000</v>
      </c>
      <c r="H8" s="0" t="n">
        <f aca="false">G27</f>
        <v>135781250</v>
      </c>
      <c r="I8" s="0" t="n">
        <f aca="false">H27</f>
        <v>135437500</v>
      </c>
      <c r="J8" s="0" t="n">
        <f aca="false">I27</f>
        <v>135093750</v>
      </c>
      <c r="K8" s="0" t="n">
        <f aca="false">J27</f>
        <v>134750000</v>
      </c>
      <c r="L8" s="0" t="n">
        <f aca="false">K27</f>
        <v>134406250</v>
      </c>
      <c r="M8" s="0" t="n">
        <f aca="false">L27</f>
        <v>134062500</v>
      </c>
      <c r="N8" s="0" t="n">
        <f aca="false">M27</f>
        <v>133718750</v>
      </c>
      <c r="O8" s="0" t="n">
        <f aca="false">N27</f>
        <v>133375000</v>
      </c>
      <c r="P8" s="0" t="n">
        <f aca="false">O27</f>
        <v>133031250</v>
      </c>
      <c r="Q8" s="0" t="n">
        <f aca="false">P27</f>
        <v>132687500</v>
      </c>
      <c r="R8" s="0" t="n">
        <f aca="false">Q27</f>
        <v>132343750</v>
      </c>
      <c r="S8" s="0" t="n">
        <f aca="false">R27</f>
        <v>132000000</v>
      </c>
      <c r="T8" s="0" t="n">
        <f aca="false">S27</f>
        <v>131656250</v>
      </c>
      <c r="U8" s="0" t="n">
        <f aca="false">T27</f>
        <v>131312500</v>
      </c>
      <c r="V8" s="0" t="n">
        <f aca="false">U27</f>
        <v>130968750</v>
      </c>
      <c r="W8" s="0" t="n">
        <f aca="false">V27</f>
        <v>130625000</v>
      </c>
      <c r="X8" s="0" t="n">
        <f aca="false">W27</f>
        <v>130281250</v>
      </c>
      <c r="Y8" s="0" t="n">
        <f aca="false">X27</f>
        <v>129937500</v>
      </c>
      <c r="Z8" s="0" t="n">
        <f aca="false">Y27</f>
        <v>129593750</v>
      </c>
      <c r="AA8" s="0" t="n">
        <f aca="false">Z27</f>
        <v>129250000</v>
      </c>
      <c r="AB8" s="0" t="n">
        <f aca="false">AA27</f>
        <v>128906250</v>
      </c>
      <c r="AC8" s="0" t="n">
        <f aca="false">AB27</f>
        <v>128562500</v>
      </c>
      <c r="AD8" s="0" t="n">
        <f aca="false">AC27</f>
        <v>128218750</v>
      </c>
      <c r="AE8" s="0" t="n">
        <f aca="false">AD27</f>
        <v>0</v>
      </c>
      <c r="AF8" s="0" t="n">
        <f aca="false">AE27</f>
        <v>0</v>
      </c>
      <c r="AG8" s="0" t="n">
        <f aca="false">AF27</f>
        <v>0</v>
      </c>
      <c r="AH8" s="0" t="n">
        <f aca="false">AG27</f>
        <v>0</v>
      </c>
      <c r="AI8" s="0" t="n">
        <f aca="false">AH27</f>
        <v>0</v>
      </c>
      <c r="AJ8" s="0" t="n">
        <f aca="false">AI27</f>
        <v>0</v>
      </c>
      <c r="AK8" s="0" t="n">
        <f aca="false">AJ27</f>
        <v>0</v>
      </c>
      <c r="AL8" s="0" t="n">
        <f aca="false">AK27</f>
        <v>0</v>
      </c>
      <c r="AM8" s="0" t="n">
        <f aca="false">AL27</f>
        <v>0</v>
      </c>
      <c r="AN8" s="0" t="n">
        <f aca="false">AM27</f>
        <v>0</v>
      </c>
      <c r="AO8" s="0" t="n">
        <f aca="false">AN27</f>
        <v>0</v>
      </c>
      <c r="AP8" s="0" t="n">
        <f aca="false">AO27</f>
        <v>0</v>
      </c>
    </row>
    <row r="9" customFormat="false" ht="15" hidden="false" customHeight="false" outlineLevel="0" collapsed="false">
      <c r="A9" s="0" t="s">
        <v>24</v>
      </c>
      <c r="B9" s="0" t="n">
        <f aca="false">B8*(B4+Inputs!$B$12)/4</f>
        <v>0</v>
      </c>
      <c r="C9" s="0" t="n">
        <f aca="false">C8*(C4+Inputs!$B$12)/4</f>
        <v>2215193.75</v>
      </c>
      <c r="D9" s="0" t="n">
        <f aca="false">D8*(D4+Inputs!$B$12)/4</f>
        <v>2177664.0703125</v>
      </c>
      <c r="E9" s="0" t="n">
        <f aca="false">E8*(E4+Inputs!$B$12)/4</f>
        <v>2144057.09375</v>
      </c>
      <c r="F9" s="0" t="n">
        <f aca="false">F8*(F4+Inputs!$B$12)/4</f>
        <v>2113866.8203125</v>
      </c>
      <c r="G9" s="0" t="n">
        <f aca="false">G8*(G4+Inputs!$B$12)/4</f>
        <v>2086694.15625</v>
      </c>
      <c r="H9" s="0" t="n">
        <f aca="false">H8*(H4+Inputs!$B$12)/4</f>
        <v>2062211.6796875</v>
      </c>
      <c r="I9" s="0" t="n">
        <f aca="false">I8*(I4+Inputs!$B$12)/4</f>
        <v>2040095.0625</v>
      </c>
      <c r="J9" s="0" t="n">
        <f aca="false">J8*(J4+Inputs!$B$12)/4</f>
        <v>2020023.0703125</v>
      </c>
      <c r="K9" s="0" t="n">
        <f aca="false">K8*(K4+Inputs!$B$12)/4</f>
        <v>2001778.625</v>
      </c>
      <c r="L9" s="0" t="n">
        <f aca="false">L8*(L4+Inputs!$B$12)/4</f>
        <v>1985146.7109375</v>
      </c>
      <c r="M9" s="0" t="n">
        <f aca="false">M8*(M4+Inputs!$B$12)/4</f>
        <v>1969914.375</v>
      </c>
      <c r="N9" s="0" t="n">
        <f aca="false">N8*(N4+Inputs!$B$12)/4</f>
        <v>1955904.15625</v>
      </c>
      <c r="O9" s="0" t="n">
        <f aca="false">O8*(O4+Inputs!$B$12)/4</f>
        <v>1943007</v>
      </c>
      <c r="P9" s="0" t="n">
        <f aca="false">P8*(P4+Inputs!$B$12)/4</f>
        <v>1931081.625</v>
      </c>
      <c r="Q9" s="0" t="n">
        <f aca="false">Q8*(Q4+Inputs!$B$12)/4</f>
        <v>1919988.125</v>
      </c>
      <c r="R9" s="0" t="n">
        <f aca="false">R8*(R4+Inputs!$B$12)/4</f>
        <v>1909654.140625</v>
      </c>
      <c r="S9" s="0" t="n">
        <f aca="false">S8*(S4+Inputs!$B$12)/4</f>
        <v>1899975</v>
      </c>
      <c r="T9" s="0" t="n">
        <f aca="false">T8*(T4+Inputs!$B$12)/4</f>
        <v>1890879.9765625</v>
      </c>
      <c r="U9" s="0" t="n">
        <f aca="false">U8*(U4+Inputs!$B$12)/4</f>
        <v>1882266.203125</v>
      </c>
      <c r="V9" s="0" t="n">
        <f aca="false">V8*(V4+Inputs!$B$12)/4</f>
        <v>1874130.0703125</v>
      </c>
      <c r="W9" s="0" t="n">
        <f aca="false">W8*(W4+Inputs!$B$12)/4</f>
        <v>1866370</v>
      </c>
      <c r="X9" s="0" t="n">
        <f aca="false">X8*(X4+Inputs!$B$12)/4</f>
        <v>1858950.5859375</v>
      </c>
      <c r="Y9" s="0" t="n">
        <f aca="false">Y8*(Y4+Inputs!$B$12)/4</f>
        <v>1851869.25</v>
      </c>
      <c r="Z9" s="0" t="n">
        <f aca="false">Z8*(Z4+Inputs!$B$12)/4</f>
        <v>1845026.21875</v>
      </c>
      <c r="AA9" s="0" t="n">
        <f aca="false">AA8*(AA4+Inputs!$B$12)/4</f>
        <v>1838419.6875</v>
      </c>
      <c r="AB9" s="0" t="n">
        <f aca="false">AB8*(AB4+Inputs!$B$12)/4</f>
        <v>1832047.8515625</v>
      </c>
      <c r="AC9" s="0" t="n">
        <f aca="false">AC8*(AC4+Inputs!$B$12)/4</f>
        <v>1825844.625</v>
      </c>
      <c r="AD9" s="0" t="n">
        <f aca="false">AD8*(AD4+Inputs!$B$12)/4</f>
        <v>1819808.71875</v>
      </c>
      <c r="AE9" s="0" t="n">
        <f aca="false">AE8*(AE4+Inputs!$B$12)/4</f>
        <v>0</v>
      </c>
      <c r="AF9" s="0" t="n">
        <f aca="false">AF8*(AF4+Inputs!$B$12)/4</f>
        <v>0</v>
      </c>
      <c r="AG9" s="0" t="n">
        <f aca="false">AG8*(AG4+Inputs!$B$12)/4</f>
        <v>0</v>
      </c>
      <c r="AH9" s="0" t="n">
        <f aca="false">AH8*(AH4+Inputs!$B$12)/4</f>
        <v>0</v>
      </c>
      <c r="AI9" s="0" t="n">
        <f aca="false">AI8*(AI4+Inputs!$B$12)/4</f>
        <v>0</v>
      </c>
      <c r="AJ9" s="0" t="n">
        <f aca="false">AJ8*(AJ4+Inputs!$B$12)/4</f>
        <v>0</v>
      </c>
      <c r="AK9" s="0" t="n">
        <f aca="false">AK8*(AK4+Inputs!$B$12)/4</f>
        <v>0</v>
      </c>
      <c r="AL9" s="0" t="n">
        <f aca="false">AL8*(AL4+Inputs!$B$12)/4</f>
        <v>0</v>
      </c>
      <c r="AM9" s="0" t="n">
        <f aca="false">AM8*(AM4+Inputs!$B$12)/4</f>
        <v>0</v>
      </c>
      <c r="AN9" s="0" t="n">
        <f aca="false">AN8*(AN4+Inputs!$B$12)/4</f>
        <v>0</v>
      </c>
      <c r="AO9" s="0" t="n">
        <f aca="false">AO8*(AO4+Inputs!$B$12)/4</f>
        <v>0</v>
      </c>
      <c r="AP9" s="0" t="n">
        <f aca="false">AP8*(AP4+Inputs!$B$12)/4</f>
        <v>0</v>
      </c>
    </row>
    <row r="10" customFormat="false" ht="15" hidden="false" customHeight="false" outlineLevel="0" collapsed="false">
      <c r="A10" s="0" t="s">
        <v>25</v>
      </c>
      <c r="B10" s="0" t="n">
        <f aca="false">IF(AND(B$3&gt;=1,B$3&lt;=Inputs!$B$8),MIN(B8,Inputs!$B$3*Inputs!$B$11*Inputs!$B$13/4),0)</f>
        <v>0</v>
      </c>
      <c r="C10" s="0" t="n">
        <f aca="false">IF(AND(C$3&gt;=1,C$3&lt;=Inputs!$B$8),MIN(C8,Inputs!$B$3*Inputs!$B$11*Inputs!$B$13/4),0)</f>
        <v>343750</v>
      </c>
      <c r="D10" s="0" t="n">
        <f aca="false">IF(AND(D$3&gt;=1,D$3&lt;=Inputs!$B$8),MIN(D8,Inputs!$B$3*Inputs!$B$11*Inputs!$B$13/4),0)</f>
        <v>343750</v>
      </c>
      <c r="E10" s="0" t="n">
        <f aca="false">IF(AND(E$3&gt;=1,E$3&lt;=Inputs!$B$8),MIN(E8,Inputs!$B$3*Inputs!$B$11*Inputs!$B$13/4),0)</f>
        <v>343750</v>
      </c>
      <c r="F10" s="0" t="n">
        <f aca="false">IF(AND(F$3&gt;=1,F$3&lt;=Inputs!$B$8),MIN(F8,Inputs!$B$3*Inputs!$B$11*Inputs!$B$13/4),0)</f>
        <v>343750</v>
      </c>
      <c r="G10" s="0" t="n">
        <f aca="false">IF(AND(G$3&gt;=1,G$3&lt;=Inputs!$B$8),MIN(G8,Inputs!$B$3*Inputs!$B$11*Inputs!$B$13/4),0)</f>
        <v>343750</v>
      </c>
      <c r="H10" s="0" t="n">
        <f aca="false">IF(AND(H$3&gt;=1,H$3&lt;=Inputs!$B$8),MIN(H8,Inputs!$B$3*Inputs!$B$11*Inputs!$B$13/4),0)</f>
        <v>343750</v>
      </c>
      <c r="I10" s="0" t="n">
        <f aca="false">IF(AND(I$3&gt;=1,I$3&lt;=Inputs!$B$8),MIN(I8,Inputs!$B$3*Inputs!$B$11*Inputs!$B$13/4),0)</f>
        <v>343750</v>
      </c>
      <c r="J10" s="0" t="n">
        <f aca="false">IF(AND(J$3&gt;=1,J$3&lt;=Inputs!$B$8),MIN(J8,Inputs!$B$3*Inputs!$B$11*Inputs!$B$13/4),0)</f>
        <v>343750</v>
      </c>
      <c r="K10" s="0" t="n">
        <f aca="false">IF(AND(K$3&gt;=1,K$3&lt;=Inputs!$B$8),MIN(K8,Inputs!$B$3*Inputs!$B$11*Inputs!$B$13/4),0)</f>
        <v>343750</v>
      </c>
      <c r="L10" s="0" t="n">
        <f aca="false">IF(AND(L$3&gt;=1,L$3&lt;=Inputs!$B$8),MIN(L8,Inputs!$B$3*Inputs!$B$11*Inputs!$B$13/4),0)</f>
        <v>343750</v>
      </c>
      <c r="M10" s="0" t="n">
        <f aca="false">IF(AND(M$3&gt;=1,M$3&lt;=Inputs!$B$8),MIN(M8,Inputs!$B$3*Inputs!$B$11*Inputs!$B$13/4),0)</f>
        <v>343750</v>
      </c>
      <c r="N10" s="0" t="n">
        <f aca="false">IF(AND(N$3&gt;=1,N$3&lt;=Inputs!$B$8),MIN(N8,Inputs!$B$3*Inputs!$B$11*Inputs!$B$13/4),0)</f>
        <v>343750</v>
      </c>
      <c r="O10" s="0" t="n">
        <f aca="false">IF(AND(O$3&gt;=1,O$3&lt;=Inputs!$B$8),MIN(O8,Inputs!$B$3*Inputs!$B$11*Inputs!$B$13/4),0)</f>
        <v>343750</v>
      </c>
      <c r="P10" s="0" t="n">
        <f aca="false">IF(AND(P$3&gt;=1,P$3&lt;=Inputs!$B$8),MIN(P8,Inputs!$B$3*Inputs!$B$11*Inputs!$B$13/4),0)</f>
        <v>343750</v>
      </c>
      <c r="Q10" s="0" t="n">
        <f aca="false">IF(AND(Q$3&gt;=1,Q$3&lt;=Inputs!$B$8),MIN(Q8,Inputs!$B$3*Inputs!$B$11*Inputs!$B$13/4),0)</f>
        <v>343750</v>
      </c>
      <c r="R10" s="0" t="n">
        <f aca="false">IF(AND(R$3&gt;=1,R$3&lt;=Inputs!$B$8),MIN(R8,Inputs!$B$3*Inputs!$B$11*Inputs!$B$13/4),0)</f>
        <v>343750</v>
      </c>
      <c r="S10" s="0" t="n">
        <f aca="false">IF(AND(S$3&gt;=1,S$3&lt;=Inputs!$B$8),MIN(S8,Inputs!$B$3*Inputs!$B$11*Inputs!$B$13/4),0)</f>
        <v>343750</v>
      </c>
      <c r="T10" s="0" t="n">
        <f aca="false">IF(AND(T$3&gt;=1,T$3&lt;=Inputs!$B$8),MIN(T8,Inputs!$B$3*Inputs!$B$11*Inputs!$B$13/4),0)</f>
        <v>343750</v>
      </c>
      <c r="U10" s="0" t="n">
        <f aca="false">IF(AND(U$3&gt;=1,U$3&lt;=Inputs!$B$8),MIN(U8,Inputs!$B$3*Inputs!$B$11*Inputs!$B$13/4),0)</f>
        <v>343750</v>
      </c>
      <c r="V10" s="0" t="n">
        <f aca="false">IF(AND(V$3&gt;=1,V$3&lt;=Inputs!$B$8),MIN(V8,Inputs!$B$3*Inputs!$B$11*Inputs!$B$13/4),0)</f>
        <v>343750</v>
      </c>
      <c r="W10" s="0" t="n">
        <f aca="false">IF(AND(W$3&gt;=1,W$3&lt;=Inputs!$B$8),MIN(W8,Inputs!$B$3*Inputs!$B$11*Inputs!$B$13/4),0)</f>
        <v>343750</v>
      </c>
      <c r="X10" s="0" t="n">
        <f aca="false">IF(AND(X$3&gt;=1,X$3&lt;=Inputs!$B$8),MIN(X8,Inputs!$B$3*Inputs!$B$11*Inputs!$B$13/4),0)</f>
        <v>343750</v>
      </c>
      <c r="Y10" s="0" t="n">
        <f aca="false">IF(AND(Y$3&gt;=1,Y$3&lt;=Inputs!$B$8),MIN(Y8,Inputs!$B$3*Inputs!$B$11*Inputs!$B$13/4),0)</f>
        <v>343750</v>
      </c>
      <c r="Z10" s="0" t="n">
        <f aca="false">IF(AND(Z$3&gt;=1,Z$3&lt;=Inputs!$B$8),MIN(Z8,Inputs!$B$3*Inputs!$B$11*Inputs!$B$13/4),0)</f>
        <v>343750</v>
      </c>
      <c r="AA10" s="0" t="n">
        <f aca="false">IF(AND(AA$3&gt;=1,AA$3&lt;=Inputs!$B$8),MIN(AA8,Inputs!$B$3*Inputs!$B$11*Inputs!$B$13/4),0)</f>
        <v>343750</v>
      </c>
      <c r="AB10" s="0" t="n">
        <f aca="false">IF(AND(AB$3&gt;=1,AB$3&lt;=Inputs!$B$8),MIN(AB8,Inputs!$B$3*Inputs!$B$11*Inputs!$B$13/4),0)</f>
        <v>343750</v>
      </c>
      <c r="AC10" s="0" t="n">
        <f aca="false">IF(AND(AC$3&gt;=1,AC$3&lt;=Inputs!$B$8),MIN(AC8,Inputs!$B$3*Inputs!$B$11*Inputs!$B$13/4),0)</f>
        <v>343750</v>
      </c>
      <c r="AD10" s="0" t="n">
        <f aca="false">IF(AND(AD$3&gt;=1,AD$3&lt;=Inputs!$B$8),MIN(AD8,Inputs!$B$3*Inputs!$B$11*Inputs!$B$13/4),0)</f>
        <v>343750</v>
      </c>
      <c r="AE10" s="0" t="n">
        <f aca="false">IF(AND(AE$3&gt;=1,AE$3&lt;=Inputs!$B$8),MIN(AE8,Inputs!$B$3*Inputs!$B$11*Inputs!$B$13/4),0)</f>
        <v>0</v>
      </c>
      <c r="AF10" s="0" t="n">
        <f aca="false">IF(AND(AF$3&gt;=1,AF$3&lt;=Inputs!$B$8),MIN(AF8,Inputs!$B$3*Inputs!$B$11*Inputs!$B$13/4),0)</f>
        <v>0</v>
      </c>
      <c r="AG10" s="0" t="n">
        <f aca="false">IF(AND(AG$3&gt;=1,AG$3&lt;=Inputs!$B$8),MIN(AG8,Inputs!$B$3*Inputs!$B$11*Inputs!$B$13/4),0)</f>
        <v>0</v>
      </c>
      <c r="AH10" s="0" t="n">
        <f aca="false">IF(AND(AH$3&gt;=1,AH$3&lt;=Inputs!$B$8),MIN(AH8,Inputs!$B$3*Inputs!$B$11*Inputs!$B$13/4),0)</f>
        <v>0</v>
      </c>
      <c r="AI10" s="0" t="n">
        <f aca="false">IF(AND(AI$3&gt;=1,AI$3&lt;=Inputs!$B$8),MIN(AI8,Inputs!$B$3*Inputs!$B$11*Inputs!$B$13/4),0)</f>
        <v>0</v>
      </c>
      <c r="AJ10" s="0" t="n">
        <f aca="false">IF(AND(AJ$3&gt;=1,AJ$3&lt;=Inputs!$B$8),MIN(AJ8,Inputs!$B$3*Inputs!$B$11*Inputs!$B$13/4),0)</f>
        <v>0</v>
      </c>
      <c r="AK10" s="0" t="n">
        <f aca="false">IF(AND(AK$3&gt;=1,AK$3&lt;=Inputs!$B$8),MIN(AK8,Inputs!$B$3*Inputs!$B$11*Inputs!$B$13/4),0)</f>
        <v>0</v>
      </c>
      <c r="AL10" s="0" t="n">
        <f aca="false">IF(AND(AL$3&gt;=1,AL$3&lt;=Inputs!$B$8),MIN(AL8,Inputs!$B$3*Inputs!$B$11*Inputs!$B$13/4),0)</f>
        <v>0</v>
      </c>
      <c r="AM10" s="0" t="n">
        <f aca="false">IF(AND(AM$3&gt;=1,AM$3&lt;=Inputs!$B$8),MIN(AM8,Inputs!$B$3*Inputs!$B$11*Inputs!$B$13/4),0)</f>
        <v>0</v>
      </c>
      <c r="AN10" s="0" t="n">
        <f aca="false">IF(AND(AN$3&gt;=1,AN$3&lt;=Inputs!$B$8),MIN(AN8,Inputs!$B$3*Inputs!$B$11*Inputs!$B$13/4),0)</f>
        <v>0</v>
      </c>
      <c r="AO10" s="0" t="n">
        <f aca="false">IF(AND(AO$3&gt;=1,AO$3&lt;=Inputs!$B$8),MIN(AO8,Inputs!$B$3*Inputs!$B$11*Inputs!$B$13/4),0)</f>
        <v>0</v>
      </c>
      <c r="AP10" s="0" t="n">
        <f aca="false">IF(AND(AP$3&gt;=1,AP$3&lt;=Inputs!$B$8),MIN(AP8,Inputs!$B$3*Inputs!$B$11*Inputs!$B$13/4),0)</f>
        <v>0</v>
      </c>
    </row>
    <row r="11" customFormat="false" ht="15" hidden="false" customHeight="false" outlineLevel="0" collapsed="false">
      <c r="A11" s="0" t="s">
        <v>26</v>
      </c>
      <c r="B11" s="0" t="n">
        <f aca="false">B9+B10</f>
        <v>0</v>
      </c>
      <c r="C11" s="0" t="n">
        <f aca="false">C9+C10</f>
        <v>2558943.75</v>
      </c>
      <c r="D11" s="0" t="n">
        <f aca="false">D9+D10</f>
        <v>2521414.0703125</v>
      </c>
      <c r="E11" s="0" t="n">
        <f aca="false">E9+E10</f>
        <v>2487807.09375</v>
      </c>
      <c r="F11" s="0" t="n">
        <f aca="false">F9+F10</f>
        <v>2457616.8203125</v>
      </c>
      <c r="G11" s="0" t="n">
        <f aca="false">G9+G10</f>
        <v>2430444.15625</v>
      </c>
      <c r="H11" s="0" t="n">
        <f aca="false">H9+H10</f>
        <v>2405961.6796875</v>
      </c>
      <c r="I11" s="0" t="n">
        <f aca="false">I9+I10</f>
        <v>2383845.0625</v>
      </c>
      <c r="J11" s="0" t="n">
        <f aca="false">J9+J10</f>
        <v>2363773.0703125</v>
      </c>
      <c r="K11" s="0" t="n">
        <f aca="false">K9+K10</f>
        <v>2345528.625</v>
      </c>
      <c r="L11" s="0" t="n">
        <f aca="false">L9+L10</f>
        <v>2328896.7109375</v>
      </c>
      <c r="M11" s="0" t="n">
        <f aca="false">M9+M10</f>
        <v>2313664.375</v>
      </c>
      <c r="N11" s="0" t="n">
        <f aca="false">N9+N10</f>
        <v>2299654.15625</v>
      </c>
      <c r="O11" s="0" t="n">
        <f aca="false">O9+O10</f>
        <v>2286757</v>
      </c>
      <c r="P11" s="0" t="n">
        <f aca="false">P9+P10</f>
        <v>2274831.625</v>
      </c>
      <c r="Q11" s="0" t="n">
        <f aca="false">Q9+Q10</f>
        <v>2263738.125</v>
      </c>
      <c r="R11" s="0" t="n">
        <f aca="false">R9+R10</f>
        <v>2253404.140625</v>
      </c>
      <c r="S11" s="0" t="n">
        <f aca="false">S9+S10</f>
        <v>2243725</v>
      </c>
      <c r="T11" s="0" t="n">
        <f aca="false">T9+T10</f>
        <v>2234629.9765625</v>
      </c>
      <c r="U11" s="0" t="n">
        <f aca="false">U9+U10</f>
        <v>2226016.203125</v>
      </c>
      <c r="V11" s="0" t="n">
        <f aca="false">V9+V10</f>
        <v>2217880.0703125</v>
      </c>
      <c r="W11" s="0" t="n">
        <f aca="false">W9+W10</f>
        <v>2210120</v>
      </c>
      <c r="X11" s="0" t="n">
        <f aca="false">X9+X10</f>
        <v>2202700.5859375</v>
      </c>
      <c r="Y11" s="0" t="n">
        <f aca="false">Y9+Y10</f>
        <v>2195619.25</v>
      </c>
      <c r="Z11" s="0" t="n">
        <f aca="false">Z9+Z10</f>
        <v>2188776.21875</v>
      </c>
      <c r="AA11" s="0" t="n">
        <f aca="false">AA9+AA10</f>
        <v>2182169.6875</v>
      </c>
      <c r="AB11" s="0" t="n">
        <f aca="false">AB9+AB10</f>
        <v>2175797.8515625</v>
      </c>
      <c r="AC11" s="0" t="n">
        <f aca="false">AC9+AC10</f>
        <v>2169594.625</v>
      </c>
      <c r="AD11" s="0" t="n">
        <f aca="false">AD9+AD10</f>
        <v>2163558.71875</v>
      </c>
      <c r="AE11" s="0" t="n">
        <f aca="false">AE9+AE10</f>
        <v>0</v>
      </c>
      <c r="AF11" s="0" t="n">
        <f aca="false">AF9+AF10</f>
        <v>0</v>
      </c>
      <c r="AG11" s="0" t="n">
        <f aca="false">AG9+AG10</f>
        <v>0</v>
      </c>
      <c r="AH11" s="0" t="n">
        <f aca="false">AH9+AH10</f>
        <v>0</v>
      </c>
      <c r="AI11" s="0" t="n">
        <f aca="false">AI9+AI10</f>
        <v>0</v>
      </c>
      <c r="AJ11" s="0" t="n">
        <f aca="false">AJ9+AJ10</f>
        <v>0</v>
      </c>
      <c r="AK11" s="0" t="n">
        <f aca="false">AK9+AK10</f>
        <v>0</v>
      </c>
      <c r="AL11" s="0" t="n">
        <f aca="false">AL9+AL10</f>
        <v>0</v>
      </c>
      <c r="AM11" s="0" t="n">
        <f aca="false">AM9+AM10</f>
        <v>0</v>
      </c>
      <c r="AN11" s="0" t="n">
        <f aca="false">AN9+AN10</f>
        <v>0</v>
      </c>
      <c r="AO11" s="0" t="n">
        <f aca="false">AO9+AO10</f>
        <v>0</v>
      </c>
      <c r="AP11" s="0" t="n">
        <f aca="false">AP9+AP10</f>
        <v>0</v>
      </c>
    </row>
    <row r="12" customFormat="false" ht="15" hidden="false" customHeight="false" outlineLevel="0" collapsed="false">
      <c r="A12" s="0" t="s">
        <v>27</v>
      </c>
      <c r="B12" s="0" t="n">
        <f aca="false">IF(B11&gt;0,B7/B11,99)</f>
        <v>99</v>
      </c>
      <c r="C12" s="0" t="n">
        <f aca="false">IF(C11&gt;0,C7/C11,99)</f>
        <v>1.31890355151417</v>
      </c>
      <c r="D12" s="0" t="n">
        <f aca="false">IF(D11&gt;0,D7/D11,99)</f>
        <v>1.34993343347087</v>
      </c>
      <c r="E12" s="0" t="n">
        <f aca="false">IF(E11&gt;0,E7/E11,99)</f>
        <v>1.3798077391519</v>
      </c>
      <c r="F12" s="0" t="n">
        <f aca="false">IF(F11&gt;0,F7/F11,99)</f>
        <v>1.40862665714466</v>
      </c>
      <c r="G12" s="0" t="n">
        <f aca="false">IF(G11&gt;0,G7/G11,99)</f>
        <v>1.43646583733351</v>
      </c>
      <c r="H12" s="0" t="n">
        <f aca="false">IF(H11&gt;0,H7/H11,99)</f>
        <v>1.46338714263736</v>
      </c>
      <c r="I12" s="0" t="n">
        <f aca="false">IF(I11&gt;0,I7/I11,99)</f>
        <v>1.48947446366072</v>
      </c>
      <c r="J12" s="0" t="n">
        <f aca="false">IF(J11&gt;0,J7/J11,99)</f>
        <v>1.51483259882053</v>
      </c>
      <c r="K12" s="0" t="n">
        <f aca="false">IF(K11&gt;0,K7/K11,99)</f>
        <v>1.53951968929819</v>
      </c>
      <c r="L12" s="0" t="n">
        <f aca="false">IF(L11&gt;0,L7/L11,99)</f>
        <v>1.56360690977101</v>
      </c>
      <c r="M12" s="0" t="n">
        <f aca="false">IF(M11&gt;0,M7/M11,99)</f>
        <v>1.58717775835355</v>
      </c>
      <c r="N12" s="0" t="n">
        <f aca="false">IF(N11&gt;0,N7/N11,99)</f>
        <v>1.61030392685473</v>
      </c>
      <c r="O12" s="0" t="n">
        <f aca="false">IF(O11&gt;0,O7/O11,99)</f>
        <v>1.63301877943306</v>
      </c>
      <c r="P12" s="0" t="n">
        <f aca="false">IF(P11&gt;0,P7/P11,99)</f>
        <v>1.65538553168559</v>
      </c>
      <c r="Q12" s="0" t="n">
        <f aca="false">IF(Q11&gt;0,Q7/Q11,99)</f>
        <v>1.67747430387241</v>
      </c>
      <c r="R12" s="0" t="n">
        <f aca="false">IF(R11&gt;0,R7/R11,99)</f>
        <v>1.69931186010052</v>
      </c>
      <c r="S12" s="0" t="n">
        <f aca="false">IF(S11&gt;0,S7/S11,99)</f>
        <v>1.72095361006808</v>
      </c>
      <c r="T12" s="0" t="n">
        <f aca="false">IF(T11&gt;0,T7/T11,99)</f>
        <v>1.74243391552762</v>
      </c>
      <c r="U12" s="0" t="n">
        <f aca="false">IF(U11&gt;0,U7/U11,99)</f>
        <v>1.76381618693224</v>
      </c>
      <c r="V12" s="0" t="n">
        <f aca="false">IF(V11&gt;0,V7/V11,99)</f>
        <v>1.78508907050991</v>
      </c>
      <c r="W12" s="0" t="n">
        <f aca="false">IF(W11&gt;0,W7/W11,99)</f>
        <v>1.80632139336891</v>
      </c>
      <c r="X12" s="0" t="n">
        <f aca="false">IF(X11&gt;0,X7/X11,99)</f>
        <v>1.82753204739281</v>
      </c>
      <c r="Y12" s="0" t="n">
        <f aca="false">IF(Y11&gt;0,Y7/Y11,99)</f>
        <v>1.84871393971823</v>
      </c>
      <c r="Z12" s="0" t="n">
        <f aca="false">IF(Z11&gt;0,Z7/Z11,99)</f>
        <v>1.86994304961451</v>
      </c>
      <c r="AA12" s="0" t="n">
        <f aca="false">IF(AA11&gt;0,AA7/AA11,99)</f>
        <v>1.8912152765617</v>
      </c>
      <c r="AB12" s="0" t="n">
        <f aca="false">IF(AB11&gt;0,AB7/AB11,99)</f>
        <v>1.91252651801808</v>
      </c>
      <c r="AC12" s="0" t="n">
        <f aca="false">IF(AC11&gt;0,AC7/AC11,99)</f>
        <v>1.9339299714583</v>
      </c>
      <c r="AD12" s="0" t="n">
        <f aca="false">IF(AD11&gt;0,AD7/AD11,99)</f>
        <v>1.95542346369955</v>
      </c>
      <c r="AE12" s="0" t="n">
        <f aca="false">IF(AE11&gt;0,AE7/AE11,99)</f>
        <v>99</v>
      </c>
      <c r="AF12" s="0" t="n">
        <f aca="false">IF(AF11&gt;0,AF7/AF11,99)</f>
        <v>99</v>
      </c>
      <c r="AG12" s="0" t="n">
        <f aca="false">IF(AG11&gt;0,AG7/AG11,99)</f>
        <v>99</v>
      </c>
      <c r="AH12" s="0" t="n">
        <f aca="false">IF(AH11&gt;0,AH7/AH11,99)</f>
        <v>99</v>
      </c>
      <c r="AI12" s="0" t="n">
        <f aca="false">IF(AI11&gt;0,AI7/AI11,99)</f>
        <v>99</v>
      </c>
      <c r="AJ12" s="0" t="n">
        <f aca="false">IF(AJ11&gt;0,AJ7/AJ11,99)</f>
        <v>99</v>
      </c>
      <c r="AK12" s="0" t="n">
        <f aca="false">IF(AK11&gt;0,AK7/AK11,99)</f>
        <v>99</v>
      </c>
      <c r="AL12" s="0" t="n">
        <f aca="false">IF(AL11&gt;0,AL7/AL11,99)</f>
        <v>99</v>
      </c>
      <c r="AM12" s="0" t="n">
        <f aca="false">IF(AM11&gt;0,AM7/AM11,99)</f>
        <v>99</v>
      </c>
      <c r="AN12" s="0" t="n">
        <f aca="false">IF(AN11&gt;0,AN7/AN11,99)</f>
        <v>99</v>
      </c>
      <c r="AO12" s="0" t="n">
        <f aca="false">IF(AO11&gt;0,AO7/AO11,99)</f>
        <v>99</v>
      </c>
      <c r="AP12" s="0" t="n">
        <f aca="false">IF(AP11&gt;0,AP7/AP11,99)</f>
        <v>99</v>
      </c>
    </row>
    <row r="13" customFormat="false" ht="15" hidden="false" customHeight="false" outlineLevel="0" collapsed="false">
      <c r="A13" s="0" t="s">
        <v>28</v>
      </c>
      <c r="B13" s="0" t="n">
        <f aca="false">B7-B11</f>
        <v>0</v>
      </c>
      <c r="C13" s="0" t="n">
        <f aca="false">C7-C11</f>
        <v>816056.25</v>
      </c>
      <c r="D13" s="0" t="n">
        <f aca="false">D7-D11</f>
        <v>882327.082826215</v>
      </c>
      <c r="E13" s="0" t="n">
        <f aca="false">E7-E11</f>
        <v>944888.387723235</v>
      </c>
      <c r="F13" s="0" t="n">
        <f aca="false">F7-F11</f>
        <v>1004247.74582679</v>
      </c>
      <c r="G13" s="0" t="n">
        <f aca="false">G7-G11</f>
        <v>1060805.84375</v>
      </c>
      <c r="H13" s="0" t="n">
        <f aca="false">H7-H11</f>
        <v>1114891.70804538</v>
      </c>
      <c r="I13" s="0" t="n">
        <f aca="false">I7-I11</f>
        <v>1166831.28341743</v>
      </c>
      <c r="J13" s="0" t="n">
        <f aca="false">J7-J11</f>
        <v>1216947.43281097</v>
      </c>
      <c r="K13" s="0" t="n">
        <f aca="false">K7-K11</f>
        <v>1265458.875</v>
      </c>
      <c r="L13" s="0" t="n">
        <f aca="false">L7-L11</f>
        <v>1312582.27842736</v>
      </c>
      <c r="M13" s="0" t="n">
        <f aca="false">M7-M11</f>
        <v>1358532.26129496</v>
      </c>
      <c r="N13" s="0" t="n">
        <f aca="false">N7-N11</f>
        <v>1403487.96196717</v>
      </c>
      <c r="O13" s="0" t="n">
        <f aca="false">O7-O11</f>
        <v>1447560.125</v>
      </c>
      <c r="P13" s="0" t="n">
        <f aca="false">P7-P11</f>
        <v>1490891.73404581</v>
      </c>
      <c r="Q13" s="0" t="n">
        <f aca="false">Q7-Q11</f>
        <v>1533624.4103838</v>
      </c>
      <c r="R13" s="0" t="n">
        <f aca="false">R7-R11</f>
        <v>1575832.24113869</v>
      </c>
      <c r="S13" s="0" t="n">
        <f aca="false">S7-S11</f>
        <v>1617621.63875</v>
      </c>
      <c r="T13" s="0" t="n">
        <f aca="false">T7-T11</f>
        <v>1659065.08325468</v>
      </c>
      <c r="U13" s="0" t="n">
        <f aca="false">U7-U11</f>
        <v>1700267.20832032</v>
      </c>
      <c r="V13" s="0" t="n">
        <f aca="false">V7-V11</f>
        <v>1741233.4029041</v>
      </c>
      <c r="W13" s="0" t="n">
        <f aca="false">W7-W11</f>
        <v>1782067.0379125</v>
      </c>
      <c r="X13" s="0" t="n">
        <f aca="false">X7-X11</f>
        <v>1822805.3256742</v>
      </c>
      <c r="Y13" s="0" t="n">
        <f aca="false">Y7-Y11</f>
        <v>1863452.66378868</v>
      </c>
      <c r="Z13" s="0" t="n">
        <f aca="false">Z7-Z11</f>
        <v>1904110.6586631</v>
      </c>
      <c r="AA13" s="0" t="n">
        <f aca="false">AA7-AA11</f>
        <v>1944782.96154988</v>
      </c>
      <c r="AB13" s="0" t="n">
        <f aca="false">AB7-AB11</f>
        <v>1985473.23739755</v>
      </c>
      <c r="AC13" s="0" t="n">
        <f aca="false">AC7-AC11</f>
        <v>2026249.44620234</v>
      </c>
      <c r="AD13" s="0" t="n">
        <f aca="false">AD7-AD11</f>
        <v>2067114.76498549</v>
      </c>
      <c r="AE13" s="0" t="n">
        <f aca="false">AE7-AE11</f>
        <v>0</v>
      </c>
      <c r="AF13" s="0" t="n">
        <f aca="false">AF7-AF11</f>
        <v>0</v>
      </c>
      <c r="AG13" s="0" t="n">
        <f aca="false">AG7-AG11</f>
        <v>0</v>
      </c>
      <c r="AH13" s="0" t="n">
        <f aca="false">AH7-AH11</f>
        <v>0</v>
      </c>
      <c r="AI13" s="0" t="n">
        <f aca="false">AI7-AI11</f>
        <v>0</v>
      </c>
      <c r="AJ13" s="0" t="n">
        <f aca="false">AJ7-AJ11</f>
        <v>0</v>
      </c>
      <c r="AK13" s="0" t="n">
        <f aca="false">AK7-AK11</f>
        <v>0</v>
      </c>
      <c r="AL13" s="0" t="n">
        <f aca="false">AL7-AL11</f>
        <v>0</v>
      </c>
      <c r="AM13" s="0" t="n">
        <f aca="false">AM7-AM11</f>
        <v>0</v>
      </c>
      <c r="AN13" s="0" t="n">
        <f aca="false">AN7-AN11</f>
        <v>0</v>
      </c>
      <c r="AO13" s="0" t="n">
        <f aca="false">AO7-AO11</f>
        <v>0</v>
      </c>
      <c r="AP13" s="0" t="n">
        <f aca="false">AP7-AP11</f>
        <v>0</v>
      </c>
    </row>
    <row r="14" customFormat="false" ht="15" hidden="false" customHeight="false" outlineLevel="0" collapsed="false">
      <c r="A14" s="0" t="s">
        <v>29</v>
      </c>
      <c r="B14" s="0" t="n">
        <f aca="false">MAX(0,-B13)</f>
        <v>-0</v>
      </c>
      <c r="C14" s="0" t="n">
        <f aca="false">MAX(0,-C13)</f>
        <v>0</v>
      </c>
      <c r="D14" s="0" t="n">
        <f aca="false">MAX(0,-D13)</f>
        <v>0</v>
      </c>
      <c r="E14" s="0" t="n">
        <f aca="false">MAX(0,-E13)</f>
        <v>0</v>
      </c>
      <c r="F14" s="0" t="n">
        <f aca="false">MAX(0,-F13)</f>
        <v>0</v>
      </c>
      <c r="G14" s="0" t="n">
        <f aca="false">MAX(0,-G13)</f>
        <v>0</v>
      </c>
      <c r="H14" s="0" t="n">
        <f aca="false">MAX(0,-H13)</f>
        <v>0</v>
      </c>
      <c r="I14" s="0" t="n">
        <f aca="false">MAX(0,-I13)</f>
        <v>0</v>
      </c>
      <c r="J14" s="0" t="n">
        <f aca="false">MAX(0,-J13)</f>
        <v>0</v>
      </c>
      <c r="K14" s="0" t="n">
        <f aca="false">MAX(0,-K13)</f>
        <v>0</v>
      </c>
      <c r="L14" s="0" t="n">
        <f aca="false">MAX(0,-L13)</f>
        <v>0</v>
      </c>
      <c r="M14" s="0" t="n">
        <f aca="false">MAX(0,-M13)</f>
        <v>0</v>
      </c>
      <c r="N14" s="0" t="n">
        <f aca="false">MAX(0,-N13)</f>
        <v>0</v>
      </c>
      <c r="O14" s="0" t="n">
        <f aca="false">MAX(0,-O13)</f>
        <v>0</v>
      </c>
      <c r="P14" s="0" t="n">
        <f aca="false">MAX(0,-P13)</f>
        <v>0</v>
      </c>
      <c r="Q14" s="0" t="n">
        <f aca="false">MAX(0,-Q13)</f>
        <v>0</v>
      </c>
      <c r="R14" s="0" t="n">
        <f aca="false">MAX(0,-R13)</f>
        <v>0</v>
      </c>
      <c r="S14" s="0" t="n">
        <f aca="false">MAX(0,-S13)</f>
        <v>0</v>
      </c>
      <c r="T14" s="0" t="n">
        <f aca="false">MAX(0,-T13)</f>
        <v>0</v>
      </c>
      <c r="U14" s="0" t="n">
        <f aca="false">MAX(0,-U13)</f>
        <v>0</v>
      </c>
      <c r="V14" s="0" t="n">
        <f aca="false">MAX(0,-V13)</f>
        <v>0</v>
      </c>
      <c r="W14" s="0" t="n">
        <f aca="false">MAX(0,-W13)</f>
        <v>0</v>
      </c>
      <c r="X14" s="0" t="n">
        <f aca="false">MAX(0,-X13)</f>
        <v>0</v>
      </c>
      <c r="Y14" s="0" t="n">
        <f aca="false">MAX(0,-Y13)</f>
        <v>0</v>
      </c>
      <c r="Z14" s="0" t="n">
        <f aca="false">MAX(0,-Z13)</f>
        <v>0</v>
      </c>
      <c r="AA14" s="0" t="n">
        <f aca="false">MAX(0,-AA13)</f>
        <v>0</v>
      </c>
      <c r="AB14" s="0" t="n">
        <f aca="false">MAX(0,-AB13)</f>
        <v>0</v>
      </c>
      <c r="AC14" s="0" t="n">
        <f aca="false">MAX(0,-AC13)</f>
        <v>0</v>
      </c>
      <c r="AD14" s="0" t="n">
        <f aca="false">MAX(0,-AD13)</f>
        <v>0</v>
      </c>
      <c r="AE14" s="0" t="n">
        <f aca="false">MAX(0,-AE13)</f>
        <v>-0</v>
      </c>
      <c r="AF14" s="0" t="n">
        <f aca="false">MAX(0,-AF13)</f>
        <v>-0</v>
      </c>
      <c r="AG14" s="0" t="n">
        <f aca="false">MAX(0,-AG13)</f>
        <v>-0</v>
      </c>
      <c r="AH14" s="0" t="n">
        <f aca="false">MAX(0,-AH13)</f>
        <v>-0</v>
      </c>
      <c r="AI14" s="0" t="n">
        <f aca="false">MAX(0,-AI13)</f>
        <v>-0</v>
      </c>
      <c r="AJ14" s="0" t="n">
        <f aca="false">MAX(0,-AJ13)</f>
        <v>-0</v>
      </c>
      <c r="AK14" s="0" t="n">
        <f aca="false">MAX(0,-AK13)</f>
        <v>-0</v>
      </c>
      <c r="AL14" s="0" t="n">
        <f aca="false">MAX(0,-AL13)</f>
        <v>-0</v>
      </c>
      <c r="AM14" s="0" t="n">
        <f aca="false">MAX(0,-AM13)</f>
        <v>-0</v>
      </c>
      <c r="AN14" s="0" t="n">
        <f aca="false">MAX(0,-AN13)</f>
        <v>-0</v>
      </c>
      <c r="AO14" s="0" t="n">
        <f aca="false">MAX(0,-AO13)</f>
        <v>-0</v>
      </c>
      <c r="AP14" s="0" t="n">
        <f aca="false">MAX(0,-AP13)</f>
        <v>-0</v>
      </c>
    </row>
    <row r="15" customFormat="false" ht="15" hidden="false" customHeight="false" outlineLevel="0" collapsed="false">
      <c r="A15" s="0" t="s">
        <v>30</v>
      </c>
      <c r="B15" s="0" t="n">
        <f aca="false">0</f>
        <v>0</v>
      </c>
      <c r="C15" s="0" t="n">
        <f aca="false">B28</f>
        <v>37500000</v>
      </c>
      <c r="D15" s="0" t="n">
        <f aca="false">C28</f>
        <v>37715193.75</v>
      </c>
      <c r="E15" s="0" t="n">
        <f aca="false">D28</f>
        <v>37870034.4952988</v>
      </c>
      <c r="F15" s="0" t="n">
        <f aca="false">E28</f>
        <v>37966572.0561963</v>
      </c>
      <c r="G15" s="0" t="n">
        <f aca="false">F28</f>
        <v>38006405.0419149</v>
      </c>
      <c r="H15" s="0" t="n">
        <f aca="false">G28</f>
        <v>38006405.0419149</v>
      </c>
      <c r="I15" s="0" t="n">
        <f aca="false">H28</f>
        <v>38006405.0419149</v>
      </c>
      <c r="J15" s="0" t="n">
        <f aca="false">I28</f>
        <v>38006405.0419149</v>
      </c>
      <c r="K15" s="0" t="n">
        <f aca="false">J28</f>
        <v>38006405.0419149</v>
      </c>
      <c r="L15" s="0" t="n">
        <f aca="false">K28</f>
        <v>38006405.0419149</v>
      </c>
      <c r="M15" s="0" t="n">
        <f aca="false">L28</f>
        <v>38006405.0419149</v>
      </c>
      <c r="N15" s="0" t="n">
        <f aca="false">M28</f>
        <v>38006405.0419149</v>
      </c>
      <c r="O15" s="0" t="n">
        <f aca="false">N28</f>
        <v>38006405.0419149</v>
      </c>
      <c r="P15" s="0" t="n">
        <f aca="false">O28</f>
        <v>38006405.0419149</v>
      </c>
      <c r="Q15" s="0" t="n">
        <f aca="false">P28</f>
        <v>38006405.0419149</v>
      </c>
      <c r="R15" s="0" t="n">
        <f aca="false">Q28</f>
        <v>38006405.0419149</v>
      </c>
      <c r="S15" s="0" t="n">
        <f aca="false">R28</f>
        <v>38006405.0419149</v>
      </c>
      <c r="T15" s="0" t="n">
        <f aca="false">S28</f>
        <v>38006405.0419149</v>
      </c>
      <c r="U15" s="0" t="n">
        <f aca="false">T28</f>
        <v>38006405.0419149</v>
      </c>
      <c r="V15" s="0" t="n">
        <f aca="false">U28</f>
        <v>38006405.0419149</v>
      </c>
      <c r="W15" s="0" t="n">
        <f aca="false">V28</f>
        <v>38006405.0419149</v>
      </c>
      <c r="X15" s="0" t="n">
        <f aca="false">W28</f>
        <v>38006405.0419149</v>
      </c>
      <c r="Y15" s="0" t="n">
        <f aca="false">X28</f>
        <v>38006405.0419149</v>
      </c>
      <c r="Z15" s="0" t="n">
        <f aca="false">Y28</f>
        <v>38006405.0419149</v>
      </c>
      <c r="AA15" s="0" t="n">
        <f aca="false">Z28</f>
        <v>38006405.0419149</v>
      </c>
      <c r="AB15" s="0" t="n">
        <f aca="false">AA28</f>
        <v>38006405.0419149</v>
      </c>
      <c r="AC15" s="0" t="n">
        <f aca="false">AB28</f>
        <v>38006405.0419149</v>
      </c>
      <c r="AD15" s="0" t="n">
        <f aca="false">AC28</f>
        <v>38006405.0419149</v>
      </c>
      <c r="AE15" s="0" t="n">
        <f aca="false">AD28</f>
        <v>0</v>
      </c>
      <c r="AF15" s="0" t="n">
        <f aca="false">AE28</f>
        <v>0</v>
      </c>
      <c r="AG15" s="0" t="n">
        <f aca="false">AF28</f>
        <v>0</v>
      </c>
      <c r="AH15" s="0" t="n">
        <f aca="false">AG28</f>
        <v>0</v>
      </c>
      <c r="AI15" s="0" t="n">
        <f aca="false">AH28</f>
        <v>0</v>
      </c>
      <c r="AJ15" s="0" t="n">
        <f aca="false">AI28</f>
        <v>0</v>
      </c>
      <c r="AK15" s="0" t="n">
        <f aca="false">AJ28</f>
        <v>0</v>
      </c>
      <c r="AL15" s="0" t="n">
        <f aca="false">AK28</f>
        <v>0</v>
      </c>
      <c r="AM15" s="0" t="n">
        <f aca="false">AL28</f>
        <v>0</v>
      </c>
      <c r="AN15" s="0" t="n">
        <f aca="false">AM28</f>
        <v>0</v>
      </c>
      <c r="AO15" s="0" t="n">
        <f aca="false">AN28</f>
        <v>0</v>
      </c>
      <c r="AP15" s="0" t="n">
        <f aca="false">AO28</f>
        <v>0</v>
      </c>
    </row>
    <row r="16" customFormat="false" ht="15" hidden="false" customHeight="false" outlineLevel="0" collapsed="false">
      <c r="A16" s="0" t="s">
        <v>31</v>
      </c>
      <c r="B16" s="0" t="n">
        <f aca="false">B15*Inputs!$B$16/4</f>
        <v>0</v>
      </c>
      <c r="C16" s="0" t="n">
        <f aca="false">C15*Inputs!$B$16/4</f>
        <v>1031250</v>
      </c>
      <c r="D16" s="0" t="n">
        <f aca="false">D15*Inputs!$B$16/4</f>
        <v>1037167.828125</v>
      </c>
      <c r="E16" s="0" t="n">
        <f aca="false">E15*Inputs!$B$16/4</f>
        <v>1041425.94862072</v>
      </c>
      <c r="F16" s="0" t="n">
        <f aca="false">F15*Inputs!$B$16/4</f>
        <v>1044080.7315454</v>
      </c>
      <c r="G16" s="0" t="n">
        <f aca="false">G15*Inputs!$B$16/4</f>
        <v>1045176.13865266</v>
      </c>
      <c r="H16" s="0" t="n">
        <f aca="false">H15*Inputs!$B$16/4</f>
        <v>1045176.13865266</v>
      </c>
      <c r="I16" s="0" t="n">
        <f aca="false">I15*Inputs!$B$16/4</f>
        <v>1045176.13865266</v>
      </c>
      <c r="J16" s="0" t="n">
        <f aca="false">J15*Inputs!$B$16/4</f>
        <v>1045176.13865266</v>
      </c>
      <c r="K16" s="0" t="n">
        <f aca="false">K15*Inputs!$B$16/4</f>
        <v>1045176.13865266</v>
      </c>
      <c r="L16" s="0" t="n">
        <f aca="false">L15*Inputs!$B$16/4</f>
        <v>1045176.13865266</v>
      </c>
      <c r="M16" s="0" t="n">
        <f aca="false">M15*Inputs!$B$16/4</f>
        <v>1045176.13865266</v>
      </c>
      <c r="N16" s="0" t="n">
        <f aca="false">N15*Inputs!$B$16/4</f>
        <v>1045176.13865266</v>
      </c>
      <c r="O16" s="0" t="n">
        <f aca="false">O15*Inputs!$B$16/4</f>
        <v>1045176.13865266</v>
      </c>
      <c r="P16" s="0" t="n">
        <f aca="false">P15*Inputs!$B$16/4</f>
        <v>1045176.13865266</v>
      </c>
      <c r="Q16" s="0" t="n">
        <f aca="false">Q15*Inputs!$B$16/4</f>
        <v>1045176.13865266</v>
      </c>
      <c r="R16" s="0" t="n">
        <f aca="false">R15*Inputs!$B$16/4</f>
        <v>1045176.13865266</v>
      </c>
      <c r="S16" s="0" t="n">
        <f aca="false">S15*Inputs!$B$16/4</f>
        <v>1045176.13865266</v>
      </c>
      <c r="T16" s="0" t="n">
        <f aca="false">T15*Inputs!$B$16/4</f>
        <v>1045176.13865266</v>
      </c>
      <c r="U16" s="0" t="n">
        <f aca="false">U15*Inputs!$B$16/4</f>
        <v>1045176.13865266</v>
      </c>
      <c r="V16" s="0" t="n">
        <f aca="false">V15*Inputs!$B$16/4</f>
        <v>1045176.13865266</v>
      </c>
      <c r="W16" s="0" t="n">
        <f aca="false">W15*Inputs!$B$16/4</f>
        <v>1045176.13865266</v>
      </c>
      <c r="X16" s="0" t="n">
        <f aca="false">X15*Inputs!$B$16/4</f>
        <v>1045176.13865266</v>
      </c>
      <c r="Y16" s="0" t="n">
        <f aca="false">Y15*Inputs!$B$16/4</f>
        <v>1045176.13865266</v>
      </c>
      <c r="Z16" s="0" t="n">
        <f aca="false">Z15*Inputs!$B$16/4</f>
        <v>1045176.13865266</v>
      </c>
      <c r="AA16" s="0" t="n">
        <f aca="false">AA15*Inputs!$B$16/4</f>
        <v>1045176.13865266</v>
      </c>
      <c r="AB16" s="0" t="n">
        <f aca="false">AB15*Inputs!$B$16/4</f>
        <v>1045176.13865266</v>
      </c>
      <c r="AC16" s="0" t="n">
        <f aca="false">AC15*Inputs!$B$16/4</f>
        <v>1045176.13865266</v>
      </c>
      <c r="AD16" s="0" t="n">
        <f aca="false">AD15*Inputs!$B$16/4</f>
        <v>1045176.13865266</v>
      </c>
      <c r="AE16" s="0" t="n">
        <f aca="false">AE15*Inputs!$B$16/4</f>
        <v>0</v>
      </c>
      <c r="AF16" s="0" t="n">
        <f aca="false">AF15*Inputs!$B$16/4</f>
        <v>0</v>
      </c>
      <c r="AG16" s="0" t="n">
        <f aca="false">AG15*Inputs!$B$16/4</f>
        <v>0</v>
      </c>
      <c r="AH16" s="0" t="n">
        <f aca="false">AH15*Inputs!$B$16/4</f>
        <v>0</v>
      </c>
      <c r="AI16" s="0" t="n">
        <f aca="false">AI15*Inputs!$B$16/4</f>
        <v>0</v>
      </c>
      <c r="AJ16" s="0" t="n">
        <f aca="false">AJ15*Inputs!$B$16/4</f>
        <v>0</v>
      </c>
      <c r="AK16" s="0" t="n">
        <f aca="false">AK15*Inputs!$B$16/4</f>
        <v>0</v>
      </c>
      <c r="AL16" s="0" t="n">
        <f aca="false">AL15*Inputs!$B$16/4</f>
        <v>0</v>
      </c>
      <c r="AM16" s="0" t="n">
        <f aca="false">AM15*Inputs!$B$16/4</f>
        <v>0</v>
      </c>
      <c r="AN16" s="0" t="n">
        <f aca="false">AN15*Inputs!$B$16/4</f>
        <v>0</v>
      </c>
      <c r="AO16" s="0" t="n">
        <f aca="false">AO15*Inputs!$B$16/4</f>
        <v>0</v>
      </c>
      <c r="AP16" s="0" t="n">
        <f aca="false">AP15*Inputs!$B$16/4</f>
        <v>0</v>
      </c>
    </row>
    <row r="17" customFormat="false" ht="15" hidden="false" customHeight="false" outlineLevel="0" collapsed="false">
      <c r="A17" s="0" t="s">
        <v>32</v>
      </c>
      <c r="B17" s="0" t="n">
        <f aca="false">MIN(MAX(0,B13),B16)</f>
        <v>0</v>
      </c>
      <c r="C17" s="0" t="n">
        <f aca="false">MIN(MAX(0,C13),C16)</f>
        <v>816056.25</v>
      </c>
      <c r="D17" s="0" t="n">
        <f aca="false">MIN(MAX(0,D13),D16)</f>
        <v>882327.082826215</v>
      </c>
      <c r="E17" s="0" t="n">
        <f aca="false">MIN(MAX(0,E13),E16)</f>
        <v>944888.387723235</v>
      </c>
      <c r="F17" s="0" t="n">
        <f aca="false">MIN(MAX(0,F13),F16)</f>
        <v>1004247.74582679</v>
      </c>
      <c r="G17" s="0" t="n">
        <f aca="false">MIN(MAX(0,G13),G16)</f>
        <v>1045176.13865266</v>
      </c>
      <c r="H17" s="0" t="n">
        <f aca="false">MIN(MAX(0,H13),H16)</f>
        <v>1045176.13865266</v>
      </c>
      <c r="I17" s="0" t="n">
        <f aca="false">MIN(MAX(0,I13),I16)</f>
        <v>1045176.13865266</v>
      </c>
      <c r="J17" s="0" t="n">
        <f aca="false">MIN(MAX(0,J13),J16)</f>
        <v>1045176.13865266</v>
      </c>
      <c r="K17" s="0" t="n">
        <f aca="false">MIN(MAX(0,K13),K16)</f>
        <v>1045176.13865266</v>
      </c>
      <c r="L17" s="0" t="n">
        <f aca="false">MIN(MAX(0,L13),L16)</f>
        <v>1045176.13865266</v>
      </c>
      <c r="M17" s="0" t="n">
        <f aca="false">MIN(MAX(0,M13),M16)</f>
        <v>1045176.13865266</v>
      </c>
      <c r="N17" s="0" t="n">
        <f aca="false">MIN(MAX(0,N13),N16)</f>
        <v>1045176.13865266</v>
      </c>
      <c r="O17" s="0" t="n">
        <f aca="false">MIN(MAX(0,O13),O16)</f>
        <v>1045176.13865266</v>
      </c>
      <c r="P17" s="0" t="n">
        <f aca="false">MIN(MAX(0,P13),P16)</f>
        <v>1045176.13865266</v>
      </c>
      <c r="Q17" s="0" t="n">
        <f aca="false">MIN(MAX(0,Q13),Q16)</f>
        <v>1045176.13865266</v>
      </c>
      <c r="R17" s="0" t="n">
        <f aca="false">MIN(MAX(0,R13),R16)</f>
        <v>1045176.13865266</v>
      </c>
      <c r="S17" s="0" t="n">
        <f aca="false">MIN(MAX(0,S13),S16)</f>
        <v>1045176.13865266</v>
      </c>
      <c r="T17" s="0" t="n">
        <f aca="false">MIN(MAX(0,T13),T16)</f>
        <v>1045176.13865266</v>
      </c>
      <c r="U17" s="0" t="n">
        <f aca="false">MIN(MAX(0,U13),U16)</f>
        <v>1045176.13865266</v>
      </c>
      <c r="V17" s="0" t="n">
        <f aca="false">MIN(MAX(0,V13),V16)</f>
        <v>1045176.13865266</v>
      </c>
      <c r="W17" s="0" t="n">
        <f aca="false">MIN(MAX(0,W13),W16)</f>
        <v>1045176.13865266</v>
      </c>
      <c r="X17" s="0" t="n">
        <f aca="false">MIN(MAX(0,X13),X16)</f>
        <v>1045176.13865266</v>
      </c>
      <c r="Y17" s="0" t="n">
        <f aca="false">MIN(MAX(0,Y13),Y16)</f>
        <v>1045176.13865266</v>
      </c>
      <c r="Z17" s="0" t="n">
        <f aca="false">MIN(MAX(0,Z13),Z16)</f>
        <v>1045176.13865266</v>
      </c>
      <c r="AA17" s="0" t="n">
        <f aca="false">MIN(MAX(0,AA13),AA16)</f>
        <v>1045176.13865266</v>
      </c>
      <c r="AB17" s="0" t="n">
        <f aca="false">MIN(MAX(0,AB13),AB16)</f>
        <v>1045176.13865266</v>
      </c>
      <c r="AC17" s="0" t="n">
        <f aca="false">MIN(MAX(0,AC13),AC16)</f>
        <v>1045176.13865266</v>
      </c>
      <c r="AD17" s="0" t="n">
        <f aca="false">MIN(MAX(0,AD13),AD16)</f>
        <v>1045176.13865266</v>
      </c>
      <c r="AE17" s="0" t="n">
        <f aca="false">MIN(MAX(0,AE13),AE16)</f>
        <v>0</v>
      </c>
      <c r="AF17" s="0" t="n">
        <f aca="false">MIN(MAX(0,AF13),AF16)</f>
        <v>0</v>
      </c>
      <c r="AG17" s="0" t="n">
        <f aca="false">MIN(MAX(0,AG13),AG16)</f>
        <v>0</v>
      </c>
      <c r="AH17" s="0" t="n">
        <f aca="false">MIN(MAX(0,AH13),AH16)</f>
        <v>0</v>
      </c>
      <c r="AI17" s="0" t="n">
        <f aca="false">MIN(MAX(0,AI13),AI16)</f>
        <v>0</v>
      </c>
      <c r="AJ17" s="0" t="n">
        <f aca="false">MIN(MAX(0,AJ13),AJ16)</f>
        <v>0</v>
      </c>
      <c r="AK17" s="0" t="n">
        <f aca="false">MIN(MAX(0,AK13),AK16)</f>
        <v>0</v>
      </c>
      <c r="AL17" s="0" t="n">
        <f aca="false">MIN(MAX(0,AL13),AL16)</f>
        <v>0</v>
      </c>
      <c r="AM17" s="0" t="n">
        <f aca="false">MIN(MAX(0,AM13),AM16)</f>
        <v>0</v>
      </c>
      <c r="AN17" s="0" t="n">
        <f aca="false">MIN(MAX(0,AN13),AN16)</f>
        <v>0</v>
      </c>
      <c r="AO17" s="0" t="n">
        <f aca="false">MIN(MAX(0,AO13),AO16)</f>
        <v>0</v>
      </c>
      <c r="AP17" s="0" t="n">
        <f aca="false">MIN(MAX(0,AP13),AP16)</f>
        <v>0</v>
      </c>
    </row>
    <row r="18" customFormat="false" ht="15" hidden="false" customHeight="false" outlineLevel="0" collapsed="false">
      <c r="A18" s="0" t="s">
        <v>33</v>
      </c>
      <c r="B18" s="0" t="n">
        <f aca="false">B16-B17</f>
        <v>0</v>
      </c>
      <c r="C18" s="0" t="n">
        <f aca="false">C16-C17</f>
        <v>215193.75</v>
      </c>
      <c r="D18" s="0" t="n">
        <f aca="false">D16-D17</f>
        <v>154840.745298785</v>
      </c>
      <c r="E18" s="0" t="n">
        <f aca="false">E16-E17</f>
        <v>96537.5608974813</v>
      </c>
      <c r="F18" s="0" t="n">
        <f aca="false">F16-F17</f>
        <v>39832.9857186098</v>
      </c>
      <c r="G18" s="0" t="n">
        <f aca="false">G16-G17</f>
        <v>0</v>
      </c>
      <c r="H18" s="0" t="n">
        <f aca="false">H16-H17</f>
        <v>0</v>
      </c>
      <c r="I18" s="0" t="n">
        <f aca="false">I16-I17</f>
        <v>0</v>
      </c>
      <c r="J18" s="0" t="n">
        <f aca="false">J16-J17</f>
        <v>0</v>
      </c>
      <c r="K18" s="0" t="n">
        <f aca="false">K16-K17</f>
        <v>0</v>
      </c>
      <c r="L18" s="0" t="n">
        <f aca="false">L16-L17</f>
        <v>0</v>
      </c>
      <c r="M18" s="0" t="n">
        <f aca="false">M16-M17</f>
        <v>0</v>
      </c>
      <c r="N18" s="0" t="n">
        <f aca="false">N16-N17</f>
        <v>0</v>
      </c>
      <c r="O18" s="0" t="n">
        <f aca="false">O16-O17</f>
        <v>0</v>
      </c>
      <c r="P18" s="0" t="n">
        <f aca="false">P16-P17</f>
        <v>0</v>
      </c>
      <c r="Q18" s="0" t="n">
        <f aca="false">Q16-Q17</f>
        <v>0</v>
      </c>
      <c r="R18" s="0" t="n">
        <f aca="false">R16-R17</f>
        <v>0</v>
      </c>
      <c r="S18" s="0" t="n">
        <f aca="false">S16-S17</f>
        <v>0</v>
      </c>
      <c r="T18" s="0" t="n">
        <f aca="false">T16-T17</f>
        <v>0</v>
      </c>
      <c r="U18" s="0" t="n">
        <f aca="false">U16-U17</f>
        <v>0</v>
      </c>
      <c r="V18" s="0" t="n">
        <f aca="false">V16-V17</f>
        <v>0</v>
      </c>
      <c r="W18" s="0" t="n">
        <f aca="false">W16-W17</f>
        <v>0</v>
      </c>
      <c r="X18" s="0" t="n">
        <f aca="false">X16-X17</f>
        <v>0</v>
      </c>
      <c r="Y18" s="0" t="n">
        <f aca="false">Y16-Y17</f>
        <v>0</v>
      </c>
      <c r="Z18" s="0" t="n">
        <f aca="false">Z16-Z17</f>
        <v>0</v>
      </c>
      <c r="AA18" s="0" t="n">
        <f aca="false">AA16-AA17</f>
        <v>0</v>
      </c>
      <c r="AB18" s="0" t="n">
        <f aca="false">AB16-AB17</f>
        <v>0</v>
      </c>
      <c r="AC18" s="0" t="n">
        <f aca="false">AC16-AC17</f>
        <v>0</v>
      </c>
      <c r="AD18" s="0" t="n">
        <f aca="false">AD16-AD17</f>
        <v>0</v>
      </c>
      <c r="AE18" s="0" t="n">
        <f aca="false">AE16-AE17</f>
        <v>0</v>
      </c>
      <c r="AF18" s="0" t="n">
        <f aca="false">AF16-AF17</f>
        <v>0</v>
      </c>
      <c r="AG18" s="0" t="n">
        <f aca="false">AG16-AG17</f>
        <v>0</v>
      </c>
      <c r="AH18" s="0" t="n">
        <f aca="false">AH16-AH17</f>
        <v>0</v>
      </c>
      <c r="AI18" s="0" t="n">
        <f aca="false">AI16-AI17</f>
        <v>0</v>
      </c>
      <c r="AJ18" s="0" t="n">
        <f aca="false">AJ16-AJ17</f>
        <v>0</v>
      </c>
      <c r="AK18" s="0" t="n">
        <f aca="false">AK16-AK17</f>
        <v>0</v>
      </c>
      <c r="AL18" s="0" t="n">
        <f aca="false">AL16-AL17</f>
        <v>0</v>
      </c>
      <c r="AM18" s="0" t="n">
        <f aca="false">AM16-AM17</f>
        <v>0</v>
      </c>
      <c r="AN18" s="0" t="n">
        <f aca="false">AN16-AN17</f>
        <v>0</v>
      </c>
      <c r="AO18" s="0" t="n">
        <f aca="false">AO16-AO17</f>
        <v>0</v>
      </c>
      <c r="AP18" s="0" t="n">
        <f aca="false">AP16-AP17</f>
        <v>0</v>
      </c>
    </row>
    <row r="19" customFormat="false" ht="15" hidden="false" customHeight="false" outlineLevel="0" collapsed="false">
      <c r="A19" s="0" t="s">
        <v>34</v>
      </c>
      <c r="B19" s="0" t="n">
        <f aca="false">MAX(0,B13)-B17</f>
        <v>0</v>
      </c>
      <c r="C19" s="0" t="n">
        <f aca="false">MAX(0,C13)-C17</f>
        <v>0</v>
      </c>
      <c r="D19" s="0" t="n">
        <f aca="false">MAX(0,D13)-D17</f>
        <v>0</v>
      </c>
      <c r="E19" s="0" t="n">
        <f aca="false">MAX(0,E13)-E17</f>
        <v>0</v>
      </c>
      <c r="F19" s="0" t="n">
        <f aca="false">MAX(0,F13)-F17</f>
        <v>0</v>
      </c>
      <c r="G19" s="0" t="n">
        <f aca="false">MAX(0,G13)-G17</f>
        <v>15629.7050973407</v>
      </c>
      <c r="H19" s="0" t="n">
        <f aca="false">MAX(0,H13)-H17</f>
        <v>69715.5693927177</v>
      </c>
      <c r="I19" s="0" t="n">
        <f aca="false">MAX(0,I13)-I17</f>
        <v>121655.144764773</v>
      </c>
      <c r="J19" s="0" t="n">
        <f aca="false">MAX(0,J13)-J17</f>
        <v>171771.294158308</v>
      </c>
      <c r="K19" s="0" t="n">
        <f aca="false">MAX(0,K13)-K17</f>
        <v>220282.736347341</v>
      </c>
      <c r="L19" s="0" t="n">
        <f aca="false">MAX(0,L13)-L17</f>
        <v>267406.139774704</v>
      </c>
      <c r="M19" s="0" t="n">
        <f aca="false">MAX(0,M13)-M17</f>
        <v>313356.122642296</v>
      </c>
      <c r="N19" s="0" t="n">
        <f aca="false">MAX(0,N13)-N17</f>
        <v>358311.823314512</v>
      </c>
      <c r="O19" s="0" t="n">
        <f aca="false">MAX(0,O13)-O17</f>
        <v>402383.986347341</v>
      </c>
      <c r="P19" s="0" t="n">
        <f aca="false">MAX(0,P13)-P17</f>
        <v>445715.59539315</v>
      </c>
      <c r="Q19" s="0" t="n">
        <f aca="false">MAX(0,Q13)-Q17</f>
        <v>488448.271731145</v>
      </c>
      <c r="R19" s="0" t="n">
        <f aca="false">MAX(0,R13)-R17</f>
        <v>530656.102486027</v>
      </c>
      <c r="S19" s="0" t="n">
        <f aca="false">MAX(0,S13)-S17</f>
        <v>572445.500097342</v>
      </c>
      <c r="T19" s="0" t="n">
        <f aca="false">MAX(0,T13)-T17</f>
        <v>613888.944602025</v>
      </c>
      <c r="U19" s="0" t="n">
        <f aca="false">MAX(0,U13)-U17</f>
        <v>655091.06966766</v>
      </c>
      <c r="V19" s="0" t="n">
        <f aca="false">MAX(0,V13)-V17</f>
        <v>696057.264251438</v>
      </c>
      <c r="W19" s="0" t="n">
        <f aca="false">MAX(0,W13)-W17</f>
        <v>736890.899259841</v>
      </c>
      <c r="X19" s="0" t="n">
        <f aca="false">MAX(0,X13)-X17</f>
        <v>777629.18702154</v>
      </c>
      <c r="Y19" s="0" t="n">
        <f aca="false">MAX(0,Y13)-Y17</f>
        <v>818276.525136019</v>
      </c>
      <c r="Z19" s="0" t="n">
        <f aca="false">MAX(0,Z13)-Z17</f>
        <v>858934.520010436</v>
      </c>
      <c r="AA19" s="0" t="n">
        <f aca="false">MAX(0,AA13)-AA17</f>
        <v>899606.822897216</v>
      </c>
      <c r="AB19" s="0" t="n">
        <f aca="false">MAX(0,AB13)-AB17</f>
        <v>940297.098744891</v>
      </c>
      <c r="AC19" s="0" t="n">
        <f aca="false">MAX(0,AC13)-AC17</f>
        <v>981073.307549679</v>
      </c>
      <c r="AD19" s="0" t="n">
        <f aca="false">MAX(0,AD13)-AD17</f>
        <v>1021938.62633283</v>
      </c>
      <c r="AE19" s="0" t="n">
        <f aca="false">MAX(0,AE13)-AE17</f>
        <v>0</v>
      </c>
      <c r="AF19" s="0" t="n">
        <f aca="false">MAX(0,AF13)-AF17</f>
        <v>0</v>
      </c>
      <c r="AG19" s="0" t="n">
        <f aca="false">MAX(0,AG13)-AG17</f>
        <v>0</v>
      </c>
      <c r="AH19" s="0" t="n">
        <f aca="false">MAX(0,AH13)-AH17</f>
        <v>0</v>
      </c>
      <c r="AI19" s="0" t="n">
        <f aca="false">MAX(0,AI13)-AI17</f>
        <v>0</v>
      </c>
      <c r="AJ19" s="0" t="n">
        <f aca="false">MAX(0,AJ13)-AJ17</f>
        <v>0</v>
      </c>
      <c r="AK19" s="0" t="n">
        <f aca="false">MAX(0,AK13)-AK17</f>
        <v>0</v>
      </c>
      <c r="AL19" s="0" t="n">
        <f aca="false">MAX(0,AL13)-AL17</f>
        <v>0</v>
      </c>
      <c r="AM19" s="0" t="n">
        <f aca="false">MAX(0,AM13)-AM17</f>
        <v>0</v>
      </c>
      <c r="AN19" s="0" t="n">
        <f aca="false">MAX(0,AN13)-AN17</f>
        <v>0</v>
      </c>
      <c r="AO19" s="0" t="n">
        <f aca="false">MAX(0,AO13)-AO17</f>
        <v>0</v>
      </c>
      <c r="AP19" s="0" t="n">
        <f aca="false">MAX(0,AP13)-AP17</f>
        <v>0</v>
      </c>
    </row>
    <row r="20" customFormat="false" ht="15" hidden="false" customHeight="false" outlineLevel="0" collapsed="false">
      <c r="A20" s="0" t="s">
        <v>35</v>
      </c>
      <c r="B20" s="0" t="n">
        <f aca="false">0</f>
        <v>0</v>
      </c>
      <c r="C20" s="0" t="n">
        <f aca="false">B29</f>
        <v>25000000</v>
      </c>
      <c r="D20" s="0" t="n">
        <f aca="false">C29</f>
        <v>25750000</v>
      </c>
      <c r="E20" s="0" t="n">
        <f aca="false">D29</f>
        <v>26522500</v>
      </c>
      <c r="F20" s="0" t="n">
        <f aca="false">E29</f>
        <v>27318175</v>
      </c>
      <c r="G20" s="0" t="n">
        <f aca="false">F29</f>
        <v>28137720.25</v>
      </c>
      <c r="H20" s="0" t="n">
        <f aca="false">G29</f>
        <v>28966222.1524027</v>
      </c>
      <c r="I20" s="0" t="n">
        <f aca="false">H29</f>
        <v>29765493.247582</v>
      </c>
      <c r="J20" s="0" t="n">
        <f aca="false">I29</f>
        <v>30536802.9002447</v>
      </c>
      <c r="K20" s="0" t="n">
        <f aca="false">J29</f>
        <v>31281135.6930937</v>
      </c>
      <c r="L20" s="0" t="n">
        <f aca="false">K29</f>
        <v>31999287.0275392</v>
      </c>
      <c r="M20" s="0" t="n">
        <f aca="false">L29</f>
        <v>32691859.4985907</v>
      </c>
      <c r="N20" s="0" t="n">
        <f aca="false">M29</f>
        <v>33359259.1609061</v>
      </c>
      <c r="O20" s="0" t="n">
        <f aca="false">N29</f>
        <v>34001725.1124188</v>
      </c>
      <c r="P20" s="0" t="n">
        <f aca="false">O29</f>
        <v>34619392.879444</v>
      </c>
      <c r="Q20" s="0" t="n">
        <f aca="false">P29</f>
        <v>35212259.0704342</v>
      </c>
      <c r="R20" s="0" t="n">
        <f aca="false">Q29</f>
        <v>35780178.5708161</v>
      </c>
      <c r="S20" s="0" t="n">
        <f aca="false">R29</f>
        <v>36322927.8254545</v>
      </c>
      <c r="T20" s="0" t="n">
        <f aca="false">S29</f>
        <v>36840170.1601208</v>
      </c>
      <c r="U20" s="0" t="n">
        <f aca="false">T29</f>
        <v>37331486.3203224</v>
      </c>
      <c r="V20" s="0" t="n">
        <f aca="false">U29</f>
        <v>37796339.8402644</v>
      </c>
      <c r="W20" s="0" t="n">
        <f aca="false">V29</f>
        <v>38234172.7712209</v>
      </c>
      <c r="X20" s="0" t="n">
        <f aca="false">W29</f>
        <v>38644307.0550977</v>
      </c>
      <c r="Y20" s="0" t="n">
        <f aca="false">X29</f>
        <v>39026007.0797291</v>
      </c>
      <c r="Z20" s="0" t="n">
        <f aca="false">Y29</f>
        <v>39378510.766985</v>
      </c>
      <c r="AA20" s="0" t="n">
        <f aca="false">Z29</f>
        <v>39700931.5699841</v>
      </c>
      <c r="AB20" s="0" t="n">
        <f aca="false">AA29</f>
        <v>39992352.6941864</v>
      </c>
      <c r="AC20" s="0" t="n">
        <f aca="false">AB29</f>
        <v>40251826.1762671</v>
      </c>
      <c r="AD20" s="0" t="n">
        <f aca="false">AC29</f>
        <v>40478307.6540054</v>
      </c>
      <c r="AE20" s="0" t="n">
        <f aca="false">AD29</f>
        <v>0</v>
      </c>
      <c r="AF20" s="0" t="n">
        <f aca="false">AE29</f>
        <v>0</v>
      </c>
      <c r="AG20" s="0" t="n">
        <f aca="false">AF29</f>
        <v>0</v>
      </c>
      <c r="AH20" s="0" t="n">
        <f aca="false">AG29</f>
        <v>0</v>
      </c>
      <c r="AI20" s="0" t="n">
        <f aca="false">AH29</f>
        <v>0</v>
      </c>
      <c r="AJ20" s="0" t="n">
        <f aca="false">AI29</f>
        <v>0</v>
      </c>
      <c r="AK20" s="0" t="n">
        <f aca="false">AJ29</f>
        <v>0</v>
      </c>
      <c r="AL20" s="0" t="n">
        <f aca="false">AK29</f>
        <v>0</v>
      </c>
      <c r="AM20" s="0" t="n">
        <f aca="false">AL29</f>
        <v>0</v>
      </c>
      <c r="AN20" s="0" t="n">
        <f aca="false">AM29</f>
        <v>0</v>
      </c>
      <c r="AO20" s="0" t="n">
        <f aca="false">AN29</f>
        <v>0</v>
      </c>
      <c r="AP20" s="0" t="n">
        <f aca="false">AO29</f>
        <v>0</v>
      </c>
    </row>
    <row r="21" customFormat="false" ht="15" hidden="false" customHeight="false" outlineLevel="0" collapsed="false">
      <c r="A21" s="0" t="s">
        <v>36</v>
      </c>
      <c r="B21" s="0" t="n">
        <f aca="false">B20*Inputs!$B$18/4</f>
        <v>0</v>
      </c>
      <c r="C21" s="0" t="n">
        <f aca="false">C20*Inputs!$B$18/4</f>
        <v>750000</v>
      </c>
      <c r="D21" s="0" t="n">
        <f aca="false">D20*Inputs!$B$18/4</f>
        <v>772500</v>
      </c>
      <c r="E21" s="0" t="n">
        <f aca="false">E20*Inputs!$B$18/4</f>
        <v>795675</v>
      </c>
      <c r="F21" s="0" t="n">
        <f aca="false">F20*Inputs!$B$18/4</f>
        <v>819545.25</v>
      </c>
      <c r="G21" s="0" t="n">
        <f aca="false">G20*Inputs!$B$18/4</f>
        <v>844131.6075</v>
      </c>
      <c r="H21" s="0" t="n">
        <f aca="false">H20*Inputs!$B$18/4</f>
        <v>868986.66457208</v>
      </c>
      <c r="I21" s="0" t="n">
        <f aca="false">I20*Inputs!$B$18/4</f>
        <v>892964.797427461</v>
      </c>
      <c r="J21" s="0" t="n">
        <f aca="false">J20*Inputs!$B$18/4</f>
        <v>916104.087007341</v>
      </c>
      <c r="K21" s="0" t="n">
        <f aca="false">K20*Inputs!$B$18/4</f>
        <v>938434.070792812</v>
      </c>
      <c r="L21" s="0" t="n">
        <f aca="false">L20*Inputs!$B$18/4</f>
        <v>959978.610826177</v>
      </c>
      <c r="M21" s="0" t="n">
        <f aca="false">M20*Inputs!$B$18/4</f>
        <v>980755.784957721</v>
      </c>
      <c r="N21" s="0" t="n">
        <f aca="false">N20*Inputs!$B$18/4</f>
        <v>1000777.77482718</v>
      </c>
      <c r="O21" s="0" t="n">
        <f aca="false">O20*Inputs!$B$18/4</f>
        <v>1020051.75337256</v>
      </c>
      <c r="P21" s="0" t="n">
        <f aca="false">P20*Inputs!$B$18/4</f>
        <v>1038581.78638332</v>
      </c>
      <c r="Q21" s="0" t="n">
        <f aca="false">Q20*Inputs!$B$18/4</f>
        <v>1056367.77211303</v>
      </c>
      <c r="R21" s="0" t="n">
        <f aca="false">R20*Inputs!$B$18/4</f>
        <v>1073405.35712448</v>
      </c>
      <c r="S21" s="0" t="n">
        <f aca="false">S20*Inputs!$B$18/4</f>
        <v>1089687.83476364</v>
      </c>
      <c r="T21" s="0" t="n">
        <f aca="false">T20*Inputs!$B$18/4</f>
        <v>1105205.10480362</v>
      </c>
      <c r="U21" s="0" t="n">
        <f aca="false">U20*Inputs!$B$18/4</f>
        <v>1119944.58960967</v>
      </c>
      <c r="V21" s="0" t="n">
        <f aca="false">V20*Inputs!$B$18/4</f>
        <v>1133890.19520793</v>
      </c>
      <c r="W21" s="0" t="n">
        <f aca="false">W20*Inputs!$B$18/4</f>
        <v>1147025.18313663</v>
      </c>
      <c r="X21" s="0" t="n">
        <f aca="false">X20*Inputs!$B$18/4</f>
        <v>1159329.21165293</v>
      </c>
      <c r="Y21" s="0" t="n">
        <f aca="false">Y20*Inputs!$B$18/4</f>
        <v>1170780.21239187</v>
      </c>
      <c r="Z21" s="0" t="n">
        <f aca="false">Z20*Inputs!$B$18/4</f>
        <v>1181355.32300955</v>
      </c>
      <c r="AA21" s="0" t="n">
        <f aca="false">AA20*Inputs!$B$18/4</f>
        <v>1191027.94709952</v>
      </c>
      <c r="AB21" s="0" t="n">
        <f aca="false">AB20*Inputs!$B$18/4</f>
        <v>1199770.58082559</v>
      </c>
      <c r="AC21" s="0" t="n">
        <f aca="false">AC20*Inputs!$B$18/4</f>
        <v>1207554.78528801</v>
      </c>
      <c r="AD21" s="0" t="n">
        <f aca="false">AD20*Inputs!$B$18/4</f>
        <v>1214349.22962016</v>
      </c>
      <c r="AE21" s="0" t="n">
        <f aca="false">AE20*Inputs!$B$18/4</f>
        <v>0</v>
      </c>
      <c r="AF21" s="0" t="n">
        <f aca="false">AF20*Inputs!$B$18/4</f>
        <v>0</v>
      </c>
      <c r="AG21" s="0" t="n">
        <f aca="false">AG20*Inputs!$B$18/4</f>
        <v>0</v>
      </c>
      <c r="AH21" s="0" t="n">
        <f aca="false">AH20*Inputs!$B$18/4</f>
        <v>0</v>
      </c>
      <c r="AI21" s="0" t="n">
        <f aca="false">AI20*Inputs!$B$18/4</f>
        <v>0</v>
      </c>
      <c r="AJ21" s="0" t="n">
        <f aca="false">AJ20*Inputs!$B$18/4</f>
        <v>0</v>
      </c>
      <c r="AK21" s="0" t="n">
        <f aca="false">AK20*Inputs!$B$18/4</f>
        <v>0</v>
      </c>
      <c r="AL21" s="0" t="n">
        <f aca="false">AL20*Inputs!$B$18/4</f>
        <v>0</v>
      </c>
      <c r="AM21" s="0" t="n">
        <f aca="false">AM20*Inputs!$B$18/4</f>
        <v>0</v>
      </c>
      <c r="AN21" s="0" t="n">
        <f aca="false">AN20*Inputs!$B$18/4</f>
        <v>0</v>
      </c>
      <c r="AO21" s="0" t="n">
        <f aca="false">AO20*Inputs!$B$18/4</f>
        <v>0</v>
      </c>
      <c r="AP21" s="0" t="n">
        <f aca="false">AP20*Inputs!$B$18/4</f>
        <v>0</v>
      </c>
    </row>
    <row r="22" customFormat="false" ht="15" hidden="false" customHeight="false" outlineLevel="0" collapsed="false">
      <c r="A22" s="0" t="s">
        <v>37</v>
      </c>
      <c r="B22" s="0" t="n">
        <f aca="false">MIN(B19,B20+B21)</f>
        <v>0</v>
      </c>
      <c r="C22" s="0" t="n">
        <f aca="false">MIN(C19,C20+C21)</f>
        <v>0</v>
      </c>
      <c r="D22" s="0" t="n">
        <f aca="false">MIN(D19,D20+D21)</f>
        <v>0</v>
      </c>
      <c r="E22" s="0" t="n">
        <f aca="false">MIN(E19,E20+E21)</f>
        <v>0</v>
      </c>
      <c r="F22" s="0" t="n">
        <f aca="false">MIN(F19,F20+F21)</f>
        <v>0</v>
      </c>
      <c r="G22" s="0" t="n">
        <f aca="false">MIN(G19,G20+G21)</f>
        <v>15629.7050973407</v>
      </c>
      <c r="H22" s="0" t="n">
        <f aca="false">MIN(H19,H20+H21)</f>
        <v>69715.5693927177</v>
      </c>
      <c r="I22" s="0" t="n">
        <f aca="false">MIN(I19,I20+I21)</f>
        <v>121655.144764773</v>
      </c>
      <c r="J22" s="0" t="n">
        <f aca="false">MIN(J19,J20+J21)</f>
        <v>171771.294158308</v>
      </c>
      <c r="K22" s="0" t="n">
        <f aca="false">MIN(K19,K20+K21)</f>
        <v>220282.736347341</v>
      </c>
      <c r="L22" s="0" t="n">
        <f aca="false">MIN(L19,L20+L21)</f>
        <v>267406.139774704</v>
      </c>
      <c r="M22" s="0" t="n">
        <f aca="false">MIN(M19,M20+M21)</f>
        <v>313356.122642296</v>
      </c>
      <c r="N22" s="0" t="n">
        <f aca="false">MIN(N19,N20+N21)</f>
        <v>358311.823314512</v>
      </c>
      <c r="O22" s="0" t="n">
        <f aca="false">MIN(O19,O20+O21)</f>
        <v>402383.986347341</v>
      </c>
      <c r="P22" s="0" t="n">
        <f aca="false">MIN(P19,P20+P21)</f>
        <v>445715.59539315</v>
      </c>
      <c r="Q22" s="0" t="n">
        <f aca="false">MIN(Q19,Q20+Q21)</f>
        <v>488448.271731145</v>
      </c>
      <c r="R22" s="0" t="n">
        <f aca="false">MIN(R19,R20+R21)</f>
        <v>530656.102486027</v>
      </c>
      <c r="S22" s="0" t="n">
        <f aca="false">MIN(S19,S20+S21)</f>
        <v>572445.500097342</v>
      </c>
      <c r="T22" s="0" t="n">
        <f aca="false">MIN(T19,T20+T21)</f>
        <v>613888.944602025</v>
      </c>
      <c r="U22" s="0" t="n">
        <f aca="false">MIN(U19,U20+U21)</f>
        <v>655091.06966766</v>
      </c>
      <c r="V22" s="0" t="n">
        <f aca="false">MIN(V19,V20+V21)</f>
        <v>696057.264251438</v>
      </c>
      <c r="W22" s="0" t="n">
        <f aca="false">MIN(W19,W20+W21)</f>
        <v>736890.899259841</v>
      </c>
      <c r="X22" s="0" t="n">
        <f aca="false">MIN(X19,X20+X21)</f>
        <v>777629.18702154</v>
      </c>
      <c r="Y22" s="0" t="n">
        <f aca="false">MIN(Y19,Y20+Y21)</f>
        <v>818276.525136019</v>
      </c>
      <c r="Z22" s="0" t="n">
        <f aca="false">MIN(Z19,Z20+Z21)</f>
        <v>858934.520010436</v>
      </c>
      <c r="AA22" s="0" t="n">
        <f aca="false">MIN(AA19,AA20+AA21)</f>
        <v>899606.822897216</v>
      </c>
      <c r="AB22" s="0" t="n">
        <f aca="false">MIN(AB19,AB20+AB21)</f>
        <v>940297.098744891</v>
      </c>
      <c r="AC22" s="0" t="n">
        <f aca="false">MIN(AC19,AC20+AC21)</f>
        <v>981073.307549679</v>
      </c>
      <c r="AD22" s="0" t="n">
        <f aca="false">MIN(AD19,AD20+AD21)</f>
        <v>1021938.62633283</v>
      </c>
      <c r="AE22" s="0" t="n">
        <f aca="false">MIN(AE19,AE20+AE21)</f>
        <v>0</v>
      </c>
      <c r="AF22" s="0" t="n">
        <f aca="false">MIN(AF19,AF20+AF21)</f>
        <v>0</v>
      </c>
      <c r="AG22" s="0" t="n">
        <f aca="false">MIN(AG19,AG20+AG21)</f>
        <v>0</v>
      </c>
      <c r="AH22" s="0" t="n">
        <f aca="false">MIN(AH19,AH20+AH21)</f>
        <v>0</v>
      </c>
      <c r="AI22" s="0" t="n">
        <f aca="false">MIN(AI19,AI20+AI21)</f>
        <v>0</v>
      </c>
      <c r="AJ22" s="0" t="n">
        <f aca="false">MIN(AJ19,AJ20+AJ21)</f>
        <v>0</v>
      </c>
      <c r="AK22" s="0" t="n">
        <f aca="false">MIN(AK19,AK20+AK21)</f>
        <v>0</v>
      </c>
      <c r="AL22" s="0" t="n">
        <f aca="false">MIN(AL19,AL20+AL21)</f>
        <v>0</v>
      </c>
      <c r="AM22" s="0" t="n">
        <f aca="false">MIN(AM19,AM20+AM21)</f>
        <v>0</v>
      </c>
      <c r="AN22" s="0" t="n">
        <f aca="false">MIN(AN19,AN20+AN21)</f>
        <v>0</v>
      </c>
      <c r="AO22" s="0" t="n">
        <f aca="false">MIN(AO19,AO20+AO21)</f>
        <v>0</v>
      </c>
      <c r="AP22" s="0" t="n">
        <f aca="false">MIN(AP19,AP20+AP21)</f>
        <v>0</v>
      </c>
    </row>
    <row r="23" customFormat="false" ht="15" hidden="false" customHeight="false" outlineLevel="0" collapsed="false">
      <c r="A23" s="0" t="s">
        <v>38</v>
      </c>
      <c r="B23" s="0" t="n">
        <f aca="false">B19-B22</f>
        <v>0</v>
      </c>
      <c r="C23" s="0" t="n">
        <f aca="false">C19-C22</f>
        <v>0</v>
      </c>
      <c r="D23" s="0" t="n">
        <f aca="false">D19-D22</f>
        <v>0</v>
      </c>
      <c r="E23" s="0" t="n">
        <f aca="false">E19-E22</f>
        <v>0</v>
      </c>
      <c r="F23" s="0" t="n">
        <f aca="false">F19-F22</f>
        <v>0</v>
      </c>
      <c r="G23" s="0" t="n">
        <f aca="false">G19-G22</f>
        <v>0</v>
      </c>
      <c r="H23" s="0" t="n">
        <f aca="false">H19-H22</f>
        <v>0</v>
      </c>
      <c r="I23" s="0" t="n">
        <f aca="false">I19-I22</f>
        <v>0</v>
      </c>
      <c r="J23" s="0" t="n">
        <f aca="false">J19-J22</f>
        <v>0</v>
      </c>
      <c r="K23" s="0" t="n">
        <f aca="false">K19-K22</f>
        <v>0</v>
      </c>
      <c r="L23" s="0" t="n">
        <f aca="false">L19-L22</f>
        <v>0</v>
      </c>
      <c r="M23" s="0" t="n">
        <f aca="false">M19-M22</f>
        <v>0</v>
      </c>
      <c r="N23" s="0" t="n">
        <f aca="false">N19-N22</f>
        <v>0</v>
      </c>
      <c r="O23" s="0" t="n">
        <f aca="false">O19-O22</f>
        <v>0</v>
      </c>
      <c r="P23" s="0" t="n">
        <f aca="false">P19-P22</f>
        <v>0</v>
      </c>
      <c r="Q23" s="0" t="n">
        <f aca="false">Q19-Q22</f>
        <v>0</v>
      </c>
      <c r="R23" s="0" t="n">
        <f aca="false">R19-R22</f>
        <v>0</v>
      </c>
      <c r="S23" s="0" t="n">
        <f aca="false">S19-S22</f>
        <v>0</v>
      </c>
      <c r="T23" s="0" t="n">
        <f aca="false">T19-T22</f>
        <v>0</v>
      </c>
      <c r="U23" s="0" t="n">
        <f aca="false">U19-U22</f>
        <v>0</v>
      </c>
      <c r="V23" s="0" t="n">
        <f aca="false">V19-V22</f>
        <v>0</v>
      </c>
      <c r="W23" s="0" t="n">
        <f aca="false">W19-W22</f>
        <v>0</v>
      </c>
      <c r="X23" s="0" t="n">
        <f aca="false">X19-X22</f>
        <v>0</v>
      </c>
      <c r="Y23" s="0" t="n">
        <f aca="false">Y19-Y22</f>
        <v>0</v>
      </c>
      <c r="Z23" s="0" t="n">
        <f aca="false">Z19-Z22</f>
        <v>0</v>
      </c>
      <c r="AA23" s="0" t="n">
        <f aca="false">AA19-AA22</f>
        <v>0</v>
      </c>
      <c r="AB23" s="0" t="n">
        <f aca="false">AB19-AB22</f>
        <v>0</v>
      </c>
      <c r="AC23" s="0" t="n">
        <f aca="false">AC19-AC22</f>
        <v>0</v>
      </c>
      <c r="AD23" s="0" t="n">
        <f aca="false">AD19-AD22</f>
        <v>0</v>
      </c>
      <c r="AE23" s="0" t="n">
        <f aca="false">AE19-AE22</f>
        <v>0</v>
      </c>
      <c r="AF23" s="0" t="n">
        <f aca="false">AF19-AF22</f>
        <v>0</v>
      </c>
      <c r="AG23" s="0" t="n">
        <f aca="false">AG19-AG22</f>
        <v>0</v>
      </c>
      <c r="AH23" s="0" t="n">
        <f aca="false">AH19-AH22</f>
        <v>0</v>
      </c>
      <c r="AI23" s="0" t="n">
        <f aca="false">AI19-AI22</f>
        <v>0</v>
      </c>
      <c r="AJ23" s="0" t="n">
        <f aca="false">AJ19-AJ22</f>
        <v>0</v>
      </c>
      <c r="AK23" s="0" t="n">
        <f aca="false">AK19-AK22</f>
        <v>0</v>
      </c>
      <c r="AL23" s="0" t="n">
        <f aca="false">AL19-AL22</f>
        <v>0</v>
      </c>
      <c r="AM23" s="0" t="n">
        <f aca="false">AM19-AM22</f>
        <v>0</v>
      </c>
      <c r="AN23" s="0" t="n">
        <f aca="false">AN19-AN22</f>
        <v>0</v>
      </c>
      <c r="AO23" s="0" t="n">
        <f aca="false">AO19-AO22</f>
        <v>0</v>
      </c>
      <c r="AP23" s="0" t="n">
        <f aca="false">AP19-AP22</f>
        <v>0</v>
      </c>
    </row>
    <row r="24" customFormat="false" ht="15" hidden="false" customHeight="false" outlineLevel="0" collapsed="false">
      <c r="A24" s="0" t="s">
        <v>39</v>
      </c>
      <c r="B24" s="0" t="n">
        <f aca="false">IF(AND(AND(B$3&gt;=1,B$3&lt;=Inputs!$B$8),B12&lt;Inputs!$B$14),1,0)</f>
        <v>0</v>
      </c>
      <c r="C24" s="0" t="n">
        <f aca="false">IF(AND(AND(C$3&gt;=1,C$3&lt;=Inputs!$B$8),C12&lt;Inputs!$B$14),1,0)</f>
        <v>0</v>
      </c>
      <c r="D24" s="0" t="n">
        <f aca="false">IF(AND(AND(D$3&gt;=1,D$3&lt;=Inputs!$B$8),D12&lt;Inputs!$B$14),1,0)</f>
        <v>0</v>
      </c>
      <c r="E24" s="0" t="n">
        <f aca="false">IF(AND(AND(E$3&gt;=1,E$3&lt;=Inputs!$B$8),E12&lt;Inputs!$B$14),1,0)</f>
        <v>0</v>
      </c>
      <c r="F24" s="0" t="n">
        <f aca="false">IF(AND(AND(F$3&gt;=1,F$3&lt;=Inputs!$B$8),F12&lt;Inputs!$B$14),1,0)</f>
        <v>0</v>
      </c>
      <c r="G24" s="0" t="n">
        <f aca="false">IF(AND(AND(G$3&gt;=1,G$3&lt;=Inputs!$B$8),G12&lt;Inputs!$B$14),1,0)</f>
        <v>0</v>
      </c>
      <c r="H24" s="0" t="n">
        <f aca="false">IF(AND(AND(H$3&gt;=1,H$3&lt;=Inputs!$B$8),H12&lt;Inputs!$B$14),1,0)</f>
        <v>0</v>
      </c>
      <c r="I24" s="0" t="n">
        <f aca="false">IF(AND(AND(I$3&gt;=1,I$3&lt;=Inputs!$B$8),I12&lt;Inputs!$B$14),1,0)</f>
        <v>0</v>
      </c>
      <c r="J24" s="0" t="n">
        <f aca="false">IF(AND(AND(J$3&gt;=1,J$3&lt;=Inputs!$B$8),J12&lt;Inputs!$B$14),1,0)</f>
        <v>0</v>
      </c>
      <c r="K24" s="0" t="n">
        <f aca="false">IF(AND(AND(K$3&gt;=1,K$3&lt;=Inputs!$B$8),K12&lt;Inputs!$B$14),1,0)</f>
        <v>0</v>
      </c>
      <c r="L24" s="0" t="n">
        <f aca="false">IF(AND(AND(L$3&gt;=1,L$3&lt;=Inputs!$B$8),L12&lt;Inputs!$B$14),1,0)</f>
        <v>0</v>
      </c>
      <c r="M24" s="0" t="n">
        <f aca="false">IF(AND(AND(M$3&gt;=1,M$3&lt;=Inputs!$B$8),M12&lt;Inputs!$B$14),1,0)</f>
        <v>0</v>
      </c>
      <c r="N24" s="0" t="n">
        <f aca="false">IF(AND(AND(N$3&gt;=1,N$3&lt;=Inputs!$B$8),N12&lt;Inputs!$B$14),1,0)</f>
        <v>0</v>
      </c>
      <c r="O24" s="0" t="n">
        <f aca="false">IF(AND(AND(O$3&gt;=1,O$3&lt;=Inputs!$B$8),O12&lt;Inputs!$B$14),1,0)</f>
        <v>0</v>
      </c>
      <c r="P24" s="0" t="n">
        <f aca="false">IF(AND(AND(P$3&gt;=1,P$3&lt;=Inputs!$B$8),P12&lt;Inputs!$B$14),1,0)</f>
        <v>0</v>
      </c>
      <c r="Q24" s="0" t="n">
        <f aca="false">IF(AND(AND(Q$3&gt;=1,Q$3&lt;=Inputs!$B$8),Q12&lt;Inputs!$B$14),1,0)</f>
        <v>0</v>
      </c>
      <c r="R24" s="0" t="n">
        <f aca="false">IF(AND(AND(R$3&gt;=1,R$3&lt;=Inputs!$B$8),R12&lt;Inputs!$B$14),1,0)</f>
        <v>0</v>
      </c>
      <c r="S24" s="0" t="n">
        <f aca="false">IF(AND(AND(S$3&gt;=1,S$3&lt;=Inputs!$B$8),S12&lt;Inputs!$B$14),1,0)</f>
        <v>0</v>
      </c>
      <c r="T24" s="0" t="n">
        <f aca="false">IF(AND(AND(T$3&gt;=1,T$3&lt;=Inputs!$B$8),T12&lt;Inputs!$B$14),1,0)</f>
        <v>0</v>
      </c>
      <c r="U24" s="0" t="n">
        <f aca="false">IF(AND(AND(U$3&gt;=1,U$3&lt;=Inputs!$B$8),U12&lt;Inputs!$B$14),1,0)</f>
        <v>0</v>
      </c>
      <c r="V24" s="0" t="n">
        <f aca="false">IF(AND(AND(V$3&gt;=1,V$3&lt;=Inputs!$B$8),V12&lt;Inputs!$B$14),1,0)</f>
        <v>0</v>
      </c>
      <c r="W24" s="0" t="n">
        <f aca="false">IF(AND(AND(W$3&gt;=1,W$3&lt;=Inputs!$B$8),W12&lt;Inputs!$B$14),1,0)</f>
        <v>0</v>
      </c>
      <c r="X24" s="0" t="n">
        <f aca="false">IF(AND(AND(X$3&gt;=1,X$3&lt;=Inputs!$B$8),X12&lt;Inputs!$B$14),1,0)</f>
        <v>0</v>
      </c>
      <c r="Y24" s="0" t="n">
        <f aca="false">IF(AND(AND(Y$3&gt;=1,Y$3&lt;=Inputs!$B$8),Y12&lt;Inputs!$B$14),1,0)</f>
        <v>0</v>
      </c>
      <c r="Z24" s="0" t="n">
        <f aca="false">IF(AND(AND(Z$3&gt;=1,Z$3&lt;=Inputs!$B$8),Z12&lt;Inputs!$B$14),1,0)</f>
        <v>0</v>
      </c>
      <c r="AA24" s="0" t="n">
        <f aca="false">IF(AND(AND(AA$3&gt;=1,AA$3&lt;=Inputs!$B$8),AA12&lt;Inputs!$B$14),1,0)</f>
        <v>0</v>
      </c>
      <c r="AB24" s="0" t="n">
        <f aca="false">IF(AND(AND(AB$3&gt;=1,AB$3&lt;=Inputs!$B$8),AB12&lt;Inputs!$B$14),1,0)</f>
        <v>0</v>
      </c>
      <c r="AC24" s="0" t="n">
        <f aca="false">IF(AND(AND(AC$3&gt;=1,AC$3&lt;=Inputs!$B$8),AC12&lt;Inputs!$B$14),1,0)</f>
        <v>0</v>
      </c>
      <c r="AD24" s="0" t="n">
        <f aca="false">IF(AND(AND(AD$3&gt;=1,AD$3&lt;=Inputs!$B$8),AD12&lt;Inputs!$B$14),1,0)</f>
        <v>0</v>
      </c>
      <c r="AE24" s="0" t="n">
        <f aca="false">IF(AND(AND(AE$3&gt;=1,AE$3&lt;=Inputs!$B$8),AE12&lt;Inputs!$B$14),1,0)</f>
        <v>0</v>
      </c>
      <c r="AF24" s="0" t="n">
        <f aca="false">IF(AND(AND(AF$3&gt;=1,AF$3&lt;=Inputs!$B$8),AF12&lt;Inputs!$B$14),1,0)</f>
        <v>0</v>
      </c>
      <c r="AG24" s="0" t="n">
        <f aca="false">IF(AND(AND(AG$3&gt;=1,AG$3&lt;=Inputs!$B$8),AG12&lt;Inputs!$B$14),1,0)</f>
        <v>0</v>
      </c>
      <c r="AH24" s="0" t="n">
        <f aca="false">IF(AND(AND(AH$3&gt;=1,AH$3&lt;=Inputs!$B$8),AH12&lt;Inputs!$B$14),1,0)</f>
        <v>0</v>
      </c>
      <c r="AI24" s="0" t="n">
        <f aca="false">IF(AND(AND(AI$3&gt;=1,AI$3&lt;=Inputs!$B$8),AI12&lt;Inputs!$B$14),1,0)</f>
        <v>0</v>
      </c>
      <c r="AJ24" s="0" t="n">
        <f aca="false">IF(AND(AND(AJ$3&gt;=1,AJ$3&lt;=Inputs!$B$8),AJ12&lt;Inputs!$B$14),1,0)</f>
        <v>0</v>
      </c>
      <c r="AK24" s="0" t="n">
        <f aca="false">IF(AND(AND(AK$3&gt;=1,AK$3&lt;=Inputs!$B$8),AK12&lt;Inputs!$B$14),1,0)</f>
        <v>0</v>
      </c>
      <c r="AL24" s="0" t="n">
        <f aca="false">IF(AND(AND(AL$3&gt;=1,AL$3&lt;=Inputs!$B$8),AL12&lt;Inputs!$B$14),1,0)</f>
        <v>0</v>
      </c>
      <c r="AM24" s="0" t="n">
        <f aca="false">IF(AND(AND(AM$3&gt;=1,AM$3&lt;=Inputs!$B$8),AM12&lt;Inputs!$B$14),1,0)</f>
        <v>0</v>
      </c>
      <c r="AN24" s="0" t="n">
        <f aca="false">IF(AND(AND(AN$3&gt;=1,AN$3&lt;=Inputs!$B$8),AN12&lt;Inputs!$B$14),1,0)</f>
        <v>0</v>
      </c>
      <c r="AO24" s="0" t="n">
        <f aca="false">IF(AND(AND(AO$3&gt;=1,AO$3&lt;=Inputs!$B$8),AO12&lt;Inputs!$B$14),1,0)</f>
        <v>0</v>
      </c>
      <c r="AP24" s="0" t="n">
        <f aca="false">IF(AND(AND(AP$3&gt;=1,AP$3&lt;=Inputs!$B$8),AP12&lt;Inputs!$B$14),1,0)</f>
        <v>0</v>
      </c>
    </row>
    <row r="25" customFormat="false" ht="15" hidden="false" customHeight="false" outlineLevel="0" collapsed="false">
      <c r="A25" s="0" t="s">
        <v>40</v>
      </c>
      <c r="B25" s="0" t="n">
        <f aca="false">MIN(B24*B23,B8-B10)</f>
        <v>0</v>
      </c>
      <c r="C25" s="0" t="n">
        <f aca="false">MIN(C24*C23,C8-C10)</f>
        <v>0</v>
      </c>
      <c r="D25" s="0" t="n">
        <f aca="false">MIN(D24*D23,D8-D10)</f>
        <v>0</v>
      </c>
      <c r="E25" s="0" t="n">
        <f aca="false">MIN(E24*E23,E8-E10)</f>
        <v>0</v>
      </c>
      <c r="F25" s="0" t="n">
        <f aca="false">MIN(F24*F23,F8-F10)</f>
        <v>0</v>
      </c>
      <c r="G25" s="0" t="n">
        <f aca="false">MIN(G24*G23,G8-G10)</f>
        <v>0</v>
      </c>
      <c r="H25" s="0" t="n">
        <f aca="false">MIN(H24*H23,H8-H10)</f>
        <v>0</v>
      </c>
      <c r="I25" s="0" t="n">
        <f aca="false">MIN(I24*I23,I8-I10)</f>
        <v>0</v>
      </c>
      <c r="J25" s="0" t="n">
        <f aca="false">MIN(J24*J23,J8-J10)</f>
        <v>0</v>
      </c>
      <c r="K25" s="0" t="n">
        <f aca="false">MIN(K24*K23,K8-K10)</f>
        <v>0</v>
      </c>
      <c r="L25" s="0" t="n">
        <f aca="false">MIN(L24*L23,L8-L10)</f>
        <v>0</v>
      </c>
      <c r="M25" s="0" t="n">
        <f aca="false">MIN(M24*M23,M8-M10)</f>
        <v>0</v>
      </c>
      <c r="N25" s="0" t="n">
        <f aca="false">MIN(N24*N23,N8-N10)</f>
        <v>0</v>
      </c>
      <c r="O25" s="0" t="n">
        <f aca="false">MIN(O24*O23,O8-O10)</f>
        <v>0</v>
      </c>
      <c r="P25" s="0" t="n">
        <f aca="false">MIN(P24*P23,P8-P10)</f>
        <v>0</v>
      </c>
      <c r="Q25" s="0" t="n">
        <f aca="false">MIN(Q24*Q23,Q8-Q10)</f>
        <v>0</v>
      </c>
      <c r="R25" s="0" t="n">
        <f aca="false">MIN(R24*R23,R8-R10)</f>
        <v>0</v>
      </c>
      <c r="S25" s="0" t="n">
        <f aca="false">MIN(S24*S23,S8-S10)</f>
        <v>0</v>
      </c>
      <c r="T25" s="0" t="n">
        <f aca="false">MIN(T24*T23,T8-T10)</f>
        <v>0</v>
      </c>
      <c r="U25" s="0" t="n">
        <f aca="false">MIN(U24*U23,U8-U10)</f>
        <v>0</v>
      </c>
      <c r="V25" s="0" t="n">
        <f aca="false">MIN(V24*V23,V8-V10)</f>
        <v>0</v>
      </c>
      <c r="W25" s="0" t="n">
        <f aca="false">MIN(W24*W23,W8-W10)</f>
        <v>0</v>
      </c>
      <c r="X25" s="0" t="n">
        <f aca="false">MIN(X24*X23,X8-X10)</f>
        <v>0</v>
      </c>
      <c r="Y25" s="0" t="n">
        <f aca="false">MIN(Y24*Y23,Y8-Y10)</f>
        <v>0</v>
      </c>
      <c r="Z25" s="0" t="n">
        <f aca="false">MIN(Z24*Z23,Z8-Z10)</f>
        <v>0</v>
      </c>
      <c r="AA25" s="0" t="n">
        <f aca="false">MIN(AA24*AA23,AA8-AA10)</f>
        <v>0</v>
      </c>
      <c r="AB25" s="0" t="n">
        <f aca="false">MIN(AB24*AB23,AB8-AB10)</f>
        <v>0</v>
      </c>
      <c r="AC25" s="0" t="n">
        <f aca="false">MIN(AC24*AC23,AC8-AC10)</f>
        <v>0</v>
      </c>
      <c r="AD25" s="0" t="n">
        <f aca="false">MIN(AD24*AD23,AD8-AD10)</f>
        <v>0</v>
      </c>
      <c r="AE25" s="0" t="n">
        <f aca="false">MIN(AE24*AE23,AE8-AE10)</f>
        <v>0</v>
      </c>
      <c r="AF25" s="0" t="n">
        <f aca="false">MIN(AF24*AF23,AF8-AF10)</f>
        <v>0</v>
      </c>
      <c r="AG25" s="0" t="n">
        <f aca="false">MIN(AG24*AG23,AG8-AG10)</f>
        <v>0</v>
      </c>
      <c r="AH25" s="0" t="n">
        <f aca="false">MIN(AH24*AH23,AH8-AH10)</f>
        <v>0</v>
      </c>
      <c r="AI25" s="0" t="n">
        <f aca="false">MIN(AI24*AI23,AI8-AI10)</f>
        <v>0</v>
      </c>
      <c r="AJ25" s="0" t="n">
        <f aca="false">MIN(AJ24*AJ23,AJ8-AJ10)</f>
        <v>0</v>
      </c>
      <c r="AK25" s="0" t="n">
        <f aca="false">MIN(AK24*AK23,AK8-AK10)</f>
        <v>0</v>
      </c>
      <c r="AL25" s="0" t="n">
        <f aca="false">MIN(AL24*AL23,AL8-AL10)</f>
        <v>0</v>
      </c>
      <c r="AM25" s="0" t="n">
        <f aca="false">MIN(AM24*AM23,AM8-AM10)</f>
        <v>0</v>
      </c>
      <c r="AN25" s="0" t="n">
        <f aca="false">MIN(AN24*AN23,AN8-AN10)</f>
        <v>0</v>
      </c>
      <c r="AO25" s="0" t="n">
        <f aca="false">MIN(AO24*AO23,AO8-AO10)</f>
        <v>0</v>
      </c>
      <c r="AP25" s="0" t="n">
        <f aca="false">MIN(AP24*AP23,AP8-AP10)</f>
        <v>0</v>
      </c>
    </row>
    <row r="26" customFormat="false" ht="15" hidden="false" customHeight="false" outlineLevel="0" collapsed="false">
      <c r="A26" s="0" t="s">
        <v>41</v>
      </c>
      <c r="B26" s="0" t="n">
        <f aca="false">B23-B25</f>
        <v>0</v>
      </c>
      <c r="C26" s="0" t="n">
        <f aca="false">C23-C25</f>
        <v>0</v>
      </c>
      <c r="D26" s="0" t="n">
        <f aca="false">D23-D25</f>
        <v>0</v>
      </c>
      <c r="E26" s="0" t="n">
        <f aca="false">E23-E25</f>
        <v>0</v>
      </c>
      <c r="F26" s="0" t="n">
        <f aca="false">F23-F25</f>
        <v>0</v>
      </c>
      <c r="G26" s="0" t="n">
        <f aca="false">G23-G25</f>
        <v>0</v>
      </c>
      <c r="H26" s="0" t="n">
        <f aca="false">H23-H25</f>
        <v>0</v>
      </c>
      <c r="I26" s="0" t="n">
        <f aca="false">I23-I25</f>
        <v>0</v>
      </c>
      <c r="J26" s="0" t="n">
        <f aca="false">J23-J25</f>
        <v>0</v>
      </c>
      <c r="K26" s="0" t="n">
        <f aca="false">K23-K25</f>
        <v>0</v>
      </c>
      <c r="L26" s="0" t="n">
        <f aca="false">L23-L25</f>
        <v>0</v>
      </c>
      <c r="M26" s="0" t="n">
        <f aca="false">M23-M25</f>
        <v>0</v>
      </c>
      <c r="N26" s="0" t="n">
        <f aca="false">N23-N25</f>
        <v>0</v>
      </c>
      <c r="O26" s="0" t="n">
        <f aca="false">O23-O25</f>
        <v>0</v>
      </c>
      <c r="P26" s="0" t="n">
        <f aca="false">P23-P25</f>
        <v>0</v>
      </c>
      <c r="Q26" s="0" t="n">
        <f aca="false">Q23-Q25</f>
        <v>0</v>
      </c>
      <c r="R26" s="0" t="n">
        <f aca="false">R23-R25</f>
        <v>0</v>
      </c>
      <c r="S26" s="0" t="n">
        <f aca="false">S23-S25</f>
        <v>0</v>
      </c>
      <c r="T26" s="0" t="n">
        <f aca="false">T23-T25</f>
        <v>0</v>
      </c>
      <c r="U26" s="0" t="n">
        <f aca="false">U23-U25</f>
        <v>0</v>
      </c>
      <c r="V26" s="0" t="n">
        <f aca="false">V23-V25</f>
        <v>0</v>
      </c>
      <c r="W26" s="0" t="n">
        <f aca="false">W23-W25</f>
        <v>0</v>
      </c>
      <c r="X26" s="0" t="n">
        <f aca="false">X23-X25</f>
        <v>0</v>
      </c>
      <c r="Y26" s="0" t="n">
        <f aca="false">Y23-Y25</f>
        <v>0</v>
      </c>
      <c r="Z26" s="0" t="n">
        <f aca="false">Z23-Z25</f>
        <v>0</v>
      </c>
      <c r="AA26" s="0" t="n">
        <f aca="false">AA23-AA25</f>
        <v>0</v>
      </c>
      <c r="AB26" s="0" t="n">
        <f aca="false">AB23-AB25</f>
        <v>0</v>
      </c>
      <c r="AC26" s="0" t="n">
        <f aca="false">AC23-AC25</f>
        <v>0</v>
      </c>
      <c r="AD26" s="0" t="n">
        <f aca="false">AD23-AD25</f>
        <v>0</v>
      </c>
      <c r="AE26" s="0" t="n">
        <f aca="false">AE23-AE25</f>
        <v>0</v>
      </c>
      <c r="AF26" s="0" t="n">
        <f aca="false">AF23-AF25</f>
        <v>0</v>
      </c>
      <c r="AG26" s="0" t="n">
        <f aca="false">AG23-AG25</f>
        <v>0</v>
      </c>
      <c r="AH26" s="0" t="n">
        <f aca="false">AH23-AH25</f>
        <v>0</v>
      </c>
      <c r="AI26" s="0" t="n">
        <f aca="false">AI23-AI25</f>
        <v>0</v>
      </c>
      <c r="AJ26" s="0" t="n">
        <f aca="false">AJ23-AJ25</f>
        <v>0</v>
      </c>
      <c r="AK26" s="0" t="n">
        <f aca="false">AK23-AK25</f>
        <v>0</v>
      </c>
      <c r="AL26" s="0" t="n">
        <f aca="false">AL23-AL25</f>
        <v>0</v>
      </c>
      <c r="AM26" s="0" t="n">
        <f aca="false">AM23-AM25</f>
        <v>0</v>
      </c>
      <c r="AN26" s="0" t="n">
        <f aca="false">AN23-AN25</f>
        <v>0</v>
      </c>
      <c r="AO26" s="0" t="n">
        <f aca="false">AO23-AO25</f>
        <v>0</v>
      </c>
      <c r="AP26" s="0" t="n">
        <f aca="false">AP23-AP25</f>
        <v>0</v>
      </c>
    </row>
    <row r="27" customFormat="false" ht="15" hidden="false" customHeight="false" outlineLevel="0" collapsed="false">
      <c r="A27" s="0" t="s">
        <v>42</v>
      </c>
      <c r="B27" s="0" t="n">
        <f aca="false">Inputs!$B$3*Inputs!$B$11</f>
        <v>137500000</v>
      </c>
      <c r="C27" s="0" t="n">
        <f aca="false">IF(C$3&gt;=Inputs!$B$8,0,C8-C10-C25)</f>
        <v>137156250</v>
      </c>
      <c r="D27" s="0" t="n">
        <f aca="false">IF(D$3&gt;=Inputs!$B$8,0,D8-D10-D25)</f>
        <v>136812500</v>
      </c>
      <c r="E27" s="0" t="n">
        <f aca="false">IF(E$3&gt;=Inputs!$B$8,0,E8-E10-E25)</f>
        <v>136468750</v>
      </c>
      <c r="F27" s="0" t="n">
        <f aca="false">IF(F$3&gt;=Inputs!$B$8,0,F8-F10-F25)</f>
        <v>136125000</v>
      </c>
      <c r="G27" s="0" t="n">
        <f aca="false">IF(G$3&gt;=Inputs!$B$8,0,G8-G10-G25)</f>
        <v>135781250</v>
      </c>
      <c r="H27" s="0" t="n">
        <f aca="false">IF(H$3&gt;=Inputs!$B$8,0,H8-H10-H25)</f>
        <v>135437500</v>
      </c>
      <c r="I27" s="0" t="n">
        <f aca="false">IF(I$3&gt;=Inputs!$B$8,0,I8-I10-I25)</f>
        <v>135093750</v>
      </c>
      <c r="J27" s="0" t="n">
        <f aca="false">IF(J$3&gt;=Inputs!$B$8,0,J8-J10-J25)</f>
        <v>134750000</v>
      </c>
      <c r="K27" s="0" t="n">
        <f aca="false">IF(K$3&gt;=Inputs!$B$8,0,K8-K10-K25)</f>
        <v>134406250</v>
      </c>
      <c r="L27" s="0" t="n">
        <f aca="false">IF(L$3&gt;=Inputs!$B$8,0,L8-L10-L25)</f>
        <v>134062500</v>
      </c>
      <c r="M27" s="0" t="n">
        <f aca="false">IF(M$3&gt;=Inputs!$B$8,0,M8-M10-M25)</f>
        <v>133718750</v>
      </c>
      <c r="N27" s="0" t="n">
        <f aca="false">IF(N$3&gt;=Inputs!$B$8,0,N8-N10-N25)</f>
        <v>133375000</v>
      </c>
      <c r="O27" s="0" t="n">
        <f aca="false">IF(O$3&gt;=Inputs!$B$8,0,O8-O10-O25)</f>
        <v>133031250</v>
      </c>
      <c r="P27" s="0" t="n">
        <f aca="false">IF(P$3&gt;=Inputs!$B$8,0,P8-P10-P25)</f>
        <v>132687500</v>
      </c>
      <c r="Q27" s="0" t="n">
        <f aca="false">IF(Q$3&gt;=Inputs!$B$8,0,Q8-Q10-Q25)</f>
        <v>132343750</v>
      </c>
      <c r="R27" s="0" t="n">
        <f aca="false">IF(R$3&gt;=Inputs!$B$8,0,R8-R10-R25)</f>
        <v>132000000</v>
      </c>
      <c r="S27" s="0" t="n">
        <f aca="false">IF(S$3&gt;=Inputs!$B$8,0,S8-S10-S25)</f>
        <v>131656250</v>
      </c>
      <c r="T27" s="0" t="n">
        <f aca="false">IF(T$3&gt;=Inputs!$B$8,0,T8-T10-T25)</f>
        <v>131312500</v>
      </c>
      <c r="U27" s="0" t="n">
        <f aca="false">IF(U$3&gt;=Inputs!$B$8,0,U8-U10-U25)</f>
        <v>130968750</v>
      </c>
      <c r="V27" s="0" t="n">
        <f aca="false">IF(V$3&gt;=Inputs!$B$8,0,V8-V10-V25)</f>
        <v>130625000</v>
      </c>
      <c r="W27" s="0" t="n">
        <f aca="false">IF(W$3&gt;=Inputs!$B$8,0,W8-W10-W25)</f>
        <v>130281250</v>
      </c>
      <c r="X27" s="0" t="n">
        <f aca="false">IF(X$3&gt;=Inputs!$B$8,0,X8-X10-X25)</f>
        <v>129937500</v>
      </c>
      <c r="Y27" s="0" t="n">
        <f aca="false">IF(Y$3&gt;=Inputs!$B$8,0,Y8-Y10-Y25)</f>
        <v>129593750</v>
      </c>
      <c r="Z27" s="0" t="n">
        <f aca="false">IF(Z$3&gt;=Inputs!$B$8,0,Z8-Z10-Z25)</f>
        <v>129250000</v>
      </c>
      <c r="AA27" s="0" t="n">
        <f aca="false">IF(AA$3&gt;=Inputs!$B$8,0,AA8-AA10-AA25)</f>
        <v>128906250</v>
      </c>
      <c r="AB27" s="0" t="n">
        <f aca="false">IF(AB$3&gt;=Inputs!$B$8,0,AB8-AB10-AB25)</f>
        <v>128562500</v>
      </c>
      <c r="AC27" s="0" t="n">
        <f aca="false">IF(AC$3&gt;=Inputs!$B$8,0,AC8-AC10-AC25)</f>
        <v>128218750</v>
      </c>
      <c r="AD27" s="0" t="n">
        <f aca="false">IF(AD$3&gt;=Inputs!$B$8,0,AD8-AD10-AD25)</f>
        <v>0</v>
      </c>
      <c r="AE27" s="0" t="n">
        <f aca="false">IF(AE$3&gt;=Inputs!$B$8,0,AE8-AE10-AE25)</f>
        <v>0</v>
      </c>
      <c r="AF27" s="0" t="n">
        <f aca="false">IF(AF$3&gt;=Inputs!$B$8,0,AF8-AF10-AF25)</f>
        <v>0</v>
      </c>
      <c r="AG27" s="0" t="n">
        <f aca="false">IF(AG$3&gt;=Inputs!$B$8,0,AG8-AG10-AG25)</f>
        <v>0</v>
      </c>
      <c r="AH27" s="0" t="n">
        <f aca="false">IF(AH$3&gt;=Inputs!$B$8,0,AH8-AH10-AH25)</f>
        <v>0</v>
      </c>
      <c r="AI27" s="0" t="n">
        <f aca="false">IF(AI$3&gt;=Inputs!$B$8,0,AI8-AI10-AI25)</f>
        <v>0</v>
      </c>
      <c r="AJ27" s="0" t="n">
        <f aca="false">IF(AJ$3&gt;=Inputs!$B$8,0,AJ8-AJ10-AJ25)</f>
        <v>0</v>
      </c>
      <c r="AK27" s="0" t="n">
        <f aca="false">IF(AK$3&gt;=Inputs!$B$8,0,AK8-AK10-AK25)</f>
        <v>0</v>
      </c>
      <c r="AL27" s="0" t="n">
        <f aca="false">IF(AL$3&gt;=Inputs!$B$8,0,AL8-AL10-AL25)</f>
        <v>0</v>
      </c>
      <c r="AM27" s="0" t="n">
        <f aca="false">IF(AM$3&gt;=Inputs!$B$8,0,AM8-AM10-AM25)</f>
        <v>0</v>
      </c>
      <c r="AN27" s="0" t="n">
        <f aca="false">IF(AN$3&gt;=Inputs!$B$8,0,AN8-AN10-AN25)</f>
        <v>0</v>
      </c>
      <c r="AO27" s="0" t="n">
        <f aca="false">IF(AO$3&gt;=Inputs!$B$8,0,AO8-AO10-AO25)</f>
        <v>0</v>
      </c>
      <c r="AP27" s="0" t="n">
        <f aca="false">IF(AP$3&gt;=Inputs!$B$8,0,AP8-AP10-AP25)</f>
        <v>0</v>
      </c>
    </row>
    <row r="28" customFormat="false" ht="15" hidden="false" customHeight="false" outlineLevel="0" collapsed="false">
      <c r="A28" s="0" t="s">
        <v>43</v>
      </c>
      <c r="B28" s="0" t="n">
        <f aca="false">Inputs!$B$3*Inputs!$B$15</f>
        <v>37500000</v>
      </c>
      <c r="C28" s="0" t="n">
        <f aca="false">IF(C$3&gt;=Inputs!$B$8,0,C15+C18)</f>
        <v>37715193.75</v>
      </c>
      <c r="D28" s="0" t="n">
        <f aca="false">IF(D$3&gt;=Inputs!$B$8,0,D15+D18)</f>
        <v>37870034.4952988</v>
      </c>
      <c r="E28" s="0" t="n">
        <f aca="false">IF(E$3&gt;=Inputs!$B$8,0,E15+E18)</f>
        <v>37966572.0561963</v>
      </c>
      <c r="F28" s="0" t="n">
        <f aca="false">IF(F$3&gt;=Inputs!$B$8,0,F15+F18)</f>
        <v>38006405.0419149</v>
      </c>
      <c r="G28" s="0" t="n">
        <f aca="false">IF(G$3&gt;=Inputs!$B$8,0,G15+G18)</f>
        <v>38006405.0419149</v>
      </c>
      <c r="H28" s="0" t="n">
        <f aca="false">IF(H$3&gt;=Inputs!$B$8,0,H15+H18)</f>
        <v>38006405.0419149</v>
      </c>
      <c r="I28" s="0" t="n">
        <f aca="false">IF(I$3&gt;=Inputs!$B$8,0,I15+I18)</f>
        <v>38006405.0419149</v>
      </c>
      <c r="J28" s="0" t="n">
        <f aca="false">IF(J$3&gt;=Inputs!$B$8,0,J15+J18)</f>
        <v>38006405.0419149</v>
      </c>
      <c r="K28" s="0" t="n">
        <f aca="false">IF(K$3&gt;=Inputs!$B$8,0,K15+K18)</f>
        <v>38006405.0419149</v>
      </c>
      <c r="L28" s="0" t="n">
        <f aca="false">IF(L$3&gt;=Inputs!$B$8,0,L15+L18)</f>
        <v>38006405.0419149</v>
      </c>
      <c r="M28" s="0" t="n">
        <f aca="false">IF(M$3&gt;=Inputs!$B$8,0,M15+M18)</f>
        <v>38006405.0419149</v>
      </c>
      <c r="N28" s="0" t="n">
        <f aca="false">IF(N$3&gt;=Inputs!$B$8,0,N15+N18)</f>
        <v>38006405.0419149</v>
      </c>
      <c r="O28" s="0" t="n">
        <f aca="false">IF(O$3&gt;=Inputs!$B$8,0,O15+O18)</f>
        <v>38006405.0419149</v>
      </c>
      <c r="P28" s="0" t="n">
        <f aca="false">IF(P$3&gt;=Inputs!$B$8,0,P15+P18)</f>
        <v>38006405.0419149</v>
      </c>
      <c r="Q28" s="0" t="n">
        <f aca="false">IF(Q$3&gt;=Inputs!$B$8,0,Q15+Q18)</f>
        <v>38006405.0419149</v>
      </c>
      <c r="R28" s="0" t="n">
        <f aca="false">IF(R$3&gt;=Inputs!$B$8,0,R15+R18)</f>
        <v>38006405.0419149</v>
      </c>
      <c r="S28" s="0" t="n">
        <f aca="false">IF(S$3&gt;=Inputs!$B$8,0,S15+S18)</f>
        <v>38006405.0419149</v>
      </c>
      <c r="T28" s="0" t="n">
        <f aca="false">IF(T$3&gt;=Inputs!$B$8,0,T15+T18)</f>
        <v>38006405.0419149</v>
      </c>
      <c r="U28" s="0" t="n">
        <f aca="false">IF(U$3&gt;=Inputs!$B$8,0,U15+U18)</f>
        <v>38006405.0419149</v>
      </c>
      <c r="V28" s="0" t="n">
        <f aca="false">IF(V$3&gt;=Inputs!$B$8,0,V15+V18)</f>
        <v>38006405.0419149</v>
      </c>
      <c r="W28" s="0" t="n">
        <f aca="false">IF(W$3&gt;=Inputs!$B$8,0,W15+W18)</f>
        <v>38006405.0419149</v>
      </c>
      <c r="X28" s="0" t="n">
        <f aca="false">IF(X$3&gt;=Inputs!$B$8,0,X15+X18)</f>
        <v>38006405.0419149</v>
      </c>
      <c r="Y28" s="0" t="n">
        <f aca="false">IF(Y$3&gt;=Inputs!$B$8,0,Y15+Y18)</f>
        <v>38006405.0419149</v>
      </c>
      <c r="Z28" s="0" t="n">
        <f aca="false">IF(Z$3&gt;=Inputs!$B$8,0,Z15+Z18)</f>
        <v>38006405.0419149</v>
      </c>
      <c r="AA28" s="0" t="n">
        <f aca="false">IF(AA$3&gt;=Inputs!$B$8,0,AA15+AA18)</f>
        <v>38006405.0419149</v>
      </c>
      <c r="AB28" s="0" t="n">
        <f aca="false">IF(AB$3&gt;=Inputs!$B$8,0,AB15+AB18)</f>
        <v>38006405.0419149</v>
      </c>
      <c r="AC28" s="0" t="n">
        <f aca="false">IF(AC$3&gt;=Inputs!$B$8,0,AC15+AC18)</f>
        <v>38006405.0419149</v>
      </c>
      <c r="AD28" s="0" t="n">
        <f aca="false">IF(AD$3&gt;=Inputs!$B$8,0,AD15+AD18)</f>
        <v>0</v>
      </c>
      <c r="AE28" s="0" t="n">
        <f aca="false">IF(AE$3&gt;=Inputs!$B$8,0,AE15+AE18)</f>
        <v>0</v>
      </c>
      <c r="AF28" s="0" t="n">
        <f aca="false">IF(AF$3&gt;=Inputs!$B$8,0,AF15+AF18)</f>
        <v>0</v>
      </c>
      <c r="AG28" s="0" t="n">
        <f aca="false">IF(AG$3&gt;=Inputs!$B$8,0,AG15+AG18)</f>
        <v>0</v>
      </c>
      <c r="AH28" s="0" t="n">
        <f aca="false">IF(AH$3&gt;=Inputs!$B$8,0,AH15+AH18)</f>
        <v>0</v>
      </c>
      <c r="AI28" s="0" t="n">
        <f aca="false">IF(AI$3&gt;=Inputs!$B$8,0,AI15+AI18)</f>
        <v>0</v>
      </c>
      <c r="AJ28" s="0" t="n">
        <f aca="false">IF(AJ$3&gt;=Inputs!$B$8,0,AJ15+AJ18)</f>
        <v>0</v>
      </c>
      <c r="AK28" s="0" t="n">
        <f aca="false">IF(AK$3&gt;=Inputs!$B$8,0,AK15+AK18)</f>
        <v>0</v>
      </c>
      <c r="AL28" s="0" t="n">
        <f aca="false">IF(AL$3&gt;=Inputs!$B$8,0,AL15+AL18)</f>
        <v>0</v>
      </c>
      <c r="AM28" s="0" t="n">
        <f aca="false">IF(AM$3&gt;=Inputs!$B$8,0,AM15+AM18)</f>
        <v>0</v>
      </c>
      <c r="AN28" s="0" t="n">
        <f aca="false">IF(AN$3&gt;=Inputs!$B$8,0,AN15+AN18)</f>
        <v>0</v>
      </c>
      <c r="AO28" s="0" t="n">
        <f aca="false">IF(AO$3&gt;=Inputs!$B$8,0,AO15+AO18)</f>
        <v>0</v>
      </c>
      <c r="AP28" s="0" t="n">
        <f aca="false">IF(AP$3&gt;=Inputs!$B$8,0,AP15+AP18)</f>
        <v>0</v>
      </c>
    </row>
    <row r="29" customFormat="false" ht="15" hidden="false" customHeight="false" outlineLevel="0" collapsed="false">
      <c r="A29" s="0" t="s">
        <v>44</v>
      </c>
      <c r="B29" s="0" t="n">
        <f aca="false">Inputs!$B$3*Inputs!$B$17</f>
        <v>25000000</v>
      </c>
      <c r="C29" s="0" t="n">
        <f aca="false">IF(C$3&gt;=Inputs!$B$8,0,C20+C21-C22)</f>
        <v>25750000</v>
      </c>
      <c r="D29" s="0" t="n">
        <f aca="false">IF(D$3&gt;=Inputs!$B$8,0,D20+D21-D22)</f>
        <v>26522500</v>
      </c>
      <c r="E29" s="0" t="n">
        <f aca="false">IF(E$3&gt;=Inputs!$B$8,0,E20+E21-E22)</f>
        <v>27318175</v>
      </c>
      <c r="F29" s="0" t="n">
        <f aca="false">IF(F$3&gt;=Inputs!$B$8,0,F20+F21-F22)</f>
        <v>28137720.25</v>
      </c>
      <c r="G29" s="0" t="n">
        <f aca="false">IF(G$3&gt;=Inputs!$B$8,0,G20+G21-G22)</f>
        <v>28966222.1524027</v>
      </c>
      <c r="H29" s="0" t="n">
        <f aca="false">IF(H$3&gt;=Inputs!$B$8,0,H20+H21-H22)</f>
        <v>29765493.247582</v>
      </c>
      <c r="I29" s="0" t="n">
        <f aca="false">IF(I$3&gt;=Inputs!$B$8,0,I20+I21-I22)</f>
        <v>30536802.9002447</v>
      </c>
      <c r="J29" s="0" t="n">
        <f aca="false">IF(J$3&gt;=Inputs!$B$8,0,J20+J21-J22)</f>
        <v>31281135.6930937</v>
      </c>
      <c r="K29" s="0" t="n">
        <f aca="false">IF(K$3&gt;=Inputs!$B$8,0,K20+K21-K22)</f>
        <v>31999287.0275392</v>
      </c>
      <c r="L29" s="0" t="n">
        <f aca="false">IF(L$3&gt;=Inputs!$B$8,0,L20+L21-L22)</f>
        <v>32691859.4985907</v>
      </c>
      <c r="M29" s="0" t="n">
        <f aca="false">IF(M$3&gt;=Inputs!$B$8,0,M20+M21-M22)</f>
        <v>33359259.1609061</v>
      </c>
      <c r="N29" s="0" t="n">
        <f aca="false">IF(N$3&gt;=Inputs!$B$8,0,N20+N21-N22)</f>
        <v>34001725.1124188</v>
      </c>
      <c r="O29" s="0" t="n">
        <f aca="false">IF(O$3&gt;=Inputs!$B$8,0,O20+O21-O22)</f>
        <v>34619392.879444</v>
      </c>
      <c r="P29" s="0" t="n">
        <f aca="false">IF(P$3&gt;=Inputs!$B$8,0,P20+P21-P22)</f>
        <v>35212259.0704342</v>
      </c>
      <c r="Q29" s="0" t="n">
        <f aca="false">IF(Q$3&gt;=Inputs!$B$8,0,Q20+Q21-Q22)</f>
        <v>35780178.5708161</v>
      </c>
      <c r="R29" s="0" t="n">
        <f aca="false">IF(R$3&gt;=Inputs!$B$8,0,R20+R21-R22)</f>
        <v>36322927.8254545</v>
      </c>
      <c r="S29" s="0" t="n">
        <f aca="false">IF(S$3&gt;=Inputs!$B$8,0,S20+S21-S22)</f>
        <v>36840170.1601208</v>
      </c>
      <c r="T29" s="0" t="n">
        <f aca="false">IF(T$3&gt;=Inputs!$B$8,0,T20+T21-T22)</f>
        <v>37331486.3203224</v>
      </c>
      <c r="U29" s="0" t="n">
        <f aca="false">IF(U$3&gt;=Inputs!$B$8,0,U20+U21-U22)</f>
        <v>37796339.8402644</v>
      </c>
      <c r="V29" s="0" t="n">
        <f aca="false">IF(V$3&gt;=Inputs!$B$8,0,V20+V21-V22)</f>
        <v>38234172.7712209</v>
      </c>
      <c r="W29" s="0" t="n">
        <f aca="false">IF(W$3&gt;=Inputs!$B$8,0,W20+W21-W22)</f>
        <v>38644307.0550977</v>
      </c>
      <c r="X29" s="0" t="n">
        <f aca="false">IF(X$3&gt;=Inputs!$B$8,0,X20+X21-X22)</f>
        <v>39026007.0797291</v>
      </c>
      <c r="Y29" s="0" t="n">
        <f aca="false">IF(Y$3&gt;=Inputs!$B$8,0,Y20+Y21-Y22)</f>
        <v>39378510.766985</v>
      </c>
      <c r="Z29" s="0" t="n">
        <f aca="false">IF(Z$3&gt;=Inputs!$B$8,0,Z20+Z21-Z22)</f>
        <v>39700931.5699841</v>
      </c>
      <c r="AA29" s="0" t="n">
        <f aca="false">IF(AA$3&gt;=Inputs!$B$8,0,AA20+AA21-AA22)</f>
        <v>39992352.6941864</v>
      </c>
      <c r="AB29" s="0" t="n">
        <f aca="false">IF(AB$3&gt;=Inputs!$B$8,0,AB20+AB21-AB22)</f>
        <v>40251826.1762671</v>
      </c>
      <c r="AC29" s="0" t="n">
        <f aca="false">IF(AC$3&gt;=Inputs!$B$8,0,AC20+AC21-AC22)</f>
        <v>40478307.6540054</v>
      </c>
      <c r="AD29" s="0" t="n">
        <f aca="false">IF(AD$3&gt;=Inputs!$B$8,0,AD20+AD21-AD22)</f>
        <v>0</v>
      </c>
      <c r="AE29" s="0" t="n">
        <f aca="false">IF(AE$3&gt;=Inputs!$B$8,0,AE20+AE21-AE22)</f>
        <v>0</v>
      </c>
      <c r="AF29" s="0" t="n">
        <f aca="false">IF(AF$3&gt;=Inputs!$B$8,0,AF20+AF21-AF22)</f>
        <v>0</v>
      </c>
      <c r="AG29" s="0" t="n">
        <f aca="false">IF(AG$3&gt;=Inputs!$B$8,0,AG20+AG21-AG22)</f>
        <v>0</v>
      </c>
      <c r="AH29" s="0" t="n">
        <f aca="false">IF(AH$3&gt;=Inputs!$B$8,0,AH20+AH21-AH22)</f>
        <v>0</v>
      </c>
      <c r="AI29" s="0" t="n">
        <f aca="false">IF(AI$3&gt;=Inputs!$B$8,0,AI20+AI21-AI22)</f>
        <v>0</v>
      </c>
      <c r="AJ29" s="0" t="n">
        <f aca="false">IF(AJ$3&gt;=Inputs!$B$8,0,AJ20+AJ21-AJ22)</f>
        <v>0</v>
      </c>
      <c r="AK29" s="0" t="n">
        <f aca="false">IF(AK$3&gt;=Inputs!$B$8,0,AK20+AK21-AK22)</f>
        <v>0</v>
      </c>
      <c r="AL29" s="0" t="n">
        <f aca="false">IF(AL$3&gt;=Inputs!$B$8,0,AL20+AL21-AL22)</f>
        <v>0</v>
      </c>
      <c r="AM29" s="0" t="n">
        <f aca="false">IF(AM$3&gt;=Inputs!$B$8,0,AM20+AM21-AM22)</f>
        <v>0</v>
      </c>
      <c r="AN29" s="0" t="n">
        <f aca="false">IF(AN$3&gt;=Inputs!$B$8,0,AN20+AN21-AN22)</f>
        <v>0</v>
      </c>
      <c r="AO29" s="0" t="n">
        <f aca="false">IF(AO$3&gt;=Inputs!$B$8,0,AO20+AO21-AO22)</f>
        <v>0</v>
      </c>
      <c r="AP29" s="0" t="n">
        <f aca="false">IF(AP$3&gt;=Inputs!$B$8,0,AP20+AP21-AP22)</f>
        <v>0</v>
      </c>
    </row>
    <row r="30" customFormat="false" ht="15" hidden="false" customHeight="false" outlineLevel="0" collapsed="false">
      <c r="A30" s="0" t="s">
        <v>45</v>
      </c>
      <c r="B30" s="0" t="n">
        <f aca="false">IF((B$3=Inputs!$B$8),B5*4*(1+Inputs!$B$6)/Inputs!$B$9,0)</f>
        <v>0</v>
      </c>
      <c r="C30" s="0" t="n">
        <f aca="false">IF((C$3=Inputs!$B$8),C5*4*(1+Inputs!$B$6)/Inputs!$B$9,0)</f>
        <v>0</v>
      </c>
      <c r="D30" s="0" t="n">
        <f aca="false">IF((D$3=Inputs!$B$8),D5*4*(1+Inputs!$B$6)/Inputs!$B$9,0)</f>
        <v>0</v>
      </c>
      <c r="E30" s="0" t="n">
        <f aca="false">IF((E$3=Inputs!$B$8),E5*4*(1+Inputs!$B$6)/Inputs!$B$9,0)</f>
        <v>0</v>
      </c>
      <c r="F30" s="0" t="n">
        <f aca="false">IF((F$3=Inputs!$B$8),F5*4*(1+Inputs!$B$6)/Inputs!$B$9,0)</f>
        <v>0</v>
      </c>
      <c r="G30" s="0" t="n">
        <f aca="false">IF((G$3=Inputs!$B$8),G5*4*(1+Inputs!$B$6)/Inputs!$B$9,0)</f>
        <v>0</v>
      </c>
      <c r="H30" s="0" t="n">
        <f aca="false">IF((H$3=Inputs!$B$8),H5*4*(1+Inputs!$B$6)/Inputs!$B$9,0)</f>
        <v>0</v>
      </c>
      <c r="I30" s="0" t="n">
        <f aca="false">IF((I$3=Inputs!$B$8),I5*4*(1+Inputs!$B$6)/Inputs!$B$9,0)</f>
        <v>0</v>
      </c>
      <c r="J30" s="0" t="n">
        <f aca="false">IF((J$3=Inputs!$B$8),J5*4*(1+Inputs!$B$6)/Inputs!$B$9,0)</f>
        <v>0</v>
      </c>
      <c r="K30" s="0" t="n">
        <f aca="false">IF((K$3=Inputs!$B$8),K5*4*(1+Inputs!$B$6)/Inputs!$B$9,0)</f>
        <v>0</v>
      </c>
      <c r="L30" s="0" t="n">
        <f aca="false">IF((L$3=Inputs!$B$8),L5*4*(1+Inputs!$B$6)/Inputs!$B$9,0)</f>
        <v>0</v>
      </c>
      <c r="M30" s="0" t="n">
        <f aca="false">IF((M$3=Inputs!$B$8),M5*4*(1+Inputs!$B$6)/Inputs!$B$9,0)</f>
        <v>0</v>
      </c>
      <c r="N30" s="0" t="n">
        <f aca="false">IF((N$3=Inputs!$B$8),N5*4*(1+Inputs!$B$6)/Inputs!$B$9,0)</f>
        <v>0</v>
      </c>
      <c r="O30" s="0" t="n">
        <f aca="false">IF((O$3=Inputs!$B$8),O5*4*(1+Inputs!$B$6)/Inputs!$B$9,0)</f>
        <v>0</v>
      </c>
      <c r="P30" s="0" t="n">
        <f aca="false">IF((P$3=Inputs!$B$8),P5*4*(1+Inputs!$B$6)/Inputs!$B$9,0)</f>
        <v>0</v>
      </c>
      <c r="Q30" s="0" t="n">
        <f aca="false">IF((Q$3=Inputs!$B$8),Q5*4*(1+Inputs!$B$6)/Inputs!$B$9,0)</f>
        <v>0</v>
      </c>
      <c r="R30" s="0" t="n">
        <f aca="false">IF((R$3=Inputs!$B$8),R5*4*(1+Inputs!$B$6)/Inputs!$B$9,0)</f>
        <v>0</v>
      </c>
      <c r="S30" s="0" t="n">
        <f aca="false">IF((S$3=Inputs!$B$8),S5*4*(1+Inputs!$B$6)/Inputs!$B$9,0)</f>
        <v>0</v>
      </c>
      <c r="T30" s="0" t="n">
        <f aca="false">IF((T$3=Inputs!$B$8),T5*4*(1+Inputs!$B$6)/Inputs!$B$9,0)</f>
        <v>0</v>
      </c>
      <c r="U30" s="0" t="n">
        <f aca="false">IF((U$3=Inputs!$B$8),U5*4*(1+Inputs!$B$6)/Inputs!$B$9,0)</f>
        <v>0</v>
      </c>
      <c r="V30" s="0" t="n">
        <f aca="false">IF((V$3=Inputs!$B$8),V5*4*(1+Inputs!$B$6)/Inputs!$B$9,0)</f>
        <v>0</v>
      </c>
      <c r="W30" s="0" t="n">
        <f aca="false">IF((W$3=Inputs!$B$8),W5*4*(1+Inputs!$B$6)/Inputs!$B$9,0)</f>
        <v>0</v>
      </c>
      <c r="X30" s="0" t="n">
        <f aca="false">IF((X$3=Inputs!$B$8),X5*4*(1+Inputs!$B$6)/Inputs!$B$9,0)</f>
        <v>0</v>
      </c>
      <c r="Y30" s="0" t="n">
        <f aca="false">IF((Y$3=Inputs!$B$8),Y5*4*(1+Inputs!$B$6)/Inputs!$B$9,0)</f>
        <v>0</v>
      </c>
      <c r="Z30" s="0" t="n">
        <f aca="false">IF((Z$3=Inputs!$B$8),Z5*4*(1+Inputs!$B$6)/Inputs!$B$9,0)</f>
        <v>0</v>
      </c>
      <c r="AA30" s="0" t="n">
        <f aca="false">IF((AA$3=Inputs!$B$8),AA5*4*(1+Inputs!$B$6)/Inputs!$B$9,0)</f>
        <v>0</v>
      </c>
      <c r="AB30" s="0" t="n">
        <f aca="false">IF((AB$3=Inputs!$B$8),AB5*4*(1+Inputs!$B$6)/Inputs!$B$9,0)</f>
        <v>0</v>
      </c>
      <c r="AC30" s="0" t="n">
        <f aca="false">IF((AC$3=Inputs!$B$8),AC5*4*(1+Inputs!$B$6)/Inputs!$B$9,0)</f>
        <v>0</v>
      </c>
      <c r="AD30" s="0" t="n">
        <f aca="false">IF((AD$3=Inputs!$B$8),AD5*4*(1+Inputs!$B$6)/Inputs!$B$9,0)</f>
        <v>311845996.047843</v>
      </c>
      <c r="AE30" s="0" t="n">
        <f aca="false">IF((AE$3=Inputs!$B$8),AE5*4*(1+Inputs!$B$6)/Inputs!$B$9,0)</f>
        <v>0</v>
      </c>
      <c r="AF30" s="0" t="n">
        <f aca="false">IF((AF$3=Inputs!$B$8),AF5*4*(1+Inputs!$B$6)/Inputs!$B$9,0)</f>
        <v>0</v>
      </c>
      <c r="AG30" s="0" t="n">
        <f aca="false">IF((AG$3=Inputs!$B$8),AG5*4*(1+Inputs!$B$6)/Inputs!$B$9,0)</f>
        <v>0</v>
      </c>
      <c r="AH30" s="0" t="n">
        <f aca="false">IF((AH$3=Inputs!$B$8),AH5*4*(1+Inputs!$B$6)/Inputs!$B$9,0)</f>
        <v>0</v>
      </c>
      <c r="AI30" s="0" t="n">
        <f aca="false">IF((AI$3=Inputs!$B$8),AI5*4*(1+Inputs!$B$6)/Inputs!$B$9,0)</f>
        <v>0</v>
      </c>
      <c r="AJ30" s="0" t="n">
        <f aca="false">IF((AJ$3=Inputs!$B$8),AJ5*4*(1+Inputs!$B$6)/Inputs!$B$9,0)</f>
        <v>0</v>
      </c>
      <c r="AK30" s="0" t="n">
        <f aca="false">IF((AK$3=Inputs!$B$8),AK5*4*(1+Inputs!$B$6)/Inputs!$B$9,0)</f>
        <v>0</v>
      </c>
      <c r="AL30" s="0" t="n">
        <f aca="false">IF((AL$3=Inputs!$B$8),AL5*4*(1+Inputs!$B$6)/Inputs!$B$9,0)</f>
        <v>0</v>
      </c>
      <c r="AM30" s="0" t="n">
        <f aca="false">IF((AM$3=Inputs!$B$8),AM5*4*(1+Inputs!$B$6)/Inputs!$B$9,0)</f>
        <v>0</v>
      </c>
      <c r="AN30" s="0" t="n">
        <f aca="false">IF((AN$3=Inputs!$B$8),AN5*4*(1+Inputs!$B$6)/Inputs!$B$9,0)</f>
        <v>0</v>
      </c>
      <c r="AO30" s="0" t="n">
        <f aca="false">IF((AO$3=Inputs!$B$8),AO5*4*(1+Inputs!$B$6)/Inputs!$B$9,0)</f>
        <v>0</v>
      </c>
      <c r="AP30" s="0" t="n">
        <f aca="false">IF((AP$3=Inputs!$B$8),AP5*4*(1+Inputs!$B$6)/Inputs!$B$9,0)</f>
        <v>0</v>
      </c>
    </row>
    <row r="31" customFormat="false" ht="15" hidden="false" customHeight="false" outlineLevel="0" collapsed="false">
      <c r="A31" s="0" t="s">
        <v>46</v>
      </c>
      <c r="B31" s="0" t="n">
        <f aca="false">B30*(1-Inputs!$B$10)</f>
        <v>0</v>
      </c>
      <c r="C31" s="0" t="n">
        <f aca="false">C30*(1-Inputs!$B$10)</f>
        <v>0</v>
      </c>
      <c r="D31" s="0" t="n">
        <f aca="false">D30*(1-Inputs!$B$10)</f>
        <v>0</v>
      </c>
      <c r="E31" s="0" t="n">
        <f aca="false">E30*(1-Inputs!$B$10)</f>
        <v>0</v>
      </c>
      <c r="F31" s="0" t="n">
        <f aca="false">F30*(1-Inputs!$B$10)</f>
        <v>0</v>
      </c>
      <c r="G31" s="0" t="n">
        <f aca="false">G30*(1-Inputs!$B$10)</f>
        <v>0</v>
      </c>
      <c r="H31" s="0" t="n">
        <f aca="false">H30*(1-Inputs!$B$10)</f>
        <v>0</v>
      </c>
      <c r="I31" s="0" t="n">
        <f aca="false">I30*(1-Inputs!$B$10)</f>
        <v>0</v>
      </c>
      <c r="J31" s="0" t="n">
        <f aca="false">J30*(1-Inputs!$B$10)</f>
        <v>0</v>
      </c>
      <c r="K31" s="0" t="n">
        <f aca="false">K30*(1-Inputs!$B$10)</f>
        <v>0</v>
      </c>
      <c r="L31" s="0" t="n">
        <f aca="false">L30*(1-Inputs!$B$10)</f>
        <v>0</v>
      </c>
      <c r="M31" s="0" t="n">
        <f aca="false">M30*(1-Inputs!$B$10)</f>
        <v>0</v>
      </c>
      <c r="N31" s="0" t="n">
        <f aca="false">N30*(1-Inputs!$B$10)</f>
        <v>0</v>
      </c>
      <c r="O31" s="0" t="n">
        <f aca="false">O30*(1-Inputs!$B$10)</f>
        <v>0</v>
      </c>
      <c r="P31" s="0" t="n">
        <f aca="false">P30*(1-Inputs!$B$10)</f>
        <v>0</v>
      </c>
      <c r="Q31" s="0" t="n">
        <f aca="false">Q30*(1-Inputs!$B$10)</f>
        <v>0</v>
      </c>
      <c r="R31" s="0" t="n">
        <f aca="false">R30*(1-Inputs!$B$10)</f>
        <v>0</v>
      </c>
      <c r="S31" s="0" t="n">
        <f aca="false">S30*(1-Inputs!$B$10)</f>
        <v>0</v>
      </c>
      <c r="T31" s="0" t="n">
        <f aca="false">T30*(1-Inputs!$B$10)</f>
        <v>0</v>
      </c>
      <c r="U31" s="0" t="n">
        <f aca="false">U30*(1-Inputs!$B$10)</f>
        <v>0</v>
      </c>
      <c r="V31" s="0" t="n">
        <f aca="false">V30*(1-Inputs!$B$10)</f>
        <v>0</v>
      </c>
      <c r="W31" s="0" t="n">
        <f aca="false">W30*(1-Inputs!$B$10)</f>
        <v>0</v>
      </c>
      <c r="X31" s="0" t="n">
        <f aca="false">X30*(1-Inputs!$B$10)</f>
        <v>0</v>
      </c>
      <c r="Y31" s="0" t="n">
        <f aca="false">Y30*(1-Inputs!$B$10)</f>
        <v>0</v>
      </c>
      <c r="Z31" s="0" t="n">
        <f aca="false">Z30*(1-Inputs!$B$10)</f>
        <v>0</v>
      </c>
      <c r="AA31" s="0" t="n">
        <f aca="false">AA30*(1-Inputs!$B$10)</f>
        <v>0</v>
      </c>
      <c r="AB31" s="0" t="n">
        <f aca="false">AB30*(1-Inputs!$B$10)</f>
        <v>0</v>
      </c>
      <c r="AC31" s="0" t="n">
        <f aca="false">AC30*(1-Inputs!$B$10)</f>
        <v>0</v>
      </c>
      <c r="AD31" s="0" t="n">
        <f aca="false">AD30*(1-Inputs!$B$10)</f>
        <v>307168306.107126</v>
      </c>
      <c r="AE31" s="0" t="n">
        <f aca="false">AE30*(1-Inputs!$B$10)</f>
        <v>0</v>
      </c>
      <c r="AF31" s="0" t="n">
        <f aca="false">AF30*(1-Inputs!$B$10)</f>
        <v>0</v>
      </c>
      <c r="AG31" s="0" t="n">
        <f aca="false">AG30*(1-Inputs!$B$10)</f>
        <v>0</v>
      </c>
      <c r="AH31" s="0" t="n">
        <f aca="false">AH30*(1-Inputs!$B$10)</f>
        <v>0</v>
      </c>
      <c r="AI31" s="0" t="n">
        <f aca="false">AI30*(1-Inputs!$B$10)</f>
        <v>0</v>
      </c>
      <c r="AJ31" s="0" t="n">
        <f aca="false">AJ30*(1-Inputs!$B$10)</f>
        <v>0</v>
      </c>
      <c r="AK31" s="0" t="n">
        <f aca="false">AK30*(1-Inputs!$B$10)</f>
        <v>0</v>
      </c>
      <c r="AL31" s="0" t="n">
        <f aca="false">AL30*(1-Inputs!$B$10)</f>
        <v>0</v>
      </c>
      <c r="AM31" s="0" t="n">
        <f aca="false">AM30*(1-Inputs!$B$10)</f>
        <v>0</v>
      </c>
      <c r="AN31" s="0" t="n">
        <f aca="false">AN30*(1-Inputs!$B$10)</f>
        <v>0</v>
      </c>
      <c r="AO31" s="0" t="n">
        <f aca="false">AO30*(1-Inputs!$B$10)</f>
        <v>0</v>
      </c>
      <c r="AP31" s="0" t="n">
        <f aca="false">AP30*(1-Inputs!$B$10)</f>
        <v>0</v>
      </c>
    </row>
    <row r="32" customFormat="false" ht="15" hidden="false" customHeight="false" outlineLevel="0" collapsed="false">
      <c r="A32" s="0" t="s">
        <v>47</v>
      </c>
      <c r="B32" s="0" t="n">
        <f aca="false">IF((B$3=Inputs!$B$8),B31-(B8-B10-B25)-(B15+B18)-(B20+B21-B22),0)</f>
        <v>0</v>
      </c>
      <c r="C32" s="0" t="n">
        <f aca="false">IF((C$3=Inputs!$B$8),C31-(C8-C10-C25)-(C15+C18)-(C20+C21-C22),0)</f>
        <v>0</v>
      </c>
      <c r="D32" s="0" t="n">
        <f aca="false">IF((D$3=Inputs!$B$8),D31-(D8-D10-D25)-(D15+D18)-(D20+D21-D22),0)</f>
        <v>0</v>
      </c>
      <c r="E32" s="0" t="n">
        <f aca="false">IF((E$3=Inputs!$B$8),E31-(E8-E10-E25)-(E15+E18)-(E20+E21-E22),0)</f>
        <v>0</v>
      </c>
      <c r="F32" s="0" t="n">
        <f aca="false">IF((F$3=Inputs!$B$8),F31-(F8-F10-F25)-(F15+F18)-(F20+F21-F22),0)</f>
        <v>0</v>
      </c>
      <c r="G32" s="0" t="n">
        <f aca="false">IF((G$3=Inputs!$B$8),G31-(G8-G10-G25)-(G15+G18)-(G20+G21-G22),0)</f>
        <v>0</v>
      </c>
      <c r="H32" s="0" t="n">
        <f aca="false">IF((H$3=Inputs!$B$8),H31-(H8-H10-H25)-(H15+H18)-(H20+H21-H22),0)</f>
        <v>0</v>
      </c>
      <c r="I32" s="0" t="n">
        <f aca="false">IF((I$3=Inputs!$B$8),I31-(I8-I10-I25)-(I15+I18)-(I20+I21-I22),0)</f>
        <v>0</v>
      </c>
      <c r="J32" s="0" t="n">
        <f aca="false">IF((J$3=Inputs!$B$8),J31-(J8-J10-J25)-(J15+J18)-(J20+J21-J22),0)</f>
        <v>0</v>
      </c>
      <c r="K32" s="0" t="n">
        <f aca="false">IF((K$3=Inputs!$B$8),K31-(K8-K10-K25)-(K15+K18)-(K20+K21-K22),0)</f>
        <v>0</v>
      </c>
      <c r="L32" s="0" t="n">
        <f aca="false">IF((L$3=Inputs!$B$8),L31-(L8-L10-L25)-(L15+L18)-(L20+L21-L22),0)</f>
        <v>0</v>
      </c>
      <c r="M32" s="0" t="n">
        <f aca="false">IF((M$3=Inputs!$B$8),M31-(M8-M10-M25)-(M15+M18)-(M20+M21-M22),0)</f>
        <v>0</v>
      </c>
      <c r="N32" s="0" t="n">
        <f aca="false">IF((N$3=Inputs!$B$8),N31-(N8-N10-N25)-(N15+N18)-(N20+N21-N22),0)</f>
        <v>0</v>
      </c>
      <c r="O32" s="0" t="n">
        <f aca="false">IF((O$3=Inputs!$B$8),O31-(O8-O10-O25)-(O15+O18)-(O20+O21-O22),0)</f>
        <v>0</v>
      </c>
      <c r="P32" s="0" t="n">
        <f aca="false">IF((P$3=Inputs!$B$8),P31-(P8-P10-P25)-(P15+P18)-(P20+P21-P22),0)</f>
        <v>0</v>
      </c>
      <c r="Q32" s="0" t="n">
        <f aca="false">IF((Q$3=Inputs!$B$8),Q31-(Q8-Q10-Q25)-(Q15+Q18)-(Q20+Q21-Q22),0)</f>
        <v>0</v>
      </c>
      <c r="R32" s="0" t="n">
        <f aca="false">IF((R$3=Inputs!$B$8),R31-(R8-R10-R25)-(R15+R18)-(R20+R21-R22),0)</f>
        <v>0</v>
      </c>
      <c r="S32" s="0" t="n">
        <f aca="false">IF((S$3=Inputs!$B$8),S31-(S8-S10-S25)-(S15+S18)-(S20+S21-S22),0)</f>
        <v>0</v>
      </c>
      <c r="T32" s="0" t="n">
        <f aca="false">IF((T$3=Inputs!$B$8),T31-(T8-T10-T25)-(T15+T18)-(T20+T21-T22),0)</f>
        <v>0</v>
      </c>
      <c r="U32" s="0" t="n">
        <f aca="false">IF((U$3=Inputs!$B$8),U31-(U8-U10-U25)-(U15+U18)-(U20+U21-U22),0)</f>
        <v>0</v>
      </c>
      <c r="V32" s="0" t="n">
        <f aca="false">IF((V$3=Inputs!$B$8),V31-(V8-V10-V25)-(V15+V18)-(V20+V21-V22),0)</f>
        <v>0</v>
      </c>
      <c r="W32" s="0" t="n">
        <f aca="false">IF((W$3=Inputs!$B$8),W31-(W8-W10-W25)-(W15+W18)-(W20+W21-W22),0)</f>
        <v>0</v>
      </c>
      <c r="X32" s="0" t="n">
        <f aca="false">IF((X$3=Inputs!$B$8),X31-(X8-X10-X25)-(X15+X18)-(X20+X21-X22),0)</f>
        <v>0</v>
      </c>
      <c r="Y32" s="0" t="n">
        <f aca="false">IF((Y$3=Inputs!$B$8),Y31-(Y8-Y10-Y25)-(Y15+Y18)-(Y20+Y21-Y22),0)</f>
        <v>0</v>
      </c>
      <c r="Z32" s="0" t="n">
        <f aca="false">IF((Z$3=Inputs!$B$8),Z31-(Z8-Z10-Z25)-(Z15+Z18)-(Z20+Z21-Z22),0)</f>
        <v>0</v>
      </c>
      <c r="AA32" s="0" t="n">
        <f aca="false">IF((AA$3=Inputs!$B$8),AA31-(AA8-AA10-AA25)-(AA15+AA18)-(AA20+AA21-AA22),0)</f>
        <v>0</v>
      </c>
      <c r="AB32" s="0" t="n">
        <f aca="false">IF((AB$3=Inputs!$B$8),AB31-(AB8-AB10-AB25)-(AB15+AB18)-(AB20+AB21-AB22),0)</f>
        <v>0</v>
      </c>
      <c r="AC32" s="0" t="n">
        <f aca="false">IF((AC$3=Inputs!$B$8),AC31-(AC8-AC10-AC25)-(AC15+AC18)-(AC20+AC21-AC22),0)</f>
        <v>0</v>
      </c>
      <c r="AD32" s="0" t="n">
        <f aca="false">IF((AD$3=Inputs!$B$8),AD31-(AD8-AD10-AD25)-(AD15+AD18)-(AD20+AD21-AD22),0)</f>
        <v>100616182.807918</v>
      </c>
      <c r="AE32" s="0" t="n">
        <f aca="false">IF((AE$3=Inputs!$B$8),AE31-(AE8-AE10-AE25)-(AE15+AE18)-(AE20+AE21-AE22),0)</f>
        <v>0</v>
      </c>
      <c r="AF32" s="0" t="n">
        <f aca="false">IF((AF$3=Inputs!$B$8),AF31-(AF8-AF10-AF25)-(AF15+AF18)-(AF20+AF21-AF22),0)</f>
        <v>0</v>
      </c>
      <c r="AG32" s="0" t="n">
        <f aca="false">IF((AG$3=Inputs!$B$8),AG31-(AG8-AG10-AG25)-(AG15+AG18)-(AG20+AG21-AG22),0)</f>
        <v>0</v>
      </c>
      <c r="AH32" s="0" t="n">
        <f aca="false">IF((AH$3=Inputs!$B$8),AH31-(AH8-AH10-AH25)-(AH15+AH18)-(AH20+AH21-AH22),0)</f>
        <v>0</v>
      </c>
      <c r="AI32" s="0" t="n">
        <f aca="false">IF((AI$3=Inputs!$B$8),AI31-(AI8-AI10-AI25)-(AI15+AI18)-(AI20+AI21-AI22),0)</f>
        <v>0</v>
      </c>
      <c r="AJ32" s="0" t="n">
        <f aca="false">IF((AJ$3=Inputs!$B$8),AJ31-(AJ8-AJ10-AJ25)-(AJ15+AJ18)-(AJ20+AJ21-AJ22),0)</f>
        <v>0</v>
      </c>
      <c r="AK32" s="0" t="n">
        <f aca="false">IF((AK$3=Inputs!$B$8),AK31-(AK8-AK10-AK25)-(AK15+AK18)-(AK20+AK21-AK22),0)</f>
        <v>0</v>
      </c>
      <c r="AL32" s="0" t="n">
        <f aca="false">IF((AL$3=Inputs!$B$8),AL31-(AL8-AL10-AL25)-(AL15+AL18)-(AL20+AL21-AL22),0)</f>
        <v>0</v>
      </c>
      <c r="AM32" s="0" t="n">
        <f aca="false">IF((AM$3=Inputs!$B$8),AM31-(AM8-AM10-AM25)-(AM15+AM18)-(AM20+AM21-AM22),0)</f>
        <v>0</v>
      </c>
      <c r="AN32" s="0" t="n">
        <f aca="false">IF((AN$3=Inputs!$B$8),AN31-(AN8-AN10-AN25)-(AN15+AN18)-(AN20+AN21-AN22),0)</f>
        <v>0</v>
      </c>
      <c r="AO32" s="0" t="n">
        <f aca="false">IF((AO$3=Inputs!$B$8),AO31-(AO8-AO10-AO25)-(AO15+AO18)-(AO20+AO21-AO22),0)</f>
        <v>0</v>
      </c>
      <c r="AP32" s="0" t="n">
        <f aca="false">IF((AP$3=Inputs!$B$8),AP31-(AP8-AP10-AP25)-(AP15+AP18)-(AP20+AP21-AP22),0)</f>
        <v>0</v>
      </c>
    </row>
    <row r="33" customFormat="false" ht="15" hidden="false" customHeight="false" outlineLevel="0" collapsed="false">
      <c r="A33" s="0" t="s">
        <v>48</v>
      </c>
      <c r="B33" s="0" t="n">
        <f aca="false">-(Inputs!$B$3*(1+Inputs!$B$4)-Inputs!$B$3*Inputs!$B$11-Inputs!$B$3*Inputs!$B$15-Inputs!$B$3*Inputs!$B$17)</f>
        <v>-55000000</v>
      </c>
      <c r="C33" s="0" t="n">
        <f aca="false">C26-C14+C32</f>
        <v>0</v>
      </c>
      <c r="D33" s="0" t="n">
        <f aca="false">D26-D14+D32</f>
        <v>0</v>
      </c>
      <c r="E33" s="0" t="n">
        <f aca="false">E26-E14+E32</f>
        <v>0</v>
      </c>
      <c r="F33" s="0" t="n">
        <f aca="false">F26-F14+F32</f>
        <v>0</v>
      </c>
      <c r="G33" s="0" t="n">
        <f aca="false">G26-G14+G32</f>
        <v>0</v>
      </c>
      <c r="H33" s="0" t="n">
        <f aca="false">H26-H14+H32</f>
        <v>0</v>
      </c>
      <c r="I33" s="0" t="n">
        <f aca="false">I26-I14+I32</f>
        <v>0</v>
      </c>
      <c r="J33" s="0" t="n">
        <f aca="false">J26-J14+J32</f>
        <v>0</v>
      </c>
      <c r="K33" s="0" t="n">
        <f aca="false">K26-K14+K32</f>
        <v>0</v>
      </c>
      <c r="L33" s="0" t="n">
        <f aca="false">L26-L14+L32</f>
        <v>0</v>
      </c>
      <c r="M33" s="0" t="n">
        <f aca="false">M26-M14+M32</f>
        <v>0</v>
      </c>
      <c r="N33" s="0" t="n">
        <f aca="false">N26-N14+N32</f>
        <v>0</v>
      </c>
      <c r="O33" s="0" t="n">
        <f aca="false">O26-O14+O32</f>
        <v>0</v>
      </c>
      <c r="P33" s="0" t="n">
        <f aca="false">P26-P14+P32</f>
        <v>0</v>
      </c>
      <c r="Q33" s="0" t="n">
        <f aca="false">Q26-Q14+Q32</f>
        <v>0</v>
      </c>
      <c r="R33" s="0" t="n">
        <f aca="false">R26-R14+R32</f>
        <v>0</v>
      </c>
      <c r="S33" s="0" t="n">
        <f aca="false">S26-S14+S32</f>
        <v>0</v>
      </c>
      <c r="T33" s="0" t="n">
        <f aca="false">T26-T14+T32</f>
        <v>0</v>
      </c>
      <c r="U33" s="0" t="n">
        <f aca="false">U26-U14+U32</f>
        <v>0</v>
      </c>
      <c r="V33" s="0" t="n">
        <f aca="false">V26-V14+V32</f>
        <v>0</v>
      </c>
      <c r="W33" s="0" t="n">
        <f aca="false">W26-W14+W32</f>
        <v>0</v>
      </c>
      <c r="X33" s="0" t="n">
        <f aca="false">X26-X14+X32</f>
        <v>0</v>
      </c>
      <c r="Y33" s="0" t="n">
        <f aca="false">Y26-Y14+Y32</f>
        <v>0</v>
      </c>
      <c r="Z33" s="0" t="n">
        <f aca="false">Z26-Z14+Z32</f>
        <v>0</v>
      </c>
      <c r="AA33" s="0" t="n">
        <f aca="false">AA26-AA14+AA32</f>
        <v>0</v>
      </c>
      <c r="AB33" s="0" t="n">
        <f aca="false">AB26-AB14+AB32</f>
        <v>0</v>
      </c>
      <c r="AC33" s="0" t="n">
        <f aca="false">AC26-AC14+AC32</f>
        <v>0</v>
      </c>
      <c r="AD33" s="0" t="n">
        <f aca="false">AD26-AD14+AD32</f>
        <v>100616182.807918</v>
      </c>
      <c r="AE33" s="0" t="n">
        <f aca="false">AE26-AE14+AE32</f>
        <v>0</v>
      </c>
      <c r="AF33" s="0" t="n">
        <f aca="false">AF26-AF14+AF32</f>
        <v>0</v>
      </c>
      <c r="AG33" s="0" t="n">
        <f aca="false">AG26-AG14+AG32</f>
        <v>0</v>
      </c>
      <c r="AH33" s="0" t="n">
        <f aca="false">AH26-AH14+AH32</f>
        <v>0</v>
      </c>
      <c r="AI33" s="0" t="n">
        <f aca="false">AI26-AI14+AI32</f>
        <v>0</v>
      </c>
      <c r="AJ33" s="0" t="n">
        <f aca="false">AJ26-AJ14+AJ32</f>
        <v>0</v>
      </c>
      <c r="AK33" s="0" t="n">
        <f aca="false">AK26-AK14+AK32</f>
        <v>0</v>
      </c>
      <c r="AL33" s="0" t="n">
        <f aca="false">AL26-AL14+AL32</f>
        <v>0</v>
      </c>
      <c r="AM33" s="0" t="n">
        <f aca="false">AM26-AM14+AM32</f>
        <v>0</v>
      </c>
      <c r="AN33" s="0" t="n">
        <f aca="false">AN26-AN14+AN32</f>
        <v>0</v>
      </c>
      <c r="AO33" s="0" t="n">
        <f aca="false">AO26-AO14+AO32</f>
        <v>0</v>
      </c>
      <c r="AP33" s="0" t="n">
        <f aca="false">AP26-AP14+AP32</f>
        <v>0</v>
      </c>
    </row>
    <row r="34" customFormat="false" ht="15" hidden="false" customHeight="false" outlineLevel="0" collapsed="false">
      <c r="A34" s="0" t="s">
        <v>49</v>
      </c>
      <c r="B34" s="0" t="n">
        <f aca="false">-Inputs!$B$3*Inputs!$B$11</f>
        <v>-137500000</v>
      </c>
      <c r="C34" s="0" t="n">
        <f aca="false">C11+C25+IF((C$3=Inputs!$B$8),C8-C10-C25,0)</f>
        <v>2558943.75</v>
      </c>
      <c r="D34" s="0" t="n">
        <f aca="false">D11+D25+IF((D$3=Inputs!$B$8),D8-D10-D25,0)</f>
        <v>2521414.0703125</v>
      </c>
      <c r="E34" s="0" t="n">
        <f aca="false">E11+E25+IF((E$3=Inputs!$B$8),E8-E10-E25,0)</f>
        <v>2487807.09375</v>
      </c>
      <c r="F34" s="0" t="n">
        <f aca="false">F11+F25+IF((F$3=Inputs!$B$8),F8-F10-F25,0)</f>
        <v>2457616.8203125</v>
      </c>
      <c r="G34" s="0" t="n">
        <f aca="false">G11+G25+IF((G$3=Inputs!$B$8),G8-G10-G25,0)</f>
        <v>2430444.15625</v>
      </c>
      <c r="H34" s="0" t="n">
        <f aca="false">H11+H25+IF((H$3=Inputs!$B$8),H8-H10-H25,0)</f>
        <v>2405961.6796875</v>
      </c>
      <c r="I34" s="0" t="n">
        <f aca="false">I11+I25+IF((I$3=Inputs!$B$8),I8-I10-I25,0)</f>
        <v>2383845.0625</v>
      </c>
      <c r="J34" s="0" t="n">
        <f aca="false">J11+J25+IF((J$3=Inputs!$B$8),J8-J10-J25,0)</f>
        <v>2363773.0703125</v>
      </c>
      <c r="K34" s="0" t="n">
        <f aca="false">K11+K25+IF((K$3=Inputs!$B$8),K8-K10-K25,0)</f>
        <v>2345528.625</v>
      </c>
      <c r="L34" s="0" t="n">
        <f aca="false">L11+L25+IF((L$3=Inputs!$B$8),L8-L10-L25,0)</f>
        <v>2328896.7109375</v>
      </c>
      <c r="M34" s="0" t="n">
        <f aca="false">M11+M25+IF((M$3=Inputs!$B$8),M8-M10-M25,0)</f>
        <v>2313664.375</v>
      </c>
      <c r="N34" s="0" t="n">
        <f aca="false">N11+N25+IF((N$3=Inputs!$B$8),N8-N10-N25,0)</f>
        <v>2299654.15625</v>
      </c>
      <c r="O34" s="0" t="n">
        <f aca="false">O11+O25+IF((O$3=Inputs!$B$8),O8-O10-O25,0)</f>
        <v>2286757</v>
      </c>
      <c r="P34" s="0" t="n">
        <f aca="false">P11+P25+IF((P$3=Inputs!$B$8),P8-P10-P25,0)</f>
        <v>2274831.625</v>
      </c>
      <c r="Q34" s="0" t="n">
        <f aca="false">Q11+Q25+IF((Q$3=Inputs!$B$8),Q8-Q10-Q25,0)</f>
        <v>2263738.125</v>
      </c>
      <c r="R34" s="0" t="n">
        <f aca="false">R11+R25+IF((R$3=Inputs!$B$8),R8-R10-R25,0)</f>
        <v>2253404.140625</v>
      </c>
      <c r="S34" s="0" t="n">
        <f aca="false">S11+S25+IF((S$3=Inputs!$B$8),S8-S10-S25,0)</f>
        <v>2243725</v>
      </c>
      <c r="T34" s="0" t="n">
        <f aca="false">T11+T25+IF((T$3=Inputs!$B$8),T8-T10-T25,0)</f>
        <v>2234629.9765625</v>
      </c>
      <c r="U34" s="0" t="n">
        <f aca="false">U11+U25+IF((U$3=Inputs!$B$8),U8-U10-U25,0)</f>
        <v>2226016.203125</v>
      </c>
      <c r="V34" s="0" t="n">
        <f aca="false">V11+V25+IF((V$3=Inputs!$B$8),V8-V10-V25,0)</f>
        <v>2217880.0703125</v>
      </c>
      <c r="W34" s="0" t="n">
        <f aca="false">W11+W25+IF((W$3=Inputs!$B$8),W8-W10-W25,0)</f>
        <v>2210120</v>
      </c>
      <c r="X34" s="0" t="n">
        <f aca="false">X11+X25+IF((X$3=Inputs!$B$8),X8-X10-X25,0)</f>
        <v>2202700.5859375</v>
      </c>
      <c r="Y34" s="0" t="n">
        <f aca="false">Y11+Y25+IF((Y$3=Inputs!$B$8),Y8-Y10-Y25,0)</f>
        <v>2195619.25</v>
      </c>
      <c r="Z34" s="0" t="n">
        <f aca="false">Z11+Z25+IF((Z$3=Inputs!$B$8),Z8-Z10-Z25,0)</f>
        <v>2188776.21875</v>
      </c>
      <c r="AA34" s="0" t="n">
        <f aca="false">AA11+AA25+IF((AA$3=Inputs!$B$8),AA8-AA10-AA25,0)</f>
        <v>2182169.6875</v>
      </c>
      <c r="AB34" s="0" t="n">
        <f aca="false">AB11+AB25+IF((AB$3=Inputs!$B$8),AB8-AB10-AB25,0)</f>
        <v>2175797.8515625</v>
      </c>
      <c r="AC34" s="0" t="n">
        <f aca="false">AC11+AC25+IF((AC$3=Inputs!$B$8),AC8-AC10-AC25,0)</f>
        <v>2169594.625</v>
      </c>
      <c r="AD34" s="0" t="n">
        <f aca="false">AD11+AD25+IF((AD$3=Inputs!$B$8),AD8-AD10-AD25,0)</f>
        <v>130038558.71875</v>
      </c>
      <c r="AE34" s="0" t="n">
        <f aca="false">AE11+AE25+IF((AE$3=Inputs!$B$8),AE8-AE10-AE25,0)</f>
        <v>0</v>
      </c>
      <c r="AF34" s="0" t="n">
        <f aca="false">AF11+AF25+IF((AF$3=Inputs!$B$8),AF8-AF10-AF25,0)</f>
        <v>0</v>
      </c>
      <c r="AG34" s="0" t="n">
        <f aca="false">AG11+AG25+IF((AG$3=Inputs!$B$8),AG8-AG10-AG25,0)</f>
        <v>0</v>
      </c>
      <c r="AH34" s="0" t="n">
        <f aca="false">AH11+AH25+IF((AH$3=Inputs!$B$8),AH8-AH10-AH25,0)</f>
        <v>0</v>
      </c>
      <c r="AI34" s="0" t="n">
        <f aca="false">AI11+AI25+IF((AI$3=Inputs!$B$8),AI8-AI10-AI25,0)</f>
        <v>0</v>
      </c>
      <c r="AJ34" s="0" t="n">
        <f aca="false">AJ11+AJ25+IF((AJ$3=Inputs!$B$8),AJ8-AJ10-AJ25,0)</f>
        <v>0</v>
      </c>
      <c r="AK34" s="0" t="n">
        <f aca="false">AK11+AK25+IF((AK$3=Inputs!$B$8),AK8-AK10-AK25,0)</f>
        <v>0</v>
      </c>
      <c r="AL34" s="0" t="n">
        <f aca="false">AL11+AL25+IF((AL$3=Inputs!$B$8),AL8-AL10-AL25,0)</f>
        <v>0</v>
      </c>
      <c r="AM34" s="0" t="n">
        <f aca="false">AM11+AM25+IF((AM$3=Inputs!$B$8),AM8-AM10-AM25,0)</f>
        <v>0</v>
      </c>
      <c r="AN34" s="0" t="n">
        <f aca="false">AN11+AN25+IF((AN$3=Inputs!$B$8),AN8-AN10-AN25,0)</f>
        <v>0</v>
      </c>
      <c r="AO34" s="0" t="n">
        <f aca="false">AO11+AO25+IF((AO$3=Inputs!$B$8),AO8-AO10-AO25,0)</f>
        <v>0</v>
      </c>
      <c r="AP34" s="0" t="n">
        <f aca="false">AP11+AP25+IF((AP$3=Inputs!$B$8),AP8-AP10-AP25,0)</f>
        <v>0</v>
      </c>
    </row>
    <row r="35" customFormat="false" ht="15" hidden="false" customHeight="false" outlineLevel="0" collapsed="false">
      <c r="A35" s="0" t="s">
        <v>50</v>
      </c>
      <c r="B35" s="0" t="n">
        <f aca="false">-Inputs!$B$3*Inputs!$B$15</f>
        <v>-37500000</v>
      </c>
      <c r="C35" s="0" t="n">
        <f aca="false">C17+IF((C$3=Inputs!$B$8),C15+C18,0)</f>
        <v>816056.25</v>
      </c>
      <c r="D35" s="0" t="n">
        <f aca="false">D17+IF((D$3=Inputs!$B$8),D15+D18,0)</f>
        <v>882327.082826215</v>
      </c>
      <c r="E35" s="0" t="n">
        <f aca="false">E17+IF((E$3=Inputs!$B$8),E15+E18,0)</f>
        <v>944888.387723235</v>
      </c>
      <c r="F35" s="0" t="n">
        <f aca="false">F17+IF((F$3=Inputs!$B$8),F15+F18,0)</f>
        <v>1004247.74582679</v>
      </c>
      <c r="G35" s="0" t="n">
        <f aca="false">G17+IF((G$3=Inputs!$B$8),G15+G18,0)</f>
        <v>1045176.13865266</v>
      </c>
      <c r="H35" s="0" t="n">
        <f aca="false">H17+IF((H$3=Inputs!$B$8),H15+H18,0)</f>
        <v>1045176.13865266</v>
      </c>
      <c r="I35" s="0" t="n">
        <f aca="false">I17+IF((I$3=Inputs!$B$8),I15+I18,0)</f>
        <v>1045176.13865266</v>
      </c>
      <c r="J35" s="0" t="n">
        <f aca="false">J17+IF((J$3=Inputs!$B$8),J15+J18,0)</f>
        <v>1045176.13865266</v>
      </c>
      <c r="K35" s="0" t="n">
        <f aca="false">K17+IF((K$3=Inputs!$B$8),K15+K18,0)</f>
        <v>1045176.13865266</v>
      </c>
      <c r="L35" s="0" t="n">
        <f aca="false">L17+IF((L$3=Inputs!$B$8),L15+L18,0)</f>
        <v>1045176.13865266</v>
      </c>
      <c r="M35" s="0" t="n">
        <f aca="false">M17+IF((M$3=Inputs!$B$8),M15+M18,0)</f>
        <v>1045176.13865266</v>
      </c>
      <c r="N35" s="0" t="n">
        <f aca="false">N17+IF((N$3=Inputs!$B$8),N15+N18,0)</f>
        <v>1045176.13865266</v>
      </c>
      <c r="O35" s="0" t="n">
        <f aca="false">O17+IF((O$3=Inputs!$B$8),O15+O18,0)</f>
        <v>1045176.13865266</v>
      </c>
      <c r="P35" s="0" t="n">
        <f aca="false">P17+IF((P$3=Inputs!$B$8),P15+P18,0)</f>
        <v>1045176.13865266</v>
      </c>
      <c r="Q35" s="0" t="n">
        <f aca="false">Q17+IF((Q$3=Inputs!$B$8),Q15+Q18,0)</f>
        <v>1045176.13865266</v>
      </c>
      <c r="R35" s="0" t="n">
        <f aca="false">R17+IF((R$3=Inputs!$B$8),R15+R18,0)</f>
        <v>1045176.13865266</v>
      </c>
      <c r="S35" s="0" t="n">
        <f aca="false">S17+IF((S$3=Inputs!$B$8),S15+S18,0)</f>
        <v>1045176.13865266</v>
      </c>
      <c r="T35" s="0" t="n">
        <f aca="false">T17+IF((T$3=Inputs!$B$8),T15+T18,0)</f>
        <v>1045176.13865266</v>
      </c>
      <c r="U35" s="0" t="n">
        <f aca="false">U17+IF((U$3=Inputs!$B$8),U15+U18,0)</f>
        <v>1045176.13865266</v>
      </c>
      <c r="V35" s="0" t="n">
        <f aca="false">V17+IF((V$3=Inputs!$B$8),V15+V18,0)</f>
        <v>1045176.13865266</v>
      </c>
      <c r="W35" s="0" t="n">
        <f aca="false">W17+IF((W$3=Inputs!$B$8),W15+W18,0)</f>
        <v>1045176.13865266</v>
      </c>
      <c r="X35" s="0" t="n">
        <f aca="false">X17+IF((X$3=Inputs!$B$8),X15+X18,0)</f>
        <v>1045176.13865266</v>
      </c>
      <c r="Y35" s="0" t="n">
        <f aca="false">Y17+IF((Y$3=Inputs!$B$8),Y15+Y18,0)</f>
        <v>1045176.13865266</v>
      </c>
      <c r="Z35" s="0" t="n">
        <f aca="false">Z17+IF((Z$3=Inputs!$B$8),Z15+Z18,0)</f>
        <v>1045176.13865266</v>
      </c>
      <c r="AA35" s="0" t="n">
        <f aca="false">AA17+IF((AA$3=Inputs!$B$8),AA15+AA18,0)</f>
        <v>1045176.13865266</v>
      </c>
      <c r="AB35" s="0" t="n">
        <f aca="false">AB17+IF((AB$3=Inputs!$B$8),AB15+AB18,0)</f>
        <v>1045176.13865266</v>
      </c>
      <c r="AC35" s="0" t="n">
        <f aca="false">AC17+IF((AC$3=Inputs!$B$8),AC15+AC18,0)</f>
        <v>1045176.13865266</v>
      </c>
      <c r="AD35" s="0" t="n">
        <f aca="false">AD17+IF((AD$3=Inputs!$B$8),AD15+AD18,0)</f>
        <v>39051581.1805675</v>
      </c>
      <c r="AE35" s="0" t="n">
        <f aca="false">AE17+IF((AE$3=Inputs!$B$8),AE15+AE18,0)</f>
        <v>0</v>
      </c>
      <c r="AF35" s="0" t="n">
        <f aca="false">AF17+IF((AF$3=Inputs!$B$8),AF15+AF18,0)</f>
        <v>0</v>
      </c>
      <c r="AG35" s="0" t="n">
        <f aca="false">AG17+IF((AG$3=Inputs!$B$8),AG15+AG18,0)</f>
        <v>0</v>
      </c>
      <c r="AH35" s="0" t="n">
        <f aca="false">AH17+IF((AH$3=Inputs!$B$8),AH15+AH18,0)</f>
        <v>0</v>
      </c>
      <c r="AI35" s="0" t="n">
        <f aca="false">AI17+IF((AI$3=Inputs!$B$8),AI15+AI18,0)</f>
        <v>0</v>
      </c>
      <c r="AJ35" s="0" t="n">
        <f aca="false">AJ17+IF((AJ$3=Inputs!$B$8),AJ15+AJ18,0)</f>
        <v>0</v>
      </c>
      <c r="AK35" s="0" t="n">
        <f aca="false">AK17+IF((AK$3=Inputs!$B$8),AK15+AK18,0)</f>
        <v>0</v>
      </c>
      <c r="AL35" s="0" t="n">
        <f aca="false">AL17+IF((AL$3=Inputs!$B$8),AL15+AL18,0)</f>
        <v>0</v>
      </c>
      <c r="AM35" s="0" t="n">
        <f aca="false">AM17+IF((AM$3=Inputs!$B$8),AM15+AM18,0)</f>
        <v>0</v>
      </c>
      <c r="AN35" s="0" t="n">
        <f aca="false">AN17+IF((AN$3=Inputs!$B$8),AN15+AN18,0)</f>
        <v>0</v>
      </c>
      <c r="AO35" s="0" t="n">
        <f aca="false">AO17+IF((AO$3=Inputs!$B$8),AO15+AO18,0)</f>
        <v>0</v>
      </c>
      <c r="AP35" s="0" t="n">
        <f aca="false">AP17+IF((AP$3=Inputs!$B$8),AP15+AP18,0)</f>
        <v>0</v>
      </c>
    </row>
    <row r="36" customFormat="false" ht="15" hidden="false" customHeight="false" outlineLevel="0" collapsed="false">
      <c r="A36" s="0" t="s">
        <v>51</v>
      </c>
      <c r="B36" s="0" t="n">
        <f aca="false">-Inputs!$B$3*Inputs!$B$17</f>
        <v>-25000000</v>
      </c>
      <c r="C36" s="0" t="n">
        <f aca="false">C22+IF((C$3=Inputs!$B$8),C20+C21-C22,0)</f>
        <v>0</v>
      </c>
      <c r="D36" s="0" t="n">
        <f aca="false">D22+IF((D$3=Inputs!$B$8),D20+D21-D22,0)</f>
        <v>0</v>
      </c>
      <c r="E36" s="0" t="n">
        <f aca="false">E22+IF((E$3=Inputs!$B$8),E20+E21-E22,0)</f>
        <v>0</v>
      </c>
      <c r="F36" s="0" t="n">
        <f aca="false">F22+IF((F$3=Inputs!$B$8),F20+F21-F22,0)</f>
        <v>0</v>
      </c>
      <c r="G36" s="0" t="n">
        <f aca="false">G22+IF((G$3=Inputs!$B$8),G20+G21-G22,0)</f>
        <v>15629.7050973407</v>
      </c>
      <c r="H36" s="0" t="n">
        <f aca="false">H22+IF((H$3=Inputs!$B$8),H20+H21-H22,0)</f>
        <v>69715.5693927177</v>
      </c>
      <c r="I36" s="0" t="n">
        <f aca="false">I22+IF((I$3=Inputs!$B$8),I20+I21-I22,0)</f>
        <v>121655.144764773</v>
      </c>
      <c r="J36" s="0" t="n">
        <f aca="false">J22+IF((J$3=Inputs!$B$8),J20+J21-J22,0)</f>
        <v>171771.294158308</v>
      </c>
      <c r="K36" s="0" t="n">
        <f aca="false">K22+IF((K$3=Inputs!$B$8),K20+K21-K22,0)</f>
        <v>220282.736347341</v>
      </c>
      <c r="L36" s="0" t="n">
        <f aca="false">L22+IF((L$3=Inputs!$B$8),L20+L21-L22,0)</f>
        <v>267406.139774704</v>
      </c>
      <c r="M36" s="0" t="n">
        <f aca="false">M22+IF((M$3=Inputs!$B$8),M20+M21-M22,0)</f>
        <v>313356.122642296</v>
      </c>
      <c r="N36" s="0" t="n">
        <f aca="false">N22+IF((N$3=Inputs!$B$8),N20+N21-N22,0)</f>
        <v>358311.823314512</v>
      </c>
      <c r="O36" s="0" t="n">
        <f aca="false">O22+IF((O$3=Inputs!$B$8),O20+O21-O22,0)</f>
        <v>402383.986347341</v>
      </c>
      <c r="P36" s="0" t="n">
        <f aca="false">P22+IF((P$3=Inputs!$B$8),P20+P21-P22,0)</f>
        <v>445715.59539315</v>
      </c>
      <c r="Q36" s="0" t="n">
        <f aca="false">Q22+IF((Q$3=Inputs!$B$8),Q20+Q21-Q22,0)</f>
        <v>488448.271731145</v>
      </c>
      <c r="R36" s="0" t="n">
        <f aca="false">R22+IF((R$3=Inputs!$B$8),R20+R21-R22,0)</f>
        <v>530656.102486027</v>
      </c>
      <c r="S36" s="0" t="n">
        <f aca="false">S22+IF((S$3=Inputs!$B$8),S20+S21-S22,0)</f>
        <v>572445.500097342</v>
      </c>
      <c r="T36" s="0" t="n">
        <f aca="false">T22+IF((T$3=Inputs!$B$8),T20+T21-T22,0)</f>
        <v>613888.944602025</v>
      </c>
      <c r="U36" s="0" t="n">
        <f aca="false">U22+IF((U$3=Inputs!$B$8),U20+U21-U22,0)</f>
        <v>655091.06966766</v>
      </c>
      <c r="V36" s="0" t="n">
        <f aca="false">V22+IF((V$3=Inputs!$B$8),V20+V21-V22,0)</f>
        <v>696057.264251438</v>
      </c>
      <c r="W36" s="0" t="n">
        <f aca="false">W22+IF((W$3=Inputs!$B$8),W20+W21-W22,0)</f>
        <v>736890.899259841</v>
      </c>
      <c r="X36" s="0" t="n">
        <f aca="false">X22+IF((X$3=Inputs!$B$8),X20+X21-X22,0)</f>
        <v>777629.18702154</v>
      </c>
      <c r="Y36" s="0" t="n">
        <f aca="false">Y22+IF((Y$3=Inputs!$B$8),Y20+Y21-Y22,0)</f>
        <v>818276.525136019</v>
      </c>
      <c r="Z36" s="0" t="n">
        <f aca="false">Z22+IF((Z$3=Inputs!$B$8),Z20+Z21-Z22,0)</f>
        <v>858934.520010436</v>
      </c>
      <c r="AA36" s="0" t="n">
        <f aca="false">AA22+IF((AA$3=Inputs!$B$8),AA20+AA21-AA22,0)</f>
        <v>899606.822897216</v>
      </c>
      <c r="AB36" s="0" t="n">
        <f aca="false">AB22+IF((AB$3=Inputs!$B$8),AB20+AB21-AB22,0)</f>
        <v>940297.098744891</v>
      </c>
      <c r="AC36" s="0" t="n">
        <f aca="false">AC22+IF((AC$3=Inputs!$B$8),AC20+AC21-AC22,0)</f>
        <v>981073.307549679</v>
      </c>
      <c r="AD36" s="0" t="n">
        <f aca="false">AD22+IF((AD$3=Inputs!$B$8),AD20+AD21-AD22,0)</f>
        <v>41692656.8836256</v>
      </c>
      <c r="AE36" s="0" t="n">
        <f aca="false">AE22+IF((AE$3=Inputs!$B$8),AE20+AE21-AE22,0)</f>
        <v>0</v>
      </c>
      <c r="AF36" s="0" t="n">
        <f aca="false">AF22+IF((AF$3=Inputs!$B$8),AF20+AF21-AF22,0)</f>
        <v>0</v>
      </c>
      <c r="AG36" s="0" t="n">
        <f aca="false">AG22+IF((AG$3=Inputs!$B$8),AG20+AG21-AG22,0)</f>
        <v>0</v>
      </c>
      <c r="AH36" s="0" t="n">
        <f aca="false">AH22+IF((AH$3=Inputs!$B$8),AH20+AH21-AH22,0)</f>
        <v>0</v>
      </c>
      <c r="AI36" s="0" t="n">
        <f aca="false">AI22+IF((AI$3=Inputs!$B$8),AI20+AI21-AI22,0)</f>
        <v>0</v>
      </c>
      <c r="AJ36" s="0" t="n">
        <f aca="false">AJ22+IF((AJ$3=Inputs!$B$8),AJ20+AJ21-AJ22,0)</f>
        <v>0</v>
      </c>
      <c r="AK36" s="0" t="n">
        <f aca="false">AK22+IF((AK$3=Inputs!$B$8),AK20+AK21-AK22,0)</f>
        <v>0</v>
      </c>
      <c r="AL36" s="0" t="n">
        <f aca="false">AL22+IF((AL$3=Inputs!$B$8),AL20+AL21-AL22,0)</f>
        <v>0</v>
      </c>
      <c r="AM36" s="0" t="n">
        <f aca="false">AM22+IF((AM$3=Inputs!$B$8),AM20+AM21-AM22,0)</f>
        <v>0</v>
      </c>
      <c r="AN36" s="0" t="n">
        <f aca="false">AN22+IF((AN$3=Inputs!$B$8),AN20+AN21-AN22,0)</f>
        <v>0</v>
      </c>
      <c r="AO36" s="0" t="n">
        <f aca="false">AO22+IF((AO$3=Inputs!$B$8),AO20+AO21-AO22,0)</f>
        <v>0</v>
      </c>
      <c r="AP36" s="0" t="n">
        <f aca="false">AP22+IF((AP$3=Inputs!$B$8),AP20+AP21-AP22,0)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52</v>
      </c>
      <c r="B3" s="2" t="n">
        <f aca="false">(1+IRR('Cash Flow'!B33:AP33,0.03))^4-1</f>
        <v>0.0901146193252045</v>
      </c>
    </row>
    <row r="4" customFormat="false" ht="15" hidden="false" customHeight="false" outlineLevel="0" collapsed="false">
      <c r="A4" s="0" t="s">
        <v>53</v>
      </c>
      <c r="B4" s="4" t="n">
        <f aca="false">SUMIF('Cash Flow'!B33:AP33,"&gt;0")/-SUMIF('Cash Flow'!B33:AP33,"&lt;0")</f>
        <v>1.82938514196215</v>
      </c>
    </row>
    <row r="5" customFormat="false" ht="15" hidden="false" customHeight="false" outlineLevel="0" collapsed="false">
      <c r="A5" s="0" t="s">
        <v>54</v>
      </c>
      <c r="B5" s="2" t="n">
        <f aca="false">(1+IRR('Cash Flow'!B35:AP35,0.02))^4-1</f>
        <v>0.114621259414063</v>
      </c>
    </row>
    <row r="6" customFormat="false" ht="15" hidden="false" customHeight="false" outlineLevel="0" collapsed="false">
      <c r="A6" s="0" t="s">
        <v>55</v>
      </c>
      <c r="B6" s="2" t="n">
        <f aca="false">(1+IRR('Cash Flow'!B36:AP36,0.02))^4-1</f>
        <v>0.125508809999998</v>
      </c>
    </row>
    <row r="7" customFormat="false" ht="15" hidden="false" customHeight="false" outlineLevel="0" collapsed="false">
      <c r="A7" s="0" t="s">
        <v>56</v>
      </c>
      <c r="B7" s="2" t="n">
        <f aca="false">(1+IRR('Cash Flow'!B34:AP34,0.01))^4-1</f>
        <v>0.0604482295465385</v>
      </c>
    </row>
    <row r="8" customFormat="false" ht="15" hidden="false" customHeight="false" outlineLevel="0" collapsed="false">
      <c r="A8" s="0" t="s">
        <v>57</v>
      </c>
      <c r="B8" s="4" t="n">
        <f aca="false">MIN('Cash Flow'!C12:AP12)</f>
        <v>1.31890355151417</v>
      </c>
    </row>
    <row r="9" customFormat="false" ht="15" hidden="false" customHeight="false" outlineLevel="0" collapsed="false">
      <c r="A9" s="0" t="s">
        <v>58</v>
      </c>
      <c r="B9" s="3" t="n">
        <f aca="false">SUM('Cash Flow'!B24:AP24)</f>
        <v>0</v>
      </c>
    </row>
    <row r="10" customFormat="false" ht="15" hidden="false" customHeight="false" outlineLevel="0" collapsed="false">
      <c r="A10" s="0" t="s">
        <v>59</v>
      </c>
      <c r="B10" s="1" t="n">
        <f aca="false">SUM('Cash Flow'!B25:AP25)</f>
        <v>0</v>
      </c>
    </row>
    <row r="11" customFormat="false" ht="15" hidden="false" customHeight="false" outlineLevel="0" collapsed="false">
      <c r="A11" s="0" t="s">
        <v>60</v>
      </c>
      <c r="B11" s="1" t="n">
        <f aca="false">MAX('Cash Flow'!B28:AP28)</f>
        <v>38006405.0419149</v>
      </c>
    </row>
    <row r="12" customFormat="false" ht="15" hidden="false" customHeight="false" outlineLevel="0" collapsed="false">
      <c r="A12" s="0" t="s">
        <v>61</v>
      </c>
      <c r="B12" s="1" t="n">
        <f aca="false">SUM('Cash Flow'!B14:AP14)</f>
        <v>0</v>
      </c>
    </row>
    <row r="13" customFormat="false" ht="15" hidden="false" customHeight="false" outlineLevel="0" collapsed="false">
      <c r="A13" s="0" t="s">
        <v>62</v>
      </c>
      <c r="B13" s="1" t="n">
        <f aca="false">SUM('Cash Flow'!B31:AP31)</f>
        <v>307168306.107126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2026-10-17T12:22:18Z</dcterms:created>
  <dc:creator>openpyxl</dc:creator>
  <dc:description/>
  <dc:language>en-US</dc:language>
  <cp:lastModifiedBy/>
  <dcterms:modified xsi:type="dcterms:W3CDTF">2026-10-17T12:22:18Z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