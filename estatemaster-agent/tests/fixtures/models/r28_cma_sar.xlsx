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erms" sheetId="1" state="visible" r:id="rId3"/>
    <sheet name="Projects" sheetId="2" state="visible" r:id="rId4"/>
    <sheet name="Fund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<sst xmlns="http://schemas.openxmlformats.org/spreadsheetml/2006/main" count="31" uniqueCount="30">
  <si>
    <t xml:space="preserve">AL DIRIYAH GATE REAL ESTATE FUND – PRIVATE FUND, CMA (SAR)</t>
  </si>
  <si>
    <t xml:space="preserve">Units subscribed</t>
  </si>
  <si>
    <t xml:space="preserve">Subscription price per unit (SAR)</t>
  </si>
  <si>
    <t xml:space="preserve">Management fee (of NAV)</t>
  </si>
  <si>
    <t xml:space="preserve">Fund board fees a year (SAR)</t>
  </si>
  <si>
    <t xml:space="preserve">Custodian fee (of NAV)</t>
  </si>
  <si>
    <t xml:space="preserve">Zakat</t>
  </si>
  <si>
    <t xml:space="preserve">Subscription fee</t>
  </si>
  <si>
    <t xml:space="preserve">Exit costs</t>
  </si>
  <si>
    <t xml:space="preserve">Project</t>
  </si>
  <si>
    <t xml:space="preserve">Cost (SAR)</t>
  </si>
  <si>
    <t xml:space="preserve">Build years</t>
  </si>
  <si>
    <t xml:space="preserve">Sale value (SAR)</t>
  </si>
  <si>
    <t xml:space="preserve">Sale year</t>
  </si>
  <si>
    <t xml:space="preserve">Villas phase 1</t>
  </si>
  <si>
    <t xml:space="preserve">Retail strip</t>
  </si>
  <si>
    <t xml:space="preserve">Year</t>
  </si>
  <si>
    <t xml:space="preserve">Spend</t>
  </si>
  <si>
    <t xml:space="preserve">Sales</t>
  </si>
  <si>
    <t xml:space="preserve">Fees</t>
  </si>
  <si>
    <t xml:space="preserve">Net cash</t>
  </si>
  <si>
    <t xml:space="preserve">Property at cost</t>
  </si>
  <si>
    <t xml:space="preserve">Cash</t>
  </si>
  <si>
    <t xml:space="preserve">NAV</t>
  </si>
  <si>
    <t xml:space="preserve">NAV per unit</t>
  </si>
  <si>
    <t xml:space="preserve">NAV per unit at the end (SAR)</t>
  </si>
  <si>
    <t xml:space="preserve">Return per unit a year</t>
  </si>
  <si>
    <t xml:space="preserve">Fees paid over the life (SAR)</t>
  </si>
  <si>
    <t xml:space="preserve">Zakat paid (SAR)</t>
  </si>
  <si>
    <t xml:space="preserve">Cash short at any year end (SAR)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</si>
</sst>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0.00%"/>
    <numFmt numFmtId="168" formatCode="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45000000</v>
      </c>
    </row>
    <row r="4" customFormat="false" ht="15" hidden="false" customHeight="false" outlineLevel="0" collapsed="false">
      <c r="A4" s="0" t="s">
        <v>2</v>
      </c>
      <c r="B4" s="2" t="n">
        <v>10</v>
      </c>
    </row>
    <row r="5" customFormat="false" ht="15" hidden="false" customHeight="false" outlineLevel="0" collapsed="false">
      <c r="A5" s="0" t="s">
        <v>3</v>
      </c>
      <c r="B5" s="3" t="n">
        <v>0.015</v>
      </c>
    </row>
    <row r="6" customFormat="false" ht="15" hidden="false" customHeight="false" outlineLevel="0" collapsed="false">
      <c r="A6" s="0" t="s">
        <v>4</v>
      </c>
      <c r="B6" s="1" t="n">
        <v>600000</v>
      </c>
    </row>
    <row r="7" customFormat="false" ht="15" hidden="false" customHeight="false" outlineLevel="0" collapsed="false">
      <c r="A7" s="0" t="s">
        <v>5</v>
      </c>
      <c r="B7" s="3" t="n">
        <v>0.0005</v>
      </c>
    </row>
    <row r="8" customFormat="false" ht="15" hidden="false" customHeight="false" outlineLevel="0" collapsed="false">
      <c r="A8" s="0" t="s">
        <v>6</v>
      </c>
      <c r="B8" s="3" t="n">
        <v>0.025</v>
      </c>
    </row>
    <row r="9" customFormat="false" ht="15" hidden="false" customHeight="false" outlineLevel="0" collapsed="false">
      <c r="A9" s="0" t="s">
        <v>7</v>
      </c>
      <c r="B9" s="3" t="n">
        <v>0.02</v>
      </c>
    </row>
    <row r="10" customFormat="false" ht="15" hidden="false" customHeight="false" outlineLevel="0" collapsed="false">
      <c r="A10" s="0" t="s">
        <v>8</v>
      </c>
      <c r="B10" s="3" t="n">
        <v>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</row>
    <row r="2" customFormat="false" ht="15" hidden="false" customHeight="false" outlineLevel="0" collapsed="false">
      <c r="A2" s="0" t="s">
        <v>14</v>
      </c>
      <c r="B2" s="0" t="n">
        <v>185000000</v>
      </c>
      <c r="C2" s="0" t="n">
        <v>2</v>
      </c>
      <c r="D2" s="0" t="n">
        <v>305000000</v>
      </c>
      <c r="E2" s="0" t="n">
        <v>3</v>
      </c>
    </row>
    <row r="3" customFormat="false" ht="15" hidden="false" customHeight="false" outlineLevel="0" collapsed="false">
      <c r="A3" s="0" t="s">
        <v>15</v>
      </c>
      <c r="B3" s="0" t="n">
        <v>140000000</v>
      </c>
      <c r="C3" s="0" t="n">
        <v>2</v>
      </c>
      <c r="D3" s="0" t="n">
        <v>236000000</v>
      </c>
      <c r="E3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16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</row>
    <row r="4" customFormat="false" ht="15" hidden="false" customHeight="false" outlineLevel="0" collapsed="false">
      <c r="A4" s="0" t="s">
        <v>17</v>
      </c>
      <c r="B4" s="0" t="n">
        <f aca="false">0</f>
        <v>0</v>
      </c>
      <c r="C4" s="0" t="n">
        <f aca="false">IF(C$3&lt;=Projects!$C$2,Projects!$B$2/Projects!$C$2,0)+IF(C$3&lt;=Projects!$C$3,Projects!$B$3/Projects!$C$3,0)</f>
        <v>162500000</v>
      </c>
      <c r="D4" s="0" t="n">
        <f aca="false">IF(D$3&lt;=Projects!$C$2,Projects!$B$2/Projects!$C$2,0)+IF(D$3&lt;=Projects!$C$3,Projects!$B$3/Projects!$C$3,0)</f>
        <v>162500000</v>
      </c>
      <c r="E4" s="0" t="n">
        <f aca="false">IF(E$3&lt;=Projects!$C$2,Projects!$B$2/Projects!$C$2,0)+IF(E$3&lt;=Projects!$C$3,Projects!$B$3/Projects!$C$3,0)</f>
        <v>0</v>
      </c>
      <c r="F4" s="0" t="n">
        <f aca="false">IF(F$3&lt;=Projects!$C$2,Projects!$B$2/Projects!$C$2,0)+IF(F$3&lt;=Projects!$C$3,Projects!$B$3/Projects!$C$3,0)</f>
        <v>0</v>
      </c>
    </row>
    <row r="5" customFormat="false" ht="15" hidden="false" customHeight="false" outlineLevel="0" collapsed="false">
      <c r="A5" s="0" t="s">
        <v>18</v>
      </c>
      <c r="B5" s="0" t="n">
        <f aca="false">0</f>
        <v>0</v>
      </c>
      <c r="C5" s="0" t="n">
        <f aca="false">IF(C$3=Projects!$E$2,Projects!$D$2*(1-Terms!$B$10),0)+IF(C$3=Projects!$E$3,Projects!$D$3*(1-Terms!$B$10),0)</f>
        <v>0</v>
      </c>
      <c r="D5" s="0" t="n">
        <f aca="false">IF(D$3=Projects!$E$2,Projects!$D$2*(1-Terms!$B$10),0)+IF(D$3=Projects!$E$3,Projects!$D$3*(1-Terms!$B$10),0)</f>
        <v>0</v>
      </c>
      <c r="E5" s="0" t="n">
        <f aca="false">IF(E$3=Projects!$E$2,Projects!$D$2*(1-Terms!$B$10),0)+IF(E$3=Projects!$E$3,Projects!$D$3*(1-Terms!$B$10),0)</f>
        <v>298900000</v>
      </c>
      <c r="F5" s="0" t="n">
        <f aca="false">IF(F$3=Projects!$E$2,Projects!$D$2*(1-Terms!$B$10),0)+IF(F$3=Projects!$E$3,Projects!$D$3*(1-Terms!$B$10),0)</f>
        <v>231280000</v>
      </c>
    </row>
    <row r="6" customFormat="false" ht="15" hidden="false" customHeight="false" outlineLevel="0" collapsed="false">
      <c r="A6" s="0" t="s">
        <v>19</v>
      </c>
      <c r="B6" s="0" t="n">
        <f aca="false">0</f>
        <v>0</v>
      </c>
      <c r="C6" s="0" t="n">
        <f aca="false">B11*(Terms!$B$5+Terms!$B$7)+Terms!$B$6</f>
        <v>7435500</v>
      </c>
      <c r="D6" s="0" t="n">
        <f aca="false">C11*(Terms!$B$5+Terms!$B$7)+Terms!$B$6</f>
        <v>7149362.25</v>
      </c>
      <c r="E6" s="0" t="n">
        <f aca="false">D11*(Terms!$B$5+Terms!$B$7)+Terms!$B$6</f>
        <v>6874813.078875</v>
      </c>
      <c r="F6" s="0" t="n">
        <f aca="false">E11*(Terms!$B$5+Terms!$B$7)+Terms!$B$6</f>
        <v>8376833.14918056</v>
      </c>
    </row>
    <row r="7" customFormat="false" ht="15" hidden="false" customHeight="false" outlineLevel="0" collapsed="false">
      <c r="A7" s="0" t="s">
        <v>6</v>
      </c>
      <c r="B7" s="0" t="n">
        <f aca="false">0</f>
        <v>0</v>
      </c>
      <c r="C7" s="0" t="n">
        <f aca="false">MAX(0,B11)*Terms!$B$8</f>
        <v>11025000</v>
      </c>
      <c r="D7" s="0" t="n">
        <f aca="false">MAX(0,C11)*Terms!$B$8</f>
        <v>10563487.5</v>
      </c>
      <c r="E7" s="0" t="n">
        <f aca="false">MAX(0,D11)*Terms!$B$8</f>
        <v>10120666.25625</v>
      </c>
      <c r="F7" s="0" t="n">
        <f aca="false">MAX(0,E11)*Terms!$B$8</f>
        <v>12543279.2728719</v>
      </c>
    </row>
    <row r="8" customFormat="false" ht="15" hidden="false" customHeight="false" outlineLevel="0" collapsed="false">
      <c r="A8" s="0" t="s">
        <v>20</v>
      </c>
      <c r="B8" s="0" t="n">
        <f aca="false">Terms!$B$3*Terms!$B$4*(1-Terms!$B$9)</f>
        <v>441000000</v>
      </c>
      <c r="C8" s="0" t="n">
        <f aca="false">C5-C4-C6-C7</f>
        <v>-180960500</v>
      </c>
      <c r="D8" s="0" t="n">
        <f aca="false">D5-D4-D6-D7</f>
        <v>-180212849.75</v>
      </c>
      <c r="E8" s="0" t="n">
        <f aca="false">E5-E4-E6-E7</f>
        <v>281904520.664875</v>
      </c>
      <c r="F8" s="0" t="n">
        <f aca="false">F5-F4-F6-F7</f>
        <v>210359887.577948</v>
      </c>
    </row>
    <row r="9" customFormat="false" ht="15" hidden="false" customHeight="false" outlineLevel="0" collapsed="false">
      <c r="A9" s="0" t="s">
        <v>21</v>
      </c>
      <c r="B9" s="0" t="n">
        <f aca="false">0</f>
        <v>0</v>
      </c>
      <c r="C9" s="0" t="n">
        <f aca="false">B9+C4-IF(C$3=Projects!$E$2,Projects!$B$2,0)-IF(C$3=Projects!$E$3,Projects!$B$3,0)</f>
        <v>162500000</v>
      </c>
      <c r="D9" s="0" t="n">
        <f aca="false">C9+D4-IF(D$3=Projects!$E$2,Projects!$B$2,0)-IF(D$3=Projects!$E$3,Projects!$B$3,0)</f>
        <v>325000000</v>
      </c>
      <c r="E9" s="0" t="n">
        <f aca="false">D9+E4-IF(E$3=Projects!$E$2,Projects!$B$2,0)-IF(E$3=Projects!$E$3,Projects!$B$3,0)</f>
        <v>140000000</v>
      </c>
      <c r="F9" s="0" t="n">
        <f aca="false">E9+F4-IF(F$3=Projects!$E$2,Projects!$B$2,0)-IF(F$3=Projects!$E$3,Projects!$B$3,0)</f>
        <v>0</v>
      </c>
    </row>
    <row r="10" customFormat="false" ht="15" hidden="false" customHeight="false" outlineLevel="0" collapsed="false">
      <c r="A10" s="0" t="s">
        <v>22</v>
      </c>
      <c r="B10" s="0" t="n">
        <f aca="false">B8</f>
        <v>441000000</v>
      </c>
      <c r="C10" s="0" t="n">
        <f aca="false">B10+C8</f>
        <v>260039500</v>
      </c>
      <c r="D10" s="0" t="n">
        <f aca="false">C10+D8</f>
        <v>79826650.25</v>
      </c>
      <c r="E10" s="0" t="n">
        <f aca="false">D10+E8</f>
        <v>361731170.914875</v>
      </c>
      <c r="F10" s="0" t="n">
        <f aca="false">E10+F8</f>
        <v>572091058.492823</v>
      </c>
    </row>
    <row r="11" customFormat="false" ht="15" hidden="false" customHeight="false" outlineLevel="0" collapsed="false">
      <c r="A11" s="0" t="s">
        <v>23</v>
      </c>
      <c r="B11" s="0" t="n">
        <f aca="false">B10+B9</f>
        <v>441000000</v>
      </c>
      <c r="C11" s="0" t="n">
        <f aca="false">C10+C9</f>
        <v>422539500</v>
      </c>
      <c r="D11" s="0" t="n">
        <f aca="false">D10+D9</f>
        <v>404826650.25</v>
      </c>
      <c r="E11" s="0" t="n">
        <f aca="false">E10+E9</f>
        <v>501731170.914875</v>
      </c>
      <c r="F11" s="0" t="n">
        <f aca="false">F10+F9</f>
        <v>572091058.492823</v>
      </c>
    </row>
    <row r="12" customFormat="false" ht="15" hidden="false" customHeight="false" outlineLevel="0" collapsed="false">
      <c r="A12" s="0" t="s">
        <v>24</v>
      </c>
      <c r="B12" s="0" t="n">
        <f aca="false">B11/Terms!$B$3</f>
        <v>9.8</v>
      </c>
      <c r="C12" s="0" t="n">
        <f aca="false">C11/Terms!$B$3</f>
        <v>9.38976666666667</v>
      </c>
      <c r="D12" s="0" t="n">
        <f aca="false">D11/Terms!$B$3</f>
        <v>8.99614778333333</v>
      </c>
      <c r="E12" s="0" t="n">
        <f aca="false">E11/Terms!$B$3</f>
        <v>11.1495815758861</v>
      </c>
      <c r="F12" s="0" t="n">
        <f aca="false">F11/Terms!$B$3</f>
        <v>12.7131346331738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25</v>
      </c>
      <c r="B3" s="4" t="n">
        <f aca="false">Fund!F12</f>
        <v>12.7131346331738</v>
      </c>
    </row>
    <row r="4" customFormat="false" ht="15" hidden="false" customHeight="false" outlineLevel="0" collapsed="false">
      <c r="A4" s="0" t="s">
        <v>26</v>
      </c>
      <c r="B4" s="3" t="n">
        <f aca="false">(B3/Terms!$B$4)^(1/4)-1</f>
        <v>0.0618499759730242</v>
      </c>
    </row>
    <row r="5" customFormat="false" ht="15" hidden="false" customHeight="false" outlineLevel="0" collapsed="false">
      <c r="A5" s="0" t="s">
        <v>27</v>
      </c>
      <c r="B5" s="1" t="n">
        <f aca="false">SUM(Fund!$B$6:$F$6)</f>
        <v>29836508.4780556</v>
      </c>
    </row>
    <row r="6" customFormat="false" ht="15" hidden="false" customHeight="false" outlineLevel="0" collapsed="false">
      <c r="A6" s="0" t="s">
        <v>28</v>
      </c>
      <c r="B6" s="1" t="n">
        <f aca="false">SUM(Fund!$B$7:$F$7)</f>
        <v>44252433.0291219</v>
      </c>
    </row>
    <row r="7" customFormat="false" ht="15" hidden="false" customHeight="false" outlineLevel="0" collapsed="false">
      <c r="A7" s="0" t="s">
        <v>29</v>
      </c>
      <c r="B7" s="1" t="n">
        <f aca="false">-MIN(0,MIN(Fund!$B$10:$F$10))</f>
        <v>-0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2026-10-18T01:10:31Z</dcterms:created>
  <dc:creator>openpyxl</dc:creator>
  <dc:description/>
  <dc:language>en-US</dc:language>
  <cp:lastModifiedBy/>
  <dcterms:modified xsi:type="dcterms:W3CDTF">2026-10-18T01:10:31Z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