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leases" sheetId="2" state="visible" r:id="rId4"/>
    <sheet name="Quarterly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<sst xmlns="http://schemas.openxmlformats.org/spreadsheetml/2006/main" count="28" uniqueCount="27">
  <si>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MAPLE RIDGE TOWNHOMES – BUILD TO SELL (CAD)</t>
  </si>
  <si>
    <t xml:space="preserve">Townhomes</t>
  </si>
  <si>
    <t xml:space="preserve">Average sale price (C$)</t>
  </si>
  <si>
    <t xml:space="preserve">Sales pace (homes per quarter)</t>
  </si>
  <si>
    <t xml:space="preserve">Sales start (quarter)</t>
  </si>
  <si>
    <t xml:space="preserve">Hard cost per home (C$)</t>
  </si>
  <si>
    <t xml:space="preserve">Soft costs (% of hard)</t>
  </si>
  <si>
    <t xml:space="preserve">Land (C$)</t>
  </si>
  <si>
    <t xml:space="preserve">Development charges per home (C$)</t>
  </si>
  <si>
    <t xml:space="preserve">Commission</t>
  </si>
  <si>
    <t xml:space="preserve">Price growth per quarter</t>
  </si>
  <si>
    <t xml:space="preserve">Release</t>
  </si>
  <si>
    <t xml:space="preserve">Homes</t>
  </si>
  <si>
    <t xml:space="preserve">Quarter</t>
  </si>
  <si>
    <t xml:space="preserve">Homes available</t>
  </si>
  <si>
    <t xml:space="preserve">Homes sold</t>
  </si>
  <si>
    <t xml:space="preserve">Cumulative sold</t>
  </si>
  <si>
    <t xml:space="preserve">Revenue</t>
  </si>
  <si>
    <t xml:space="preserve">Hard &amp; soft</t>
  </si>
  <si>
    <t xml:space="preserve">Land &amp; charges</t>
  </si>
  <si>
    <t xml:space="preserve">Net cash flow</t>
  </si>
  <si>
    <t xml:space="preserve">Project IRR (annual)</t>
  </si>
  <si>
    <t xml:space="preserve">Net profit</t>
  </si>
  <si>
    <t xml:space="preserve">Total development cost</t>
  </si>
  <si>
    <t xml:space="preserve">Profit on cost</t>
  </si>
  <si>
    <t xml:space="preserve">Homes unsold at the end</t>
  </si>
  <si>
    <t xml:space="preserve">Gross 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</si>
</sst>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96</v>
      </c>
    </row>
    <row r="4" customFormat="false" ht="15" hidden="false" customHeight="false" outlineLevel="0" collapsed="false">
      <c r="A4" s="0" t="s">
        <v>2</v>
      </c>
      <c r="B4" s="1" t="n">
        <v>845000</v>
      </c>
    </row>
    <row r="5" customFormat="false" ht="15" hidden="false" customHeight="false" outlineLevel="0" collapsed="false">
      <c r="A5" s="0" t="s">
        <v>3</v>
      </c>
      <c r="B5" s="1" t="n">
        <v>12</v>
      </c>
    </row>
    <row r="6" customFormat="false" ht="15" hidden="false" customHeight="false" outlineLevel="0" collapsed="false">
      <c r="A6" s="0" t="s">
        <v>4</v>
      </c>
      <c r="B6" s="2" t="n">
        <v>2</v>
      </c>
    </row>
    <row r="7" customFormat="false" ht="15" hidden="false" customHeight="false" outlineLevel="0" collapsed="false">
      <c r="A7" s="0" t="s">
        <v>5</v>
      </c>
      <c r="B7" s="1" t="n">
        <v>410000</v>
      </c>
    </row>
    <row r="8" customFormat="false" ht="15" hidden="false" customHeight="false" outlineLevel="0" collapsed="false">
      <c r="A8" s="0" t="s">
        <v>6</v>
      </c>
      <c r="B8" s="3" t="n">
        <v>0.16</v>
      </c>
    </row>
    <row r="9" customFormat="false" ht="15" hidden="false" customHeight="false" outlineLevel="0" collapsed="false">
      <c r="A9" s="0" t="s">
        <v>7</v>
      </c>
      <c r="B9" s="1" t="n">
        <v>18500000</v>
      </c>
    </row>
    <row r="10" customFormat="false" ht="15" hidden="false" customHeight="false" outlineLevel="0" collapsed="false">
      <c r="A10" s="0" t="s">
        <v>8</v>
      </c>
      <c r="B10" s="1" t="n">
        <v>62000</v>
      </c>
    </row>
    <row r="11" customFormat="false" ht="15" hidden="false" customHeight="false" outlineLevel="0" collapsed="false">
      <c r="A11" s="0" t="s">
        <v>9</v>
      </c>
      <c r="B11" s="3" t="n">
        <v>0.04</v>
      </c>
    </row>
    <row r="12" customFormat="false" ht="15" hidden="false" customHeight="false" outlineLevel="0" collapsed="false">
      <c r="A12" s="0" t="s">
        <v>10</v>
      </c>
      <c r="B12" s="3" t="n">
        <v>0.006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12</v>
      </c>
    </row>
    <row r="2" customFormat="false" ht="15" hidden="false" customHeight="false" outlineLevel="0" collapsed="false">
      <c r="A2" s="0" t="n">
        <v>1</v>
      </c>
      <c r="B2" s="0" t="n">
        <v>24</v>
      </c>
    </row>
    <row r="3" customFormat="false" ht="15" hidden="false" customHeight="false" outlineLevel="0" collapsed="false">
      <c r="A3" s="0" t="n">
        <v>2</v>
      </c>
      <c r="B3" s="0" t="n">
        <v>24</v>
      </c>
    </row>
    <row r="4" customFormat="false" ht="15" hidden="false" customHeight="false" outlineLevel="0" collapsed="false">
      <c r="A4" s="0" t="n">
        <v>3</v>
      </c>
      <c r="B4" s="0" t="n">
        <v>24</v>
      </c>
    </row>
    <row r="5" customFormat="false" ht="15" hidden="false" customHeight="false" outlineLevel="0" collapsed="false">
      <c r="A5" s="0" t="n">
        <v>4</v>
      </c>
      <c r="B5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</row>
    <row r="4" customFormat="false" ht="15" hidden="false" customHeight="false" outlineLevel="0" collapsed="false">
      <c r="A4" s="0" t="s">
        <v>14</v>
      </c>
      <c r="B4" s="0" t="n">
        <f aca="true">IFERROR(SUM(OFFSET(Releases!$B$2,0,0,MIN(4,MAX(0,INT((B$3-Inputs!$B$6)/2)+1)),1)),0)*(B$3&gt;=Inputs!$B$6)</f>
        <v>0</v>
      </c>
      <c r="C4" s="0" t="n">
        <f aca="true">IFERROR(SUM(OFFSET(Releases!$B$2,0,0,MIN(4,MAX(0,INT((C$3-Inputs!$B$6)/2)+1)),1)),0)*(C$3&gt;=Inputs!$B$6)</f>
        <v>0</v>
      </c>
      <c r="D4" s="0" t="n">
        <f aca="true">IFERROR(SUM(OFFSET(Releases!$B$2,0,0,MIN(4,MAX(0,INT((D$3-Inputs!$B$6)/2)+1)),1)),0)*(D$3&gt;=Inputs!$B$6)</f>
        <v>24</v>
      </c>
      <c r="E4" s="0" t="n">
        <f aca="true">IFERROR(SUM(OFFSET(Releases!$B$2,0,0,MIN(4,MAX(0,INT((E$3-Inputs!$B$6)/2)+1)),1)),0)*(E$3&gt;=Inputs!$B$6)</f>
        <v>24</v>
      </c>
      <c r="F4" s="0" t="n">
        <f aca="true">IFERROR(SUM(OFFSET(Releases!$B$2,0,0,MIN(4,MAX(0,INT((F$3-Inputs!$B$6)/2)+1)),1)),0)*(F$3&gt;=Inputs!$B$6)</f>
        <v>48</v>
      </c>
      <c r="G4" s="0" t="n">
        <f aca="true">IFERROR(SUM(OFFSET(Releases!$B$2,0,0,MIN(4,MAX(0,INT((G$3-Inputs!$B$6)/2)+1)),1)),0)*(G$3&gt;=Inputs!$B$6)</f>
        <v>48</v>
      </c>
      <c r="H4" s="0" t="n">
        <f aca="true">IFERROR(SUM(OFFSET(Releases!$B$2,0,0,MIN(4,MAX(0,INT((H$3-Inputs!$B$6)/2)+1)),1)),0)*(H$3&gt;=Inputs!$B$6)</f>
        <v>72</v>
      </c>
      <c r="I4" s="0" t="n">
        <f aca="true">IFERROR(SUM(OFFSET(Releases!$B$2,0,0,MIN(4,MAX(0,INT((I$3-Inputs!$B$6)/2)+1)),1)),0)*(I$3&gt;=Inputs!$B$6)</f>
        <v>72</v>
      </c>
      <c r="J4" s="0" t="n">
        <f aca="true">IFERROR(SUM(OFFSET(Releases!$B$2,0,0,MIN(4,MAX(0,INT((J$3-Inputs!$B$6)/2)+1)),1)),0)*(J$3&gt;=Inputs!$B$6)</f>
        <v>96</v>
      </c>
      <c r="K4" s="0" t="n">
        <f aca="true">IFERROR(SUM(OFFSET(Releases!$B$2,0,0,MIN(4,MAX(0,INT((K$3-Inputs!$B$6)/2)+1)),1)),0)*(K$3&gt;=Inputs!$B$6)</f>
        <v>96</v>
      </c>
      <c r="L4" s="0" t="n">
        <f aca="true">IFERROR(SUM(OFFSET(Releases!$B$2,0,0,MIN(4,MAX(0,INT((L$3-Inputs!$B$6)/2)+1)),1)),0)*(L$3&gt;=Inputs!$B$6)</f>
        <v>96</v>
      </c>
      <c r="M4" s="0" t="n">
        <f aca="true">IFERROR(SUM(OFFSET(Releases!$B$2,0,0,MIN(4,MAX(0,INT((M$3-Inputs!$B$6)/2)+1)),1)),0)*(M$3&gt;=Inputs!$B$6)</f>
        <v>96</v>
      </c>
      <c r="N4" s="0" t="n">
        <f aca="true">IFERROR(SUM(OFFSET(Releases!$B$2,0,0,MIN(4,MAX(0,INT((N$3-Inputs!$B$6)/2)+1)),1)),0)*(N$3&gt;=Inputs!$B$6)</f>
        <v>96</v>
      </c>
      <c r="O4" s="0" t="n">
        <f aca="true">IFERROR(SUM(OFFSET(Releases!$B$2,0,0,MIN(4,MAX(0,INT((O$3-Inputs!$B$6)/2)+1)),1)),0)*(O$3&gt;=Inputs!$B$6)</f>
        <v>96</v>
      </c>
      <c r="P4" s="0" t="n">
        <f aca="true">IFERROR(SUM(OFFSET(Releases!$B$2,0,0,MIN(4,MAX(0,INT((P$3-Inputs!$B$6)/2)+1)),1)),0)*(P$3&gt;=Inputs!$B$6)</f>
        <v>96</v>
      </c>
      <c r="Q4" s="0" t="n">
        <f aca="true">IFERROR(SUM(OFFSET(Releases!$B$2,0,0,MIN(4,MAX(0,INT((Q$3-Inputs!$B$6)/2)+1)),1)),0)*(Q$3&gt;=Inputs!$B$6)</f>
        <v>96</v>
      </c>
      <c r="R4" s="0" t="n">
        <f aca="true">IFERROR(SUM(OFFSET(Releases!$B$2,0,0,MIN(4,MAX(0,INT((R$3-Inputs!$B$6)/2)+1)),1)),0)*(R$3&gt;=Inputs!$B$6)</f>
        <v>96</v>
      </c>
    </row>
    <row r="5" customFormat="false" ht="15" hidden="false" customHeight="false" outlineLevel="0" collapsed="false">
      <c r="A5" s="0" t="s">
        <v>15</v>
      </c>
      <c r="B5" s="0" t="n">
        <f aca="false">0</f>
        <v>0</v>
      </c>
      <c r="C5" s="0" t="n">
        <f aca="false">MAX(0,MIN(Inputs!$B$5,C4-B6))*(C$3&gt;=Inputs!$B$6)</f>
        <v>0</v>
      </c>
      <c r="D5" s="0" t="n">
        <f aca="false">MAX(0,MIN(Inputs!$B$5,D4-C6))*(D$3&gt;=Inputs!$B$6)</f>
        <v>12</v>
      </c>
      <c r="E5" s="0" t="n">
        <f aca="false">MAX(0,MIN(Inputs!$B$5,E4-D6))*(E$3&gt;=Inputs!$B$6)</f>
        <v>12</v>
      </c>
      <c r="F5" s="0" t="n">
        <f aca="false">MAX(0,MIN(Inputs!$B$5,F4-E6))*(F$3&gt;=Inputs!$B$6)</f>
        <v>12</v>
      </c>
      <c r="G5" s="0" t="n">
        <f aca="false">MAX(0,MIN(Inputs!$B$5,G4-F6))*(G$3&gt;=Inputs!$B$6)</f>
        <v>12</v>
      </c>
      <c r="H5" s="0" t="n">
        <f aca="false">MAX(0,MIN(Inputs!$B$5,H4-G6))*(H$3&gt;=Inputs!$B$6)</f>
        <v>12</v>
      </c>
      <c r="I5" s="0" t="n">
        <f aca="false">MAX(0,MIN(Inputs!$B$5,I4-H6))*(I$3&gt;=Inputs!$B$6)</f>
        <v>12</v>
      </c>
      <c r="J5" s="0" t="n">
        <f aca="false">MAX(0,MIN(Inputs!$B$5,J4-I6))*(J$3&gt;=Inputs!$B$6)</f>
        <v>12</v>
      </c>
      <c r="K5" s="0" t="n">
        <f aca="false">MAX(0,MIN(Inputs!$B$5,K4-J6))*(K$3&gt;=Inputs!$B$6)</f>
        <v>12</v>
      </c>
      <c r="L5" s="0" t="n">
        <f aca="false">MAX(0,MIN(Inputs!$B$5,L4-K6))*(L$3&gt;=Inputs!$B$6)</f>
        <v>0</v>
      </c>
      <c r="M5" s="0" t="n">
        <f aca="false">MAX(0,MIN(Inputs!$B$5,M4-L6))*(M$3&gt;=Inputs!$B$6)</f>
        <v>0</v>
      </c>
      <c r="N5" s="0" t="n">
        <f aca="false">MAX(0,MIN(Inputs!$B$5,N4-M6))*(N$3&gt;=Inputs!$B$6)</f>
        <v>0</v>
      </c>
      <c r="O5" s="0" t="n">
        <f aca="false">MAX(0,MIN(Inputs!$B$5,O4-N6))*(O$3&gt;=Inputs!$B$6)</f>
        <v>0</v>
      </c>
      <c r="P5" s="0" t="n">
        <f aca="false">MAX(0,MIN(Inputs!$B$5,P4-O6))*(P$3&gt;=Inputs!$B$6)</f>
        <v>0</v>
      </c>
      <c r="Q5" s="0" t="n">
        <f aca="false">MAX(0,MIN(Inputs!$B$5,Q4-P6))*(Q$3&gt;=Inputs!$B$6)</f>
        <v>0</v>
      </c>
      <c r="R5" s="0" t="n">
        <f aca="false">MAX(0,MIN(Inputs!$B$5,R4-Q6))*(R$3&gt;=Inputs!$B$6)</f>
        <v>0</v>
      </c>
    </row>
    <row r="6" customFormat="false" ht="15" hidden="false" customHeight="false" outlineLevel="0" collapsed="false">
      <c r="A6" s="0" t="s">
        <v>16</v>
      </c>
      <c r="B6" s="0" t="n">
        <f aca="false">B5</f>
        <v>0</v>
      </c>
      <c r="C6" s="0" t="n">
        <f aca="false">B6+C5</f>
        <v>0</v>
      </c>
      <c r="D6" s="0" t="n">
        <f aca="false">C6+D5</f>
        <v>12</v>
      </c>
      <c r="E6" s="0" t="n">
        <f aca="false">D6+E5</f>
        <v>24</v>
      </c>
      <c r="F6" s="0" t="n">
        <f aca="false">E6+F5</f>
        <v>36</v>
      </c>
      <c r="G6" s="0" t="n">
        <f aca="false">F6+G5</f>
        <v>48</v>
      </c>
      <c r="H6" s="0" t="n">
        <f aca="false">G6+H5</f>
        <v>60</v>
      </c>
      <c r="I6" s="0" t="n">
        <f aca="false">H6+I5</f>
        <v>72</v>
      </c>
      <c r="J6" s="0" t="n">
        <f aca="false">I6+J5</f>
        <v>84</v>
      </c>
      <c r="K6" s="0" t="n">
        <f aca="false">J6+K5</f>
        <v>96</v>
      </c>
      <c r="L6" s="0" t="n">
        <f aca="false">K6+L5</f>
        <v>96</v>
      </c>
      <c r="M6" s="0" t="n">
        <f aca="false">L6+M5</f>
        <v>96</v>
      </c>
      <c r="N6" s="0" t="n">
        <f aca="false">M6+N5</f>
        <v>96</v>
      </c>
      <c r="O6" s="0" t="n">
        <f aca="false">N6+O5</f>
        <v>96</v>
      </c>
      <c r="P6" s="0" t="n">
        <f aca="false">O6+P5</f>
        <v>96</v>
      </c>
      <c r="Q6" s="0" t="n">
        <f aca="false">P6+Q5</f>
        <v>96</v>
      </c>
      <c r="R6" s="0" t="n">
        <f aca="false">Q6+R5</f>
        <v>96</v>
      </c>
    </row>
    <row r="7" customFormat="false" ht="15" hidden="false" customHeight="false" outlineLevel="0" collapsed="false">
      <c r="A7" s="0" t="s">
        <v>17</v>
      </c>
      <c r="B7" s="0" t="n">
        <f aca="false">B5*Inputs!$B$4*(1+Inputs!$B$12)^B$3</f>
        <v>0</v>
      </c>
      <c r="C7" s="0" t="n">
        <f aca="false">C5*Inputs!$B$4*(1+Inputs!$B$12)^C$3</f>
        <v>0</v>
      </c>
      <c r="D7" s="0" t="n">
        <f aca="false">D5*Inputs!$B$4*(1+Inputs!$B$12)^D$3</f>
        <v>10262045.04</v>
      </c>
      <c r="E7" s="0" t="n">
        <f aca="false">E5*Inputs!$B$4*(1+Inputs!$B$12)^E$3</f>
        <v>10323617.31024</v>
      </c>
      <c r="F7" s="0" t="n">
        <f aca="false">F5*Inputs!$B$4*(1+Inputs!$B$12)^F$3</f>
        <v>10385559.0141014</v>
      </c>
      <c r="G7" s="0" t="n">
        <f aca="false">G5*Inputs!$B$4*(1+Inputs!$B$12)^G$3</f>
        <v>10447872.3681861</v>
      </c>
      <c r="H7" s="0" t="n">
        <f aca="false">H5*Inputs!$B$4*(1+Inputs!$B$12)^H$3</f>
        <v>10510559.6023952</v>
      </c>
      <c r="I7" s="0" t="n">
        <f aca="false">I5*Inputs!$B$4*(1+Inputs!$B$12)^I$3</f>
        <v>10573622.9600095</v>
      </c>
      <c r="J7" s="0" t="n">
        <f aca="false">J5*Inputs!$B$4*(1+Inputs!$B$12)^J$3</f>
        <v>10637064.6977696</v>
      </c>
      <c r="K7" s="0" t="n">
        <f aca="false">K5*Inputs!$B$4*(1+Inputs!$B$12)^K$3</f>
        <v>10700887.0859562</v>
      </c>
      <c r="L7" s="0" t="n">
        <f aca="false">L5*Inputs!$B$4*(1+Inputs!$B$12)^L$3</f>
        <v>0</v>
      </c>
      <c r="M7" s="0" t="n">
        <f aca="false">M5*Inputs!$B$4*(1+Inputs!$B$12)^M$3</f>
        <v>0</v>
      </c>
      <c r="N7" s="0" t="n">
        <f aca="false">N5*Inputs!$B$4*(1+Inputs!$B$12)^N$3</f>
        <v>0</v>
      </c>
      <c r="O7" s="0" t="n">
        <f aca="false">O5*Inputs!$B$4*(1+Inputs!$B$12)^O$3</f>
        <v>0</v>
      </c>
      <c r="P7" s="0" t="n">
        <f aca="false">P5*Inputs!$B$4*(1+Inputs!$B$12)^P$3</f>
        <v>0</v>
      </c>
      <c r="Q7" s="0" t="n">
        <f aca="false">Q5*Inputs!$B$4*(1+Inputs!$B$12)^Q$3</f>
        <v>0</v>
      </c>
      <c r="R7" s="0" t="n">
        <f aca="false">R5*Inputs!$B$4*(1+Inputs!$B$12)^R$3</f>
        <v>0</v>
      </c>
    </row>
    <row r="8" customFormat="false" ht="15" hidden="false" customHeight="false" outlineLevel="0" collapsed="false">
      <c r="A8" s="0" t="s">
        <v>18</v>
      </c>
      <c r="B8" s="0" t="n">
        <f aca="false">-IF(AND(B$3&gt;=1,B$3&lt;=8),Inputs!$B$3*Inputs!$B$7*(1+Inputs!$B$8)/8,0)</f>
        <v>-0</v>
      </c>
      <c r="C8" s="0" t="n">
        <f aca="false">-IF(AND(C$3&gt;=1,C$3&lt;=8),Inputs!$B$3*Inputs!$B$7*(1+Inputs!$B$8)/8,0)</f>
        <v>-5707200</v>
      </c>
      <c r="D8" s="0" t="n">
        <f aca="false">-IF(AND(D$3&gt;=1,D$3&lt;=8),Inputs!$B$3*Inputs!$B$7*(1+Inputs!$B$8)/8,0)</f>
        <v>-5707200</v>
      </c>
      <c r="E8" s="0" t="n">
        <f aca="false">-IF(AND(E$3&gt;=1,E$3&lt;=8),Inputs!$B$3*Inputs!$B$7*(1+Inputs!$B$8)/8,0)</f>
        <v>-5707200</v>
      </c>
      <c r="F8" s="0" t="n">
        <f aca="false">-IF(AND(F$3&gt;=1,F$3&lt;=8),Inputs!$B$3*Inputs!$B$7*(1+Inputs!$B$8)/8,0)</f>
        <v>-5707200</v>
      </c>
      <c r="G8" s="0" t="n">
        <f aca="false">-IF(AND(G$3&gt;=1,G$3&lt;=8),Inputs!$B$3*Inputs!$B$7*(1+Inputs!$B$8)/8,0)</f>
        <v>-5707200</v>
      </c>
      <c r="H8" s="0" t="n">
        <f aca="false">-IF(AND(H$3&gt;=1,H$3&lt;=8),Inputs!$B$3*Inputs!$B$7*(1+Inputs!$B$8)/8,0)</f>
        <v>-5707200</v>
      </c>
      <c r="I8" s="0" t="n">
        <f aca="false">-IF(AND(I$3&gt;=1,I$3&lt;=8),Inputs!$B$3*Inputs!$B$7*(1+Inputs!$B$8)/8,0)</f>
        <v>-5707200</v>
      </c>
      <c r="J8" s="0" t="n">
        <f aca="false">-IF(AND(J$3&gt;=1,J$3&lt;=8),Inputs!$B$3*Inputs!$B$7*(1+Inputs!$B$8)/8,0)</f>
        <v>-5707200</v>
      </c>
      <c r="K8" s="0" t="n">
        <f aca="false">-IF(AND(K$3&gt;=1,K$3&lt;=8),Inputs!$B$3*Inputs!$B$7*(1+Inputs!$B$8)/8,0)</f>
        <v>-0</v>
      </c>
      <c r="L8" s="0" t="n">
        <f aca="false">-IF(AND(L$3&gt;=1,L$3&lt;=8),Inputs!$B$3*Inputs!$B$7*(1+Inputs!$B$8)/8,0)</f>
        <v>-0</v>
      </c>
      <c r="M8" s="0" t="n">
        <f aca="false">-IF(AND(M$3&gt;=1,M$3&lt;=8),Inputs!$B$3*Inputs!$B$7*(1+Inputs!$B$8)/8,0)</f>
        <v>-0</v>
      </c>
      <c r="N8" s="0" t="n">
        <f aca="false">-IF(AND(N$3&gt;=1,N$3&lt;=8),Inputs!$B$3*Inputs!$B$7*(1+Inputs!$B$8)/8,0)</f>
        <v>-0</v>
      </c>
      <c r="O8" s="0" t="n">
        <f aca="false">-IF(AND(O$3&gt;=1,O$3&lt;=8),Inputs!$B$3*Inputs!$B$7*(1+Inputs!$B$8)/8,0)</f>
        <v>-0</v>
      </c>
      <c r="P8" s="0" t="n">
        <f aca="false">-IF(AND(P$3&gt;=1,P$3&lt;=8),Inputs!$B$3*Inputs!$B$7*(1+Inputs!$B$8)/8,0)</f>
        <v>-0</v>
      </c>
      <c r="Q8" s="0" t="n">
        <f aca="false">-IF(AND(Q$3&gt;=1,Q$3&lt;=8),Inputs!$B$3*Inputs!$B$7*(1+Inputs!$B$8)/8,0)</f>
        <v>-0</v>
      </c>
      <c r="R8" s="0" t="n">
        <f aca="false">-IF(AND(R$3&gt;=1,R$3&lt;=8),Inputs!$B$3*Inputs!$B$7*(1+Inputs!$B$8)/8,0)</f>
        <v>-0</v>
      </c>
    </row>
    <row r="9" customFormat="false" ht="15" hidden="false" customHeight="false" outlineLevel="0" collapsed="false">
      <c r="A9" s="0" t="s">
        <v>19</v>
      </c>
      <c r="B9" s="0" t="n">
        <f aca="false">IF(B$3=0,-Inputs!$B$9-Inputs!$B$3*Inputs!$B$10,0)</f>
        <v>-24452000</v>
      </c>
      <c r="C9" s="0" t="n">
        <f aca="false">IF(C$3=0,-Inputs!$B$9-Inputs!$B$3*Inputs!$B$10,0)</f>
        <v>0</v>
      </c>
      <c r="D9" s="0" t="n">
        <f aca="false">IF(D$3=0,-Inputs!$B$9-Inputs!$B$3*Inputs!$B$10,0)</f>
        <v>0</v>
      </c>
      <c r="E9" s="0" t="n">
        <f aca="false">IF(E$3=0,-Inputs!$B$9-Inputs!$B$3*Inputs!$B$10,0)</f>
        <v>0</v>
      </c>
      <c r="F9" s="0" t="n">
        <f aca="false">IF(F$3=0,-Inputs!$B$9-Inputs!$B$3*Inputs!$B$10,0)</f>
        <v>0</v>
      </c>
      <c r="G9" s="0" t="n">
        <f aca="false">IF(G$3=0,-Inputs!$B$9-Inputs!$B$3*Inputs!$B$10,0)</f>
        <v>0</v>
      </c>
      <c r="H9" s="0" t="n">
        <f aca="false">IF(H$3=0,-Inputs!$B$9-Inputs!$B$3*Inputs!$B$10,0)</f>
        <v>0</v>
      </c>
      <c r="I9" s="0" t="n">
        <f aca="false">IF(I$3=0,-Inputs!$B$9-Inputs!$B$3*Inputs!$B$10,0)</f>
        <v>0</v>
      </c>
      <c r="J9" s="0" t="n">
        <f aca="false">IF(J$3=0,-Inputs!$B$9-Inputs!$B$3*Inputs!$B$10,0)</f>
        <v>0</v>
      </c>
      <c r="K9" s="0" t="n">
        <f aca="false">IF(K$3=0,-Inputs!$B$9-Inputs!$B$3*Inputs!$B$10,0)</f>
        <v>0</v>
      </c>
      <c r="L9" s="0" t="n">
        <f aca="false">IF(L$3=0,-Inputs!$B$9-Inputs!$B$3*Inputs!$B$10,0)</f>
        <v>0</v>
      </c>
      <c r="M9" s="0" t="n">
        <f aca="false">IF(M$3=0,-Inputs!$B$9-Inputs!$B$3*Inputs!$B$10,0)</f>
        <v>0</v>
      </c>
      <c r="N9" s="0" t="n">
        <f aca="false">IF(N$3=0,-Inputs!$B$9-Inputs!$B$3*Inputs!$B$10,0)</f>
        <v>0</v>
      </c>
      <c r="O9" s="0" t="n">
        <f aca="false">IF(O$3=0,-Inputs!$B$9-Inputs!$B$3*Inputs!$B$10,0)</f>
        <v>0</v>
      </c>
      <c r="P9" s="0" t="n">
        <f aca="false">IF(P$3=0,-Inputs!$B$9-Inputs!$B$3*Inputs!$B$10,0)</f>
        <v>0</v>
      </c>
      <c r="Q9" s="0" t="n">
        <f aca="false">IF(Q$3=0,-Inputs!$B$9-Inputs!$B$3*Inputs!$B$10,0)</f>
        <v>0</v>
      </c>
      <c r="R9" s="0" t="n">
        <f aca="false">IF(R$3=0,-Inputs!$B$9-Inputs!$B$3*Inputs!$B$10,0)</f>
        <v>0</v>
      </c>
    </row>
    <row r="10" customFormat="false" ht="15" hidden="false" customHeight="false" outlineLevel="0" collapsed="false">
      <c r="A10" s="0" t="s">
        <v>9</v>
      </c>
      <c r="B10" s="0" t="n">
        <f aca="false">-B7*Inputs!$B$11</f>
        <v>-0</v>
      </c>
      <c r="C10" s="0" t="n">
        <f aca="false">-C7*Inputs!$B$11</f>
        <v>-0</v>
      </c>
      <c r="D10" s="0" t="n">
        <f aca="false">-D7*Inputs!$B$11</f>
        <v>-410481.8016</v>
      </c>
      <c r="E10" s="0" t="n">
        <f aca="false">-E7*Inputs!$B$11</f>
        <v>-412944.6924096</v>
      </c>
      <c r="F10" s="0" t="n">
        <f aca="false">-F7*Inputs!$B$11</f>
        <v>-415422.360564058</v>
      </c>
      <c r="G10" s="0" t="n">
        <f aca="false">-G7*Inputs!$B$11</f>
        <v>-417914.894727442</v>
      </c>
      <c r="H10" s="0" t="n">
        <f aca="false">-H7*Inputs!$B$11</f>
        <v>-420422.384095807</v>
      </c>
      <c r="I10" s="0" t="n">
        <f aca="false">-I7*Inputs!$B$11</f>
        <v>-422944.918400381</v>
      </c>
      <c r="J10" s="0" t="n">
        <f aca="false">-J7*Inputs!$B$11</f>
        <v>-425482.587910784</v>
      </c>
      <c r="K10" s="0" t="n">
        <f aca="false">-K7*Inputs!$B$11</f>
        <v>-428035.483438248</v>
      </c>
      <c r="L10" s="0" t="n">
        <f aca="false">-L7*Inputs!$B$11</f>
        <v>-0</v>
      </c>
      <c r="M10" s="0" t="n">
        <f aca="false">-M7*Inputs!$B$11</f>
        <v>-0</v>
      </c>
      <c r="N10" s="0" t="n">
        <f aca="false">-N7*Inputs!$B$11</f>
        <v>-0</v>
      </c>
      <c r="O10" s="0" t="n">
        <f aca="false">-O7*Inputs!$B$11</f>
        <v>-0</v>
      </c>
      <c r="P10" s="0" t="n">
        <f aca="false">-P7*Inputs!$B$11</f>
        <v>-0</v>
      </c>
      <c r="Q10" s="0" t="n">
        <f aca="false">-Q7*Inputs!$B$11</f>
        <v>-0</v>
      </c>
      <c r="R10" s="0" t="n">
        <f aca="false">-R7*Inputs!$B$11</f>
        <v>-0</v>
      </c>
    </row>
    <row r="11" customFormat="false" ht="15" hidden="false" customHeight="false" outlineLevel="0" collapsed="false">
      <c r="A11" s="0" t="s">
        <v>20</v>
      </c>
      <c r="B11" s="0" t="n">
        <f aca="false">SUM(B7:B10)</f>
        <v>-24452000</v>
      </c>
      <c r="C11" s="0" t="n">
        <f aca="false">SUM(C7:C10)</f>
        <v>-5707200</v>
      </c>
      <c r="D11" s="0" t="n">
        <f aca="false">SUM(D7:D10)</f>
        <v>4144363.2384</v>
      </c>
      <c r="E11" s="0" t="n">
        <f aca="false">SUM(E7:E10)</f>
        <v>4203472.6178304</v>
      </c>
      <c r="F11" s="0" t="n">
        <f aca="false">SUM(F7:F10)</f>
        <v>4262936.65353738</v>
      </c>
      <c r="G11" s="0" t="n">
        <f aca="false">SUM(G7:G10)</f>
        <v>4322757.47345861</v>
      </c>
      <c r="H11" s="0" t="n">
        <f aca="false">SUM(H7:H10)</f>
        <v>4382937.21829936</v>
      </c>
      <c r="I11" s="0" t="n">
        <f aca="false">SUM(I7:I10)</f>
        <v>4443478.04160915</v>
      </c>
      <c r="J11" s="0" t="n">
        <f aca="false">SUM(J7:J10)</f>
        <v>4504382.10985881</v>
      </c>
      <c r="K11" s="0" t="n">
        <f aca="false">SUM(K7:K10)</f>
        <v>10272851.602518</v>
      </c>
      <c r="L11" s="0" t="n">
        <f aca="false">SUM(L7:L10)</f>
        <v>0</v>
      </c>
      <c r="M11" s="0" t="n">
        <f aca="false">SUM(M7:M10)</f>
        <v>0</v>
      </c>
      <c r="N11" s="0" t="n">
        <f aca="false">SUM(N7:N10)</f>
        <v>0</v>
      </c>
      <c r="O11" s="0" t="n">
        <f aca="false">SUM(O7:O10)</f>
        <v>0</v>
      </c>
      <c r="P11" s="0" t="n">
        <f aca="false">SUM(P7:P10)</f>
        <v>0</v>
      </c>
      <c r="Q11" s="0" t="n">
        <f aca="false">SUM(Q7:Q10)</f>
        <v>0</v>
      </c>
      <c r="R11" s="0" t="n">
        <f aca="false">SUM(R7:R10)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21</v>
      </c>
      <c r="B3" s="3" t="n">
        <f aca="false">(1+IRR(Quarterly!B11:R11))^4-1</f>
        <v>0.2299560631095</v>
      </c>
    </row>
    <row r="4" customFormat="false" ht="15" hidden="false" customHeight="false" outlineLevel="0" collapsed="false">
      <c r="A4" s="0" t="s">
        <v>22</v>
      </c>
      <c r="B4" s="1" t="n">
        <f aca="false">SUM(Quarterly!B11:R11)</f>
        <v>10377978.9555117</v>
      </c>
    </row>
    <row r="5" customFormat="false" ht="15" hidden="false" customHeight="false" outlineLevel="0" collapsed="false">
      <c r="A5" s="0" t="s">
        <v>23</v>
      </c>
      <c r="B5" s="1" t="n">
        <f aca="false">-SUM(Quarterly!B8:R9)</f>
        <v>70109600</v>
      </c>
    </row>
    <row r="6" customFormat="false" ht="15" hidden="false" customHeight="false" outlineLevel="0" collapsed="false">
      <c r="A6" s="0" t="s">
        <v>24</v>
      </c>
      <c r="B6" s="3" t="n">
        <f aca="false">B4/B5</f>
        <v>0.148025077243511</v>
      </c>
    </row>
    <row r="7" customFormat="false" ht="15" hidden="false" customHeight="false" outlineLevel="0" collapsed="false">
      <c r="A7" s="0" t="s">
        <v>25</v>
      </c>
      <c r="B7" s="1" t="n">
        <f aca="false">Inputs!$B$3-Quarterly!R6</f>
        <v>0</v>
      </c>
    </row>
    <row r="8" customFormat="false" ht="15" hidden="false" customHeight="false" outlineLevel="0" collapsed="false">
      <c r="A8" s="0" t="s">
        <v>26</v>
      </c>
      <c r="B8" s="1" t="n">
        <f aca="false">SUM(Quarterly!B7:R7)</f>
        <v>83841228.078658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2026-10-16T19:29:57Z</dcterms:created>
  <dc:creator>openpyxl</dc:creator>
  <dc:description/>
  <dc:language>en-US</dc:language>
  <cp:lastModifiedBy/>
  <dcterms:modified xsi:type="dcterms:W3CDTF">2026-10-16T19:29:57Z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