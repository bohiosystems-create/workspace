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und Summary" sheetId="1" state="visible" r:id="rId3"/>
    <sheet name="Assumptions" sheetId="2" state="visible" r:id="rId4"/>
    <sheet name="Fund Cash Flow" sheetId="3" state="visible" r:id="rId5"/>
    <sheet name="Waterfal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<sst xmlns="http://schemas.openxmlformats.org/spreadsheetml/2006/main" count="63" uniqueCount="61">
  <si>
    <t xml:space="preserve">AURORA REAL ESTATE FUND I · FUND SUMMARY</t>
  </si>
  <si>
    <t xml:space="preserve">All amounts in EUR</t>
  </si>
  <si>
    <t xml:space="preserve">Fund returns</t>
  </si>
  <si>
    <t xml:space="preserve">Gross IRR</t>
  </si>
  <si>
    <t xml:space="preserve">Net IRR</t>
  </si>
  <si>
    <t xml:space="preserve">TVPI</t>
  </si>
  <si>
    <t xml:space="preserve">DPI</t>
  </si>
  <si>
    <t xml:space="preserve">Fund economics</t>
  </si>
  <si>
    <t xml:space="preserve">Total capital called</t>
  </si>
  <si>
    <t xml:space="preserve">Total distributions</t>
  </si>
  <si>
    <t xml:space="preserve">Gross profit (assets)</t>
  </si>
  <si>
    <t xml:space="preserve">Carried interest (GP)</t>
  </si>
  <si>
    <t xml:space="preserve">Management fees</t>
  </si>
  <si>
    <t xml:space="preserve">AURORA REAL ESTATE FUND I · ASSUMPTIONS (EUR)</t>
  </si>
  <si>
    <t xml:space="preserve">Total commitments</t>
  </si>
  <si>
    <t xml:space="preserve">GP commitment (share of total)</t>
  </si>
  <si>
    <t xml:space="preserve">Management fee (investment period, on commitments)</t>
  </si>
  <si>
    <t xml:space="preserve">Management fee (after, on invested capital)</t>
  </si>
  <si>
    <t xml:space="preserve">Investment period (years)</t>
  </si>
  <si>
    <t xml:space="preserve">Fund expenses (a year)</t>
  </si>
  <si>
    <t xml:space="preserve">Preferred return</t>
  </si>
  <si>
    <t xml:space="preserve">GP catch-up</t>
  </si>
  <si>
    <t xml:space="preserve">Carried interest</t>
  </si>
  <si>
    <t xml:space="preserve">Assets</t>
  </si>
  <si>
    <t xml:space="preserve">Equity in</t>
  </si>
  <si>
    <t xml:space="preserve">Year in</t>
  </si>
  <si>
    <t xml:space="preserve">Net income yield</t>
  </si>
  <si>
    <t xml:space="preserve">Exit multiple of cost</t>
  </si>
  <si>
    <t xml:space="preserve">Year out</t>
  </si>
  <si>
    <t xml:space="preserve">Rhine Logistics</t>
  </si>
  <si>
    <t xml:space="preserve">Porto Residences</t>
  </si>
  <si>
    <t xml:space="preserve">Milan Offices</t>
  </si>
  <si>
    <t xml:space="preserve">FUND CASH FLOW (EUR)</t>
  </si>
  <si>
    <t xml:space="preserve">Year</t>
  </si>
  <si>
    <t xml:space="preserve">Acquisitions</t>
  </si>
  <si>
    <t xml:space="preserve">Net income</t>
  </si>
  <si>
    <t xml:space="preserve">Sale proceeds</t>
  </si>
  <si>
    <t xml:space="preserve">Gross asset cash flow</t>
  </si>
  <si>
    <t xml:space="preserve">Management fee</t>
  </si>
  <si>
    <t xml:space="preserve">Fund expenses</t>
  </si>
  <si>
    <t xml:space="preserve">Fund cash flow before carry</t>
  </si>
  <si>
    <t xml:space="preserve">Capital called</t>
  </si>
  <si>
    <t xml:space="preserve">Distributable cash</t>
  </si>
  <si>
    <t xml:space="preserve">DISTRIBUTION WATERFALL (EUR)</t>
  </si>
  <si>
    <t xml:space="preserve">Contributions (all partners)</t>
  </si>
  <si>
    <t xml:space="preserve">Unreturned capital, opening</t>
  </si>
  <si>
    <t xml:space="preserve">1. Return of capital</t>
  </si>
  <si>
    <t xml:space="preserve">Unreturned capital, closing</t>
  </si>
  <si>
    <t xml:space="preserve">Preferred return accrued, opening</t>
  </si>
  <si>
    <t xml:space="preserve">Preferred return for the year</t>
  </si>
  <si>
    <t xml:space="preserve">2. Preferred return paid</t>
  </si>
  <si>
    <t xml:space="preserve">Preferred return accrued, closing</t>
  </si>
  <si>
    <t xml:space="preserve">3. GP catch-up</t>
  </si>
  <si>
    <t xml:space="preserve">Cumulative LP profit distributed</t>
  </si>
  <si>
    <t xml:space="preserve">Cumulative GP catch-up</t>
  </si>
  <si>
    <t xml:space="preserve">4. Split: to LPs</t>
  </si>
  <si>
    <t xml:space="preserve">4. Split: to GP</t>
  </si>
  <si>
    <t xml:space="preserve">Total to all partners (pro rata to commitments)</t>
  </si>
  <si>
    <t xml:space="preserve">Carried interest to GP</t>
  </si>
  <si>
    <t xml:space="preserve">LP net cash flow</t>
  </si>
  <si>
    <t xml:space="preserve">GP carry cash flow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</si>
</sst>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%"/>
    <numFmt numFmtId="166" formatCode="0.00\x"/>
    <numFmt numFmtId="167" formatCode="#,##0"/>
    <numFmt numFmtId="168" formatCode="0"/>
    <numFmt numFmtId="169" formatCode="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0</v>
      </c>
    </row>
    <row r="3" customFormat="false" ht="15" hidden="false" customHeight="false" outlineLevel="0" collapsed="false">
      <c r="B3" s="0" t="s">
        <v>1</v>
      </c>
    </row>
    <row r="5" customFormat="false" ht="15" hidden="false" customHeight="false" outlineLevel="0" collapsed="false">
      <c r="B5" s="0" t="s">
        <v>2</v>
      </c>
    </row>
    <row r="6" customFormat="false" ht="15" hidden="false" customHeight="false" outlineLevel="0" collapsed="false">
      <c r="B6" s="0" t="s">
        <v>3</v>
      </c>
      <c r="C6" s="1" t="n">
        <f aca="false">IRR('Fund Cash Flow'!D9:N9)</f>
        <v>0.120658190532483</v>
      </c>
    </row>
    <row r="7" customFormat="false" ht="15" hidden="false" customHeight="false" outlineLevel="0" collapsed="false">
      <c r="B7" s="0" t="s">
        <v>4</v>
      </c>
      <c r="C7" s="1" t="n">
        <f aca="false">IRR(Waterfall!D27:N27)</f>
        <v>0.0830002935274842</v>
      </c>
    </row>
    <row r="8" customFormat="false" ht="15" hidden="false" customHeight="false" outlineLevel="0" collapsed="false">
      <c r="B8" s="0" t="s">
        <v>5</v>
      </c>
      <c r="C8" s="2" t="n">
        <f aca="false">SUM(Waterfall!D24:N24)*(1-Assumptions!C5)/SUM(Waterfall!D6:N6)/(1-Assumptions!C5)</f>
        <v>1.52746574311098</v>
      </c>
    </row>
    <row r="9" customFormat="false" ht="15" hidden="false" customHeight="false" outlineLevel="0" collapsed="false">
      <c r="B9" s="0" t="s">
        <v>6</v>
      </c>
      <c r="C9" s="2" t="n">
        <f aca="false">C8</f>
        <v>1.52746574311098</v>
      </c>
    </row>
    <row r="11" customFormat="false" ht="15" hidden="false" customHeight="false" outlineLevel="0" collapsed="false">
      <c r="B11" s="0" t="s">
        <v>7</v>
      </c>
    </row>
    <row r="12" customFormat="false" ht="15" hidden="false" customHeight="false" outlineLevel="0" collapsed="false">
      <c r="B12" s="0" t="s">
        <v>8</v>
      </c>
      <c r="C12" s="3" t="n">
        <f aca="false">SUM('Fund Cash Flow'!D15:N15)</f>
        <v>132820000</v>
      </c>
    </row>
    <row r="13" customFormat="false" ht="15" hidden="false" customHeight="false" outlineLevel="0" collapsed="false">
      <c r="B13" s="0" t="s">
        <v>9</v>
      </c>
      <c r="C13" s="3" t="n">
        <f aca="false">SUM(Waterfall!D24:N24)</f>
        <v>202878000</v>
      </c>
    </row>
    <row r="14" customFormat="false" ht="15" hidden="false" customHeight="false" outlineLevel="0" collapsed="false">
      <c r="B14" s="0" t="s">
        <v>10</v>
      </c>
      <c r="C14" s="3" t="n">
        <f aca="false">SUM('Fund Cash Flow'!D9:N9)</f>
        <v>104660000</v>
      </c>
    </row>
    <row r="15" customFormat="false" ht="15" hidden="false" customHeight="false" outlineLevel="0" collapsed="false">
      <c r="B15" s="0" t="s">
        <v>11</v>
      </c>
      <c r="C15" s="3" t="n">
        <f aca="false">SUM(Waterfall!D25:N25)</f>
        <v>17602000</v>
      </c>
    </row>
    <row r="16" customFormat="false" ht="15" hidden="false" customHeight="false" outlineLevel="0" collapsed="false">
      <c r="B16" s="0" t="s">
        <v>12</v>
      </c>
      <c r="C16" s="3" t="n">
        <f aca="false">-SUM('Fund Cash Flow'!D11:N11)</f>
        <v>13500000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13</v>
      </c>
    </row>
    <row r="4" customFormat="false" ht="15" hidden="false" customHeight="false" outlineLevel="0" collapsed="false">
      <c r="B4" s="0" t="s">
        <v>14</v>
      </c>
      <c r="C4" s="3" t="n">
        <v>150000000</v>
      </c>
    </row>
    <row r="5" customFormat="false" ht="15" hidden="false" customHeight="false" outlineLevel="0" collapsed="false">
      <c r="B5" s="0" t="s">
        <v>15</v>
      </c>
      <c r="C5" s="1" t="n">
        <v>0.02</v>
      </c>
    </row>
    <row r="6" customFormat="false" ht="15" hidden="false" customHeight="false" outlineLevel="0" collapsed="false">
      <c r="B6" s="0" t="s">
        <v>16</v>
      </c>
      <c r="C6" s="1" t="n">
        <v>0.015</v>
      </c>
    </row>
    <row r="7" customFormat="false" ht="15" hidden="false" customHeight="false" outlineLevel="0" collapsed="false">
      <c r="B7" s="0" t="s">
        <v>17</v>
      </c>
      <c r="C7" s="1" t="n">
        <v>0.0125</v>
      </c>
    </row>
    <row r="8" customFormat="false" ht="15" hidden="false" customHeight="false" outlineLevel="0" collapsed="false">
      <c r="B8" s="0" t="s">
        <v>18</v>
      </c>
      <c r="C8" s="4" t="n">
        <v>4</v>
      </c>
    </row>
    <row r="9" customFormat="false" ht="15" hidden="false" customHeight="false" outlineLevel="0" collapsed="false">
      <c r="B9" s="0" t="s">
        <v>19</v>
      </c>
      <c r="C9" s="3" t="n">
        <v>350000</v>
      </c>
    </row>
    <row r="10" customFormat="false" ht="15" hidden="false" customHeight="false" outlineLevel="0" collapsed="false">
      <c r="B10" s="0" t="s">
        <v>20</v>
      </c>
      <c r="C10" s="1" t="n">
        <v>0.08</v>
      </c>
    </row>
    <row r="11" customFormat="false" ht="15" hidden="false" customHeight="false" outlineLevel="0" collapsed="false">
      <c r="B11" s="0" t="s">
        <v>21</v>
      </c>
      <c r="C11" s="5" t="n">
        <v>1</v>
      </c>
    </row>
    <row r="12" customFormat="false" ht="15" hidden="false" customHeight="false" outlineLevel="0" collapsed="false">
      <c r="B12" s="0" t="s">
        <v>22</v>
      </c>
      <c r="C12" s="1" t="n">
        <v>0.2</v>
      </c>
    </row>
    <row r="14" customFormat="false" ht="15" hidden="false" customHeight="false" outlineLevel="0" collapsed="false">
      <c r="B14" s="0" t="s">
        <v>23</v>
      </c>
      <c r="C14" s="0" t="s">
        <v>24</v>
      </c>
      <c r="D14" s="0" t="s">
        <v>25</v>
      </c>
      <c r="E14" s="0" t="s">
        <v>26</v>
      </c>
      <c r="F14" s="0" t="s">
        <v>27</v>
      </c>
      <c r="G14" s="0" t="s">
        <v>28</v>
      </c>
    </row>
    <row r="15" customFormat="false" ht="15" hidden="false" customHeight="false" outlineLevel="0" collapsed="false">
      <c r="B15" s="0" t="s">
        <v>29</v>
      </c>
      <c r="C15" s="3" t="n">
        <v>42000000</v>
      </c>
      <c r="D15" s="0" t="n">
        <v>1</v>
      </c>
      <c r="E15" s="1" t="n">
        <v>0.055</v>
      </c>
      <c r="F15" s="2" t="n">
        <v>1.55</v>
      </c>
      <c r="G15" s="0" t="n">
        <v>6</v>
      </c>
    </row>
    <row r="16" customFormat="false" ht="15" hidden="false" customHeight="false" outlineLevel="0" collapsed="false">
      <c r="B16" s="0" t="s">
        <v>30</v>
      </c>
      <c r="C16" s="3" t="n">
        <v>38000000</v>
      </c>
      <c r="D16" s="0" t="n">
        <v>2</v>
      </c>
      <c r="E16" s="1" t="n">
        <v>0.045</v>
      </c>
      <c r="F16" s="2" t="n">
        <v>1.7</v>
      </c>
      <c r="G16" s="0" t="n">
        <v>8</v>
      </c>
    </row>
    <row r="17" customFormat="false" ht="15" hidden="false" customHeight="false" outlineLevel="0" collapsed="false">
      <c r="B17" s="0" t="s">
        <v>31</v>
      </c>
      <c r="C17" s="3" t="n">
        <v>51000000</v>
      </c>
      <c r="D17" s="0" t="n">
        <v>3</v>
      </c>
      <c r="E17" s="1" t="n">
        <v>0.05</v>
      </c>
      <c r="F17" s="2" t="n">
        <v>1.35</v>
      </c>
      <c r="G17" s="0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32</v>
      </c>
    </row>
    <row r="4" customFormat="false" ht="15" hidden="false" customHeight="false" outlineLevel="0" collapsed="false">
      <c r="B4" s="0" t="s">
        <v>33</v>
      </c>
      <c r="D4" s="0" t="n">
        <v>0</v>
      </c>
      <c r="E4" s="0" t="n">
        <v>1</v>
      </c>
      <c r="F4" s="0" t="n">
        <v>2</v>
      </c>
      <c r="G4" s="0" t="n">
        <v>3</v>
      </c>
      <c r="H4" s="0" t="n">
        <v>4</v>
      </c>
      <c r="I4" s="0" t="n">
        <v>5</v>
      </c>
      <c r="J4" s="0" t="n">
        <v>6</v>
      </c>
      <c r="K4" s="0" t="n">
        <v>7</v>
      </c>
      <c r="L4" s="0" t="n">
        <v>8</v>
      </c>
      <c r="M4" s="0" t="n">
        <v>9</v>
      </c>
      <c r="N4" s="0" t="n">
        <v>10</v>
      </c>
    </row>
    <row r="6" customFormat="false" ht="15" hidden="false" customHeight="false" outlineLevel="0" collapsed="false">
      <c r="B6" s="0" t="s">
        <v>34</v>
      </c>
      <c r="D6" s="0" t="n">
        <f aca="false">IF(D$4=Assumptions!$D$15,-Assumptions!$C$15,0)+IF(D$4=Assumptions!$D$16,-Assumptions!$C$16,0)+IF(D$4=Assumptions!$D$17,-Assumptions!$C$17,0)</f>
        <v>0</v>
      </c>
      <c r="E6" s="0" t="n">
        <f aca="false">IF(E$4=Assumptions!$D$15,-Assumptions!$C$15,0)+IF(E$4=Assumptions!$D$16,-Assumptions!$C$16,0)+IF(E$4=Assumptions!$D$17,-Assumptions!$C$17,0)</f>
        <v>-42000000</v>
      </c>
      <c r="F6" s="0" t="n">
        <f aca="false">IF(F$4=Assumptions!$D$15,-Assumptions!$C$15,0)+IF(F$4=Assumptions!$D$16,-Assumptions!$C$16,0)+IF(F$4=Assumptions!$D$17,-Assumptions!$C$17,0)</f>
        <v>-38000000</v>
      </c>
      <c r="G6" s="0" t="n">
        <f aca="false">IF(G$4=Assumptions!$D$15,-Assumptions!$C$15,0)+IF(G$4=Assumptions!$D$16,-Assumptions!$C$16,0)+IF(G$4=Assumptions!$D$17,-Assumptions!$C$17,0)</f>
        <v>-51000000</v>
      </c>
      <c r="H6" s="0" t="n">
        <f aca="false">IF(H$4=Assumptions!$D$15,-Assumptions!$C$15,0)+IF(H$4=Assumptions!$D$16,-Assumptions!$C$16,0)+IF(H$4=Assumptions!$D$17,-Assumptions!$C$17,0)</f>
        <v>0</v>
      </c>
      <c r="I6" s="0" t="n">
        <f aca="false">IF(I$4=Assumptions!$D$15,-Assumptions!$C$15,0)+IF(I$4=Assumptions!$D$16,-Assumptions!$C$16,0)+IF(I$4=Assumptions!$D$17,-Assumptions!$C$17,0)</f>
        <v>0</v>
      </c>
      <c r="J6" s="0" t="n">
        <f aca="false">IF(J$4=Assumptions!$D$15,-Assumptions!$C$15,0)+IF(J$4=Assumptions!$D$16,-Assumptions!$C$16,0)+IF(J$4=Assumptions!$D$17,-Assumptions!$C$17,0)</f>
        <v>0</v>
      </c>
      <c r="K6" s="0" t="n">
        <f aca="false">IF(K$4=Assumptions!$D$15,-Assumptions!$C$15,0)+IF(K$4=Assumptions!$D$16,-Assumptions!$C$16,0)+IF(K$4=Assumptions!$D$17,-Assumptions!$C$17,0)</f>
        <v>0</v>
      </c>
      <c r="L6" s="0" t="n">
        <f aca="false">IF(L$4=Assumptions!$D$15,-Assumptions!$C$15,0)+IF(L$4=Assumptions!$D$16,-Assumptions!$C$16,0)+IF(L$4=Assumptions!$D$17,-Assumptions!$C$17,0)</f>
        <v>0</v>
      </c>
      <c r="M6" s="0" t="n">
        <f aca="false">IF(M$4=Assumptions!$D$15,-Assumptions!$C$15,0)+IF(M$4=Assumptions!$D$16,-Assumptions!$C$16,0)+IF(M$4=Assumptions!$D$17,-Assumptions!$C$17,0)</f>
        <v>0</v>
      </c>
      <c r="N6" s="0" t="n">
        <f aca="false">IF(N$4=Assumptions!$D$15,-Assumptions!$C$15,0)+IF(N$4=Assumptions!$D$16,-Assumptions!$C$16,0)+IF(N$4=Assumptions!$D$17,-Assumptions!$C$17,0)</f>
        <v>0</v>
      </c>
    </row>
    <row r="7" customFormat="false" ht="15" hidden="false" customHeight="false" outlineLevel="0" collapsed="false">
      <c r="B7" s="0" t="s">
        <v>35</v>
      </c>
      <c r="D7" s="0" t="n">
        <f aca="false">IF(AND(D$4&gt;Assumptions!$D$15,D$4&lt;=Assumptions!$G$15),Assumptions!$C$15*Assumptions!$E$15,0)+IF(AND(D$4&gt;Assumptions!$D$16,D$4&lt;=Assumptions!$G$16),Assumptions!$C$16*Assumptions!$E$16,0)+IF(AND(D$4&gt;Assumptions!$D$17,D$4&lt;=Assumptions!$G$17),Assumptions!$C$17*Assumptions!$E$17,0)</f>
        <v>0</v>
      </c>
      <c r="E7" s="0" t="n">
        <f aca="false">IF(AND(E$4&gt;Assumptions!$D$15,E$4&lt;=Assumptions!$G$15),Assumptions!$C$15*Assumptions!$E$15,0)+IF(AND(E$4&gt;Assumptions!$D$16,E$4&lt;=Assumptions!$G$16),Assumptions!$C$16*Assumptions!$E$16,0)+IF(AND(E$4&gt;Assumptions!$D$17,E$4&lt;=Assumptions!$G$17),Assumptions!$C$17*Assumptions!$E$17,0)</f>
        <v>0</v>
      </c>
      <c r="F7" s="0" t="n">
        <f aca="false">IF(AND(F$4&gt;Assumptions!$D$15,F$4&lt;=Assumptions!$G$15),Assumptions!$C$15*Assumptions!$E$15,0)+IF(AND(F$4&gt;Assumptions!$D$16,F$4&lt;=Assumptions!$G$16),Assumptions!$C$16*Assumptions!$E$16,0)+IF(AND(F$4&gt;Assumptions!$D$17,F$4&lt;=Assumptions!$G$17),Assumptions!$C$17*Assumptions!$E$17,0)</f>
        <v>2310000</v>
      </c>
      <c r="G7" s="0" t="n">
        <f aca="false">IF(AND(G$4&gt;Assumptions!$D$15,G$4&lt;=Assumptions!$G$15),Assumptions!$C$15*Assumptions!$E$15,0)+IF(AND(G$4&gt;Assumptions!$D$16,G$4&lt;=Assumptions!$G$16),Assumptions!$C$16*Assumptions!$E$16,0)+IF(AND(G$4&gt;Assumptions!$D$17,G$4&lt;=Assumptions!$G$17),Assumptions!$C$17*Assumptions!$E$17,0)</f>
        <v>4020000</v>
      </c>
      <c r="H7" s="0" t="n">
        <f aca="false">IF(AND(H$4&gt;Assumptions!$D$15,H$4&lt;=Assumptions!$G$15),Assumptions!$C$15*Assumptions!$E$15,0)+IF(AND(H$4&gt;Assumptions!$D$16,H$4&lt;=Assumptions!$G$16),Assumptions!$C$16*Assumptions!$E$16,0)+IF(AND(H$4&gt;Assumptions!$D$17,H$4&lt;=Assumptions!$G$17),Assumptions!$C$17*Assumptions!$E$17,0)</f>
        <v>6570000</v>
      </c>
      <c r="I7" s="0" t="n">
        <f aca="false">IF(AND(I$4&gt;Assumptions!$D$15,I$4&lt;=Assumptions!$G$15),Assumptions!$C$15*Assumptions!$E$15,0)+IF(AND(I$4&gt;Assumptions!$D$16,I$4&lt;=Assumptions!$G$16),Assumptions!$C$16*Assumptions!$E$16,0)+IF(AND(I$4&gt;Assumptions!$D$17,I$4&lt;=Assumptions!$G$17),Assumptions!$C$17*Assumptions!$E$17,0)</f>
        <v>6570000</v>
      </c>
      <c r="J7" s="0" t="n">
        <f aca="false">IF(AND(J$4&gt;Assumptions!$D$15,J$4&lt;=Assumptions!$G$15),Assumptions!$C$15*Assumptions!$E$15,0)+IF(AND(J$4&gt;Assumptions!$D$16,J$4&lt;=Assumptions!$G$16),Assumptions!$C$16*Assumptions!$E$16,0)+IF(AND(J$4&gt;Assumptions!$D$17,J$4&lt;=Assumptions!$G$17),Assumptions!$C$17*Assumptions!$E$17,0)</f>
        <v>6570000</v>
      </c>
      <c r="K7" s="0" t="n">
        <f aca="false">IF(AND(K$4&gt;Assumptions!$D$15,K$4&lt;=Assumptions!$G$15),Assumptions!$C$15*Assumptions!$E$15,0)+IF(AND(K$4&gt;Assumptions!$D$16,K$4&lt;=Assumptions!$G$16),Assumptions!$C$16*Assumptions!$E$16,0)+IF(AND(K$4&gt;Assumptions!$D$17,K$4&lt;=Assumptions!$G$17),Assumptions!$C$17*Assumptions!$E$17,0)</f>
        <v>4260000</v>
      </c>
      <c r="L7" s="0" t="n">
        <f aca="false">IF(AND(L$4&gt;Assumptions!$D$15,L$4&lt;=Assumptions!$G$15),Assumptions!$C$15*Assumptions!$E$15,0)+IF(AND(L$4&gt;Assumptions!$D$16,L$4&lt;=Assumptions!$G$16),Assumptions!$C$16*Assumptions!$E$16,0)+IF(AND(L$4&gt;Assumptions!$D$17,L$4&lt;=Assumptions!$G$17),Assumptions!$C$17*Assumptions!$E$17,0)</f>
        <v>4260000</v>
      </c>
      <c r="M7" s="0" t="n">
        <f aca="false">IF(AND(M$4&gt;Assumptions!$D$15,M$4&lt;=Assumptions!$G$15),Assumptions!$C$15*Assumptions!$E$15,0)+IF(AND(M$4&gt;Assumptions!$D$16,M$4&lt;=Assumptions!$G$16),Assumptions!$C$16*Assumptions!$E$16,0)+IF(AND(M$4&gt;Assumptions!$D$17,M$4&lt;=Assumptions!$G$17),Assumptions!$C$17*Assumptions!$E$17,0)</f>
        <v>2550000</v>
      </c>
      <c r="N7" s="0" t="n">
        <f aca="false">IF(AND(N$4&gt;Assumptions!$D$15,N$4&lt;=Assumptions!$G$15),Assumptions!$C$15*Assumptions!$E$15,0)+IF(AND(N$4&gt;Assumptions!$D$16,N$4&lt;=Assumptions!$G$16),Assumptions!$C$16*Assumptions!$E$16,0)+IF(AND(N$4&gt;Assumptions!$D$17,N$4&lt;=Assumptions!$G$17),Assumptions!$C$17*Assumptions!$E$17,0)</f>
        <v>0</v>
      </c>
    </row>
    <row r="8" customFormat="false" ht="15" hidden="false" customHeight="false" outlineLevel="0" collapsed="false">
      <c r="B8" s="0" t="s">
        <v>36</v>
      </c>
      <c r="D8" s="0" t="n">
        <f aca="false">IF(D$4=Assumptions!$G$15,Assumptions!$C$15*Assumptions!$F$15,0)+IF(D$4=Assumptions!$G$16,Assumptions!$C$16*Assumptions!$F$16,0)+IF(D$4=Assumptions!$G$17,Assumptions!$C$17*Assumptions!$F$17,0)</f>
        <v>0</v>
      </c>
      <c r="E8" s="0" t="n">
        <f aca="false">IF(E$4=Assumptions!$G$15,Assumptions!$C$15*Assumptions!$F$15,0)+IF(E$4=Assumptions!$G$16,Assumptions!$C$16*Assumptions!$F$16,0)+IF(E$4=Assumptions!$G$17,Assumptions!$C$17*Assumptions!$F$17,0)</f>
        <v>0</v>
      </c>
      <c r="F8" s="0" t="n">
        <f aca="false">IF(F$4=Assumptions!$G$15,Assumptions!$C$15*Assumptions!$F$15,0)+IF(F$4=Assumptions!$G$16,Assumptions!$C$16*Assumptions!$F$16,0)+IF(F$4=Assumptions!$G$17,Assumptions!$C$17*Assumptions!$F$17,0)</f>
        <v>0</v>
      </c>
      <c r="G8" s="0" t="n">
        <f aca="false">IF(G$4=Assumptions!$G$15,Assumptions!$C$15*Assumptions!$F$15,0)+IF(G$4=Assumptions!$G$16,Assumptions!$C$16*Assumptions!$F$16,0)+IF(G$4=Assumptions!$G$17,Assumptions!$C$17*Assumptions!$F$17,0)</f>
        <v>0</v>
      </c>
      <c r="H8" s="0" t="n">
        <f aca="false">IF(H$4=Assumptions!$G$15,Assumptions!$C$15*Assumptions!$F$15,0)+IF(H$4=Assumptions!$G$16,Assumptions!$C$16*Assumptions!$F$16,0)+IF(H$4=Assumptions!$G$17,Assumptions!$C$17*Assumptions!$F$17,0)</f>
        <v>0</v>
      </c>
      <c r="I8" s="0" t="n">
        <f aca="false">IF(I$4=Assumptions!$G$15,Assumptions!$C$15*Assumptions!$F$15,0)+IF(I$4=Assumptions!$G$16,Assumptions!$C$16*Assumptions!$F$16,0)+IF(I$4=Assumptions!$G$17,Assumptions!$C$17*Assumptions!$F$17,0)</f>
        <v>0</v>
      </c>
      <c r="J8" s="0" t="n">
        <f aca="false">IF(J$4=Assumptions!$G$15,Assumptions!$C$15*Assumptions!$F$15,0)+IF(J$4=Assumptions!$G$16,Assumptions!$C$16*Assumptions!$F$16,0)+IF(J$4=Assumptions!$G$17,Assumptions!$C$17*Assumptions!$F$17,0)</f>
        <v>65100000</v>
      </c>
      <c r="K8" s="0" t="n">
        <f aca="false">IF(K$4=Assumptions!$G$15,Assumptions!$C$15*Assumptions!$F$15,0)+IF(K$4=Assumptions!$G$16,Assumptions!$C$16*Assumptions!$F$16,0)+IF(K$4=Assumptions!$G$17,Assumptions!$C$17*Assumptions!$F$17,0)</f>
        <v>0</v>
      </c>
      <c r="L8" s="0" t="n">
        <f aca="false">IF(L$4=Assumptions!$G$15,Assumptions!$C$15*Assumptions!$F$15,0)+IF(L$4=Assumptions!$G$16,Assumptions!$C$16*Assumptions!$F$16,0)+IF(L$4=Assumptions!$G$17,Assumptions!$C$17*Assumptions!$F$17,0)</f>
        <v>64600000</v>
      </c>
      <c r="M8" s="0" t="n">
        <f aca="false">IF(M$4=Assumptions!$G$15,Assumptions!$C$15*Assumptions!$F$15,0)+IF(M$4=Assumptions!$G$16,Assumptions!$C$16*Assumptions!$F$16,0)+IF(M$4=Assumptions!$G$17,Assumptions!$C$17*Assumptions!$F$17,0)</f>
        <v>68850000</v>
      </c>
      <c r="N8" s="0" t="n">
        <f aca="false">IF(N$4=Assumptions!$G$15,Assumptions!$C$15*Assumptions!$F$15,0)+IF(N$4=Assumptions!$G$16,Assumptions!$C$16*Assumptions!$F$16,0)+IF(N$4=Assumptions!$G$17,Assumptions!$C$17*Assumptions!$F$17,0)</f>
        <v>0</v>
      </c>
    </row>
    <row r="9" customFormat="false" ht="15" hidden="false" customHeight="false" outlineLevel="0" collapsed="false">
      <c r="B9" s="0" t="s">
        <v>37</v>
      </c>
      <c r="D9" s="0" t="n">
        <f aca="false">SUM(D6:D8)</f>
        <v>0</v>
      </c>
      <c r="E9" s="0" t="n">
        <f aca="false">SUM(E6:E8)</f>
        <v>-42000000</v>
      </c>
      <c r="F9" s="0" t="n">
        <f aca="false">SUM(F6:F8)</f>
        <v>-35690000</v>
      </c>
      <c r="G9" s="0" t="n">
        <f aca="false">SUM(G6:G8)</f>
        <v>-46980000</v>
      </c>
      <c r="H9" s="0" t="n">
        <f aca="false">SUM(H6:H8)</f>
        <v>6570000</v>
      </c>
      <c r="I9" s="0" t="n">
        <f aca="false">SUM(I6:I8)</f>
        <v>6570000</v>
      </c>
      <c r="J9" s="0" t="n">
        <f aca="false">SUM(J6:J8)</f>
        <v>71670000</v>
      </c>
      <c r="K9" s="0" t="n">
        <f aca="false">SUM(K6:K8)</f>
        <v>4260000</v>
      </c>
      <c r="L9" s="0" t="n">
        <f aca="false">SUM(L6:L8)</f>
        <v>68860000</v>
      </c>
      <c r="M9" s="0" t="n">
        <f aca="false">SUM(M6:M8)</f>
        <v>71400000</v>
      </c>
      <c r="N9" s="0" t="n">
        <f aca="false">SUM(N6:N8)</f>
        <v>0</v>
      </c>
    </row>
    <row r="11" customFormat="false" ht="15" hidden="false" customHeight="false" outlineLevel="0" collapsed="false">
      <c r="B11" s="0" t="s">
        <v>38</v>
      </c>
      <c r="D11" s="0" t="n">
        <f aca="false">0</f>
        <v>0</v>
      </c>
      <c r="E11" s="0" t="n">
        <f aca="false">-IF(E$4&lt;=Assumptions!$C$8,Assumptions!$C$4*Assumptions!$C$6,(IF(AND(E$4&gt;=Assumptions!$D$15,E$4&lt;Assumptions!$G$15),Assumptions!$C$15,0)+IF(AND(E$4&gt;=Assumptions!$D$16,E$4&lt;Assumptions!$G$16),Assumptions!$C$16,0)+IF(AND(E$4&gt;=Assumptions!$D$17,E$4&lt;Assumptions!$G$17),Assumptions!$C$17,0))*Assumptions!$C$7)</f>
        <v>-2250000</v>
      </c>
      <c r="F11" s="0" t="n">
        <f aca="false">-IF(F$4&lt;=Assumptions!$C$8,Assumptions!$C$4*Assumptions!$C$6,(IF(AND(F$4&gt;=Assumptions!$D$15,F$4&lt;Assumptions!$G$15),Assumptions!$C$15,0)+IF(AND(F$4&gt;=Assumptions!$D$16,F$4&lt;Assumptions!$G$16),Assumptions!$C$16,0)+IF(AND(F$4&gt;=Assumptions!$D$17,F$4&lt;Assumptions!$G$17),Assumptions!$C$17,0))*Assumptions!$C$7)</f>
        <v>-2250000</v>
      </c>
      <c r="G11" s="0" t="n">
        <f aca="false">-IF(G$4&lt;=Assumptions!$C$8,Assumptions!$C$4*Assumptions!$C$6,(IF(AND(G$4&gt;=Assumptions!$D$15,G$4&lt;Assumptions!$G$15),Assumptions!$C$15,0)+IF(AND(G$4&gt;=Assumptions!$D$16,G$4&lt;Assumptions!$G$16),Assumptions!$C$16,0)+IF(AND(G$4&gt;=Assumptions!$D$17,G$4&lt;Assumptions!$G$17),Assumptions!$C$17,0))*Assumptions!$C$7)</f>
        <v>-2250000</v>
      </c>
      <c r="H11" s="0" t="n">
        <f aca="false">-IF(H$4&lt;=Assumptions!$C$8,Assumptions!$C$4*Assumptions!$C$6,(IF(AND(H$4&gt;=Assumptions!$D$15,H$4&lt;Assumptions!$G$15),Assumptions!$C$15,0)+IF(AND(H$4&gt;=Assumptions!$D$16,H$4&lt;Assumptions!$G$16),Assumptions!$C$16,0)+IF(AND(H$4&gt;=Assumptions!$D$17,H$4&lt;Assumptions!$G$17),Assumptions!$C$17,0))*Assumptions!$C$7)</f>
        <v>-2250000</v>
      </c>
      <c r="I11" s="0" t="n">
        <f aca="false">-IF(I$4&lt;=Assumptions!$C$8,Assumptions!$C$4*Assumptions!$C$6,(IF(AND(I$4&gt;=Assumptions!$D$15,I$4&lt;Assumptions!$G$15),Assumptions!$C$15,0)+IF(AND(I$4&gt;=Assumptions!$D$16,I$4&lt;Assumptions!$G$16),Assumptions!$C$16,0)+IF(AND(I$4&gt;=Assumptions!$D$17,I$4&lt;Assumptions!$G$17),Assumptions!$C$17,0))*Assumptions!$C$7)</f>
        <v>-1637500</v>
      </c>
      <c r="J11" s="0" t="n">
        <f aca="false">-IF(J$4&lt;=Assumptions!$C$8,Assumptions!$C$4*Assumptions!$C$6,(IF(AND(J$4&gt;=Assumptions!$D$15,J$4&lt;Assumptions!$G$15),Assumptions!$C$15,0)+IF(AND(J$4&gt;=Assumptions!$D$16,J$4&lt;Assumptions!$G$16),Assumptions!$C$16,0)+IF(AND(J$4&gt;=Assumptions!$D$17,J$4&lt;Assumptions!$G$17),Assumptions!$C$17,0))*Assumptions!$C$7)</f>
        <v>-1112500</v>
      </c>
      <c r="K11" s="0" t="n">
        <f aca="false">-IF(K$4&lt;=Assumptions!$C$8,Assumptions!$C$4*Assumptions!$C$6,(IF(AND(K$4&gt;=Assumptions!$D$15,K$4&lt;Assumptions!$G$15),Assumptions!$C$15,0)+IF(AND(K$4&gt;=Assumptions!$D$16,K$4&lt;Assumptions!$G$16),Assumptions!$C$16,0)+IF(AND(K$4&gt;=Assumptions!$D$17,K$4&lt;Assumptions!$G$17),Assumptions!$C$17,0))*Assumptions!$C$7)</f>
        <v>-1112500</v>
      </c>
      <c r="L11" s="0" t="n">
        <f aca="false">-IF(L$4&lt;=Assumptions!$C$8,Assumptions!$C$4*Assumptions!$C$6,(IF(AND(L$4&gt;=Assumptions!$D$15,L$4&lt;Assumptions!$G$15),Assumptions!$C$15,0)+IF(AND(L$4&gt;=Assumptions!$D$16,L$4&lt;Assumptions!$G$16),Assumptions!$C$16,0)+IF(AND(L$4&gt;=Assumptions!$D$17,L$4&lt;Assumptions!$G$17),Assumptions!$C$17,0))*Assumptions!$C$7)</f>
        <v>-637500</v>
      </c>
      <c r="M11" s="0" t="n">
        <f aca="false">-IF(M$4&lt;=Assumptions!$C$8,Assumptions!$C$4*Assumptions!$C$6,(IF(AND(M$4&gt;=Assumptions!$D$15,M$4&lt;Assumptions!$G$15),Assumptions!$C$15,0)+IF(AND(M$4&gt;=Assumptions!$D$16,M$4&lt;Assumptions!$G$16),Assumptions!$C$16,0)+IF(AND(M$4&gt;=Assumptions!$D$17,M$4&lt;Assumptions!$G$17),Assumptions!$C$17,0))*Assumptions!$C$7)</f>
        <v>-0</v>
      </c>
      <c r="N11" s="0" t="n">
        <f aca="false">-IF(N$4&lt;=Assumptions!$C$8,Assumptions!$C$4*Assumptions!$C$6,(IF(AND(N$4&gt;=Assumptions!$D$15,N$4&lt;Assumptions!$G$15),Assumptions!$C$15,0)+IF(AND(N$4&gt;=Assumptions!$D$16,N$4&lt;Assumptions!$G$16),Assumptions!$C$16,0)+IF(AND(N$4&gt;=Assumptions!$D$17,N$4&lt;Assumptions!$G$17),Assumptions!$C$17,0))*Assumptions!$C$7)</f>
        <v>-0</v>
      </c>
    </row>
    <row r="12" customFormat="false" ht="15" hidden="false" customHeight="false" outlineLevel="0" collapsed="false">
      <c r="B12" s="0" t="s">
        <v>39</v>
      </c>
      <c r="D12" s="0" t="n">
        <f aca="false">0</f>
        <v>0</v>
      </c>
      <c r="E12" s="0" t="n">
        <f aca="false">-Assumptions!$C$9</f>
        <v>-350000</v>
      </c>
      <c r="F12" s="0" t="n">
        <f aca="false">-Assumptions!$C$9</f>
        <v>-350000</v>
      </c>
      <c r="G12" s="0" t="n">
        <f aca="false">-Assumptions!$C$9</f>
        <v>-350000</v>
      </c>
      <c r="H12" s="0" t="n">
        <f aca="false">-Assumptions!$C$9</f>
        <v>-350000</v>
      </c>
      <c r="I12" s="0" t="n">
        <f aca="false">-Assumptions!$C$9</f>
        <v>-350000</v>
      </c>
      <c r="J12" s="0" t="n">
        <f aca="false">-Assumptions!$C$9</f>
        <v>-350000</v>
      </c>
      <c r="K12" s="0" t="n">
        <f aca="false">-Assumptions!$C$9</f>
        <v>-350000</v>
      </c>
      <c r="L12" s="0" t="n">
        <f aca="false">-Assumptions!$C$9</f>
        <v>-350000</v>
      </c>
      <c r="M12" s="0" t="n">
        <f aca="false">-Assumptions!$C$9</f>
        <v>-350000</v>
      </c>
      <c r="N12" s="0" t="n">
        <f aca="false">-Assumptions!$C$9</f>
        <v>-350000</v>
      </c>
    </row>
    <row r="13" customFormat="false" ht="15" hidden="false" customHeight="false" outlineLevel="0" collapsed="false">
      <c r="B13" s="0" t="s">
        <v>40</v>
      </c>
      <c r="D13" s="0" t="n">
        <f aca="false">D9+D11+D12</f>
        <v>0</v>
      </c>
      <c r="E13" s="0" t="n">
        <f aca="false">E9+E11+E12</f>
        <v>-44600000</v>
      </c>
      <c r="F13" s="0" t="n">
        <f aca="false">F9+F11+F12</f>
        <v>-38290000</v>
      </c>
      <c r="G13" s="0" t="n">
        <f aca="false">G9+G11+G12</f>
        <v>-49580000</v>
      </c>
      <c r="H13" s="0" t="n">
        <f aca="false">H9+H11+H12</f>
        <v>3970000</v>
      </c>
      <c r="I13" s="0" t="n">
        <f aca="false">I9+I11+I12</f>
        <v>4582500</v>
      </c>
      <c r="J13" s="0" t="n">
        <f aca="false">J9+J11+J12</f>
        <v>70207500</v>
      </c>
      <c r="K13" s="0" t="n">
        <f aca="false">K9+K11+K12</f>
        <v>2797500</v>
      </c>
      <c r="L13" s="0" t="n">
        <f aca="false">L9+L11+L12</f>
        <v>67872500</v>
      </c>
      <c r="M13" s="0" t="n">
        <f aca="false">M9+M11+M12</f>
        <v>71050000</v>
      </c>
      <c r="N13" s="0" t="n">
        <f aca="false">N9+N11+N12</f>
        <v>-350000</v>
      </c>
    </row>
    <row r="15" customFormat="false" ht="15" hidden="false" customHeight="false" outlineLevel="0" collapsed="false">
      <c r="B15" s="0" t="s">
        <v>41</v>
      </c>
      <c r="D15" s="0" t="n">
        <f aca="false">-MIN(0,D13)</f>
        <v>-0</v>
      </c>
      <c r="E15" s="0" t="n">
        <f aca="false">-MIN(0,E13)</f>
        <v>44600000</v>
      </c>
      <c r="F15" s="0" t="n">
        <f aca="false">-MIN(0,F13)</f>
        <v>38290000</v>
      </c>
      <c r="G15" s="0" t="n">
        <f aca="false">-MIN(0,G13)</f>
        <v>49580000</v>
      </c>
      <c r="H15" s="0" t="n">
        <f aca="false">-MIN(0,H13)</f>
        <v>-0</v>
      </c>
      <c r="I15" s="0" t="n">
        <f aca="false">-MIN(0,I13)</f>
        <v>-0</v>
      </c>
      <c r="J15" s="0" t="n">
        <f aca="false">-MIN(0,J13)</f>
        <v>-0</v>
      </c>
      <c r="K15" s="0" t="n">
        <f aca="false">-MIN(0,K13)</f>
        <v>-0</v>
      </c>
      <c r="L15" s="0" t="n">
        <f aca="false">-MIN(0,L13)</f>
        <v>-0</v>
      </c>
      <c r="M15" s="0" t="n">
        <f aca="false">-MIN(0,M13)</f>
        <v>-0</v>
      </c>
      <c r="N15" s="0" t="n">
        <f aca="false">-MIN(0,N13)</f>
        <v>350000</v>
      </c>
    </row>
    <row r="16" customFormat="false" ht="15" hidden="false" customHeight="false" outlineLevel="0" collapsed="false">
      <c r="B16" s="0" t="s">
        <v>42</v>
      </c>
      <c r="D16" s="0" t="n">
        <f aca="false">MAX(0,D13)</f>
        <v>0</v>
      </c>
      <c r="E16" s="0" t="n">
        <f aca="false">MAX(0,E13)</f>
        <v>0</v>
      </c>
      <c r="F16" s="0" t="n">
        <f aca="false">MAX(0,F13)</f>
        <v>0</v>
      </c>
      <c r="G16" s="0" t="n">
        <f aca="false">MAX(0,G13)</f>
        <v>0</v>
      </c>
      <c r="H16" s="0" t="n">
        <f aca="false">MAX(0,H13)</f>
        <v>3970000</v>
      </c>
      <c r="I16" s="0" t="n">
        <f aca="false">MAX(0,I13)</f>
        <v>4582500</v>
      </c>
      <c r="J16" s="0" t="n">
        <f aca="false">MAX(0,J13)</f>
        <v>70207500</v>
      </c>
      <c r="K16" s="0" t="n">
        <f aca="false">MAX(0,K13)</f>
        <v>2797500</v>
      </c>
      <c r="L16" s="0" t="n">
        <f aca="false">MAX(0,L13)</f>
        <v>67872500</v>
      </c>
      <c r="M16" s="0" t="n">
        <f aca="false">MAX(0,M13)</f>
        <v>71050000</v>
      </c>
      <c r="N16" s="0" t="n">
        <f aca="false">MAX(0,N13)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2" customFormat="false" ht="15" hidden="false" customHeight="false" outlineLevel="0" collapsed="false">
      <c r="B2" s="0" t="s">
        <v>43</v>
      </c>
    </row>
    <row r="4" customFormat="false" ht="15" hidden="false" customHeight="false" outlineLevel="0" collapsed="false">
      <c r="B4" s="0" t="s">
        <v>33</v>
      </c>
      <c r="D4" s="0" t="n">
        <v>0</v>
      </c>
      <c r="E4" s="0" t="n">
        <v>1</v>
      </c>
      <c r="F4" s="0" t="n">
        <v>2</v>
      </c>
      <c r="G4" s="0" t="n">
        <v>3</v>
      </c>
      <c r="H4" s="0" t="n">
        <v>4</v>
      </c>
      <c r="I4" s="0" t="n">
        <v>5</v>
      </c>
      <c r="J4" s="0" t="n">
        <v>6</v>
      </c>
      <c r="K4" s="0" t="n">
        <v>7</v>
      </c>
      <c r="L4" s="0" t="n">
        <v>8</v>
      </c>
      <c r="M4" s="0" t="n">
        <v>9</v>
      </c>
      <c r="N4" s="0" t="n">
        <v>10</v>
      </c>
    </row>
    <row r="6" customFormat="false" ht="15" hidden="false" customHeight="false" outlineLevel="0" collapsed="false">
      <c r="B6" s="0" t="s">
        <v>44</v>
      </c>
      <c r="D6" s="0" t="n">
        <f aca="false">'Fund Cash Flow'!D15</f>
        <v>-0</v>
      </c>
      <c r="E6" s="0" t="n">
        <f aca="false">'Fund Cash Flow'!E15</f>
        <v>44600000</v>
      </c>
      <c r="F6" s="0" t="n">
        <f aca="false">'Fund Cash Flow'!F15</f>
        <v>38290000</v>
      </c>
      <c r="G6" s="0" t="n">
        <f aca="false">'Fund Cash Flow'!G15</f>
        <v>49580000</v>
      </c>
      <c r="H6" s="0" t="n">
        <f aca="false">'Fund Cash Flow'!H15</f>
        <v>-0</v>
      </c>
      <c r="I6" s="0" t="n">
        <f aca="false">'Fund Cash Flow'!I15</f>
        <v>-0</v>
      </c>
      <c r="J6" s="0" t="n">
        <f aca="false">'Fund Cash Flow'!J15</f>
        <v>-0</v>
      </c>
      <c r="K6" s="0" t="n">
        <f aca="false">'Fund Cash Flow'!K15</f>
        <v>-0</v>
      </c>
      <c r="L6" s="0" t="n">
        <f aca="false">'Fund Cash Flow'!L15</f>
        <v>-0</v>
      </c>
      <c r="M6" s="0" t="n">
        <f aca="false">'Fund Cash Flow'!M15</f>
        <v>-0</v>
      </c>
      <c r="N6" s="0" t="n">
        <f aca="false">'Fund Cash Flow'!N15</f>
        <v>350000</v>
      </c>
    </row>
    <row r="7" customFormat="false" ht="15" hidden="false" customHeight="false" outlineLevel="0" collapsed="false">
      <c r="B7" s="0" t="s">
        <v>42</v>
      </c>
      <c r="D7" s="0" t="n">
        <f aca="false">'Fund Cash Flow'!D16</f>
        <v>0</v>
      </c>
      <c r="E7" s="0" t="n">
        <f aca="false">'Fund Cash Flow'!E16</f>
        <v>0</v>
      </c>
      <c r="F7" s="0" t="n">
        <f aca="false">'Fund Cash Flow'!F16</f>
        <v>0</v>
      </c>
      <c r="G7" s="0" t="n">
        <f aca="false">'Fund Cash Flow'!G16</f>
        <v>0</v>
      </c>
      <c r="H7" s="0" t="n">
        <f aca="false">'Fund Cash Flow'!H16</f>
        <v>3970000</v>
      </c>
      <c r="I7" s="0" t="n">
        <f aca="false">'Fund Cash Flow'!I16</f>
        <v>4582500</v>
      </c>
      <c r="J7" s="0" t="n">
        <f aca="false">'Fund Cash Flow'!J16</f>
        <v>70207500</v>
      </c>
      <c r="K7" s="0" t="n">
        <f aca="false">'Fund Cash Flow'!K16</f>
        <v>2797500</v>
      </c>
      <c r="L7" s="0" t="n">
        <f aca="false">'Fund Cash Flow'!L16</f>
        <v>67872500</v>
      </c>
      <c r="M7" s="0" t="n">
        <f aca="false">'Fund Cash Flow'!M16</f>
        <v>71050000</v>
      </c>
      <c r="N7" s="0" t="n">
        <f aca="false">'Fund Cash Flow'!N16</f>
        <v>0</v>
      </c>
    </row>
    <row r="9" customFormat="false" ht="15" hidden="false" customHeight="false" outlineLevel="0" collapsed="false">
      <c r="B9" s="0" t="s">
        <v>45</v>
      </c>
      <c r="D9" s="0" t="n">
        <f aca="false">0</f>
        <v>0</v>
      </c>
      <c r="E9" s="0" t="n">
        <f aca="false">D11</f>
        <v>0</v>
      </c>
      <c r="F9" s="0" t="n">
        <f aca="false">E11</f>
        <v>44600000</v>
      </c>
      <c r="G9" s="0" t="n">
        <f aca="false">F11</f>
        <v>82890000</v>
      </c>
      <c r="H9" s="0" t="n">
        <f aca="false">G11</f>
        <v>132470000</v>
      </c>
      <c r="I9" s="0" t="n">
        <f aca="false">H11</f>
        <v>128500000</v>
      </c>
      <c r="J9" s="0" t="n">
        <f aca="false">I11</f>
        <v>123917500</v>
      </c>
      <c r="K9" s="0" t="n">
        <f aca="false">J11</f>
        <v>53710000</v>
      </c>
      <c r="L9" s="0" t="n">
        <f aca="false">K11</f>
        <v>50912500</v>
      </c>
      <c r="M9" s="0" t="n">
        <f aca="false">L11</f>
        <v>0</v>
      </c>
      <c r="N9" s="0" t="n">
        <f aca="false">M11</f>
        <v>0</v>
      </c>
    </row>
    <row r="10" customFormat="false" ht="15" hidden="false" customHeight="false" outlineLevel="0" collapsed="false">
      <c r="B10" s="0" t="s">
        <v>46</v>
      </c>
      <c r="D10" s="0" t="n">
        <f aca="false">MIN(D7,D9+D6)</f>
        <v>0</v>
      </c>
      <c r="E10" s="0" t="n">
        <f aca="false">MIN(E7,E9+E6)</f>
        <v>0</v>
      </c>
      <c r="F10" s="0" t="n">
        <f aca="false">MIN(F7,F9+F6)</f>
        <v>0</v>
      </c>
      <c r="G10" s="0" t="n">
        <f aca="false">MIN(G7,G9+G6)</f>
        <v>0</v>
      </c>
      <c r="H10" s="0" t="n">
        <f aca="false">MIN(H7,H9+H6)</f>
        <v>3970000</v>
      </c>
      <c r="I10" s="0" t="n">
        <f aca="false">MIN(I7,I9+I6)</f>
        <v>4582500</v>
      </c>
      <c r="J10" s="0" t="n">
        <f aca="false">MIN(J7,J9+J6)</f>
        <v>70207500</v>
      </c>
      <c r="K10" s="0" t="n">
        <f aca="false">MIN(K7,K9+K6)</f>
        <v>2797500</v>
      </c>
      <c r="L10" s="0" t="n">
        <f aca="false">MIN(L7,L9+L6)</f>
        <v>50912500</v>
      </c>
      <c r="M10" s="0" t="n">
        <f aca="false">MIN(M7,M9+M6)</f>
        <v>0</v>
      </c>
      <c r="N10" s="0" t="n">
        <f aca="false">MIN(N7,N9+N6)</f>
        <v>0</v>
      </c>
    </row>
    <row r="11" customFormat="false" ht="15" hidden="false" customHeight="false" outlineLevel="0" collapsed="false">
      <c r="B11" s="0" t="s">
        <v>47</v>
      </c>
      <c r="D11" s="0" t="n">
        <f aca="false">D9+D6-D10</f>
        <v>0</v>
      </c>
      <c r="E11" s="0" t="n">
        <f aca="false">E9+E6-E10</f>
        <v>44600000</v>
      </c>
      <c r="F11" s="0" t="n">
        <f aca="false">F9+F6-F10</f>
        <v>82890000</v>
      </c>
      <c r="G11" s="0" t="n">
        <f aca="false">G9+G6-G10</f>
        <v>132470000</v>
      </c>
      <c r="H11" s="0" t="n">
        <f aca="false">H9+H6-H10</f>
        <v>128500000</v>
      </c>
      <c r="I11" s="0" t="n">
        <f aca="false">I9+I6-I10</f>
        <v>123917500</v>
      </c>
      <c r="J11" s="0" t="n">
        <f aca="false">J9+J6-J10</f>
        <v>53710000</v>
      </c>
      <c r="K11" s="0" t="n">
        <f aca="false">K9+K6-K10</f>
        <v>50912500</v>
      </c>
      <c r="L11" s="0" t="n">
        <f aca="false">L9+L6-L10</f>
        <v>0</v>
      </c>
      <c r="M11" s="0" t="n">
        <f aca="false">M9+M6-M10</f>
        <v>0</v>
      </c>
      <c r="N11" s="0" t="n">
        <f aca="false">N9+N6-N10</f>
        <v>350000</v>
      </c>
    </row>
    <row r="13" customFormat="false" ht="15" hidden="false" customHeight="false" outlineLevel="0" collapsed="false">
      <c r="B13" s="0" t="s">
        <v>48</v>
      </c>
      <c r="D13" s="0" t="n">
        <f aca="false">0</f>
        <v>0</v>
      </c>
      <c r="E13" s="0" t="n">
        <f aca="false">D16</f>
        <v>0</v>
      </c>
      <c r="F13" s="0" t="n">
        <f aca="false">E16</f>
        <v>0</v>
      </c>
      <c r="G13" s="0" t="n">
        <f aca="false">F16</f>
        <v>3568000</v>
      </c>
      <c r="H13" s="0" t="n">
        <f aca="false">G16</f>
        <v>10484640</v>
      </c>
      <c r="I13" s="0" t="n">
        <f aca="false">H16</f>
        <v>21921011.2</v>
      </c>
      <c r="J13" s="0" t="n">
        <f aca="false">I16</f>
        <v>33954692.096</v>
      </c>
      <c r="K13" s="0" t="n">
        <f aca="false">J16</f>
        <v>46584467.46368</v>
      </c>
      <c r="L13" s="0" t="n">
        <f aca="false">K16</f>
        <v>54608024.8607744</v>
      </c>
      <c r="M13" s="0" t="n">
        <f aca="false">L16</f>
        <v>46089666.8496363</v>
      </c>
      <c r="N13" s="0" t="n">
        <f aca="false">M16</f>
        <v>0</v>
      </c>
    </row>
    <row r="14" customFormat="false" ht="15" hidden="false" customHeight="false" outlineLevel="0" collapsed="false">
      <c r="B14" s="0" t="s">
        <v>49</v>
      </c>
      <c r="D14" s="0" t="n">
        <f aca="false">(D9+D13)*Assumptions!$C$10</f>
        <v>0</v>
      </c>
      <c r="E14" s="0" t="n">
        <f aca="false">(E9+E13)*Assumptions!$C$10</f>
        <v>0</v>
      </c>
      <c r="F14" s="0" t="n">
        <f aca="false">(F9+F13)*Assumptions!$C$10</f>
        <v>3568000</v>
      </c>
      <c r="G14" s="0" t="n">
        <f aca="false">(G9+G13)*Assumptions!$C$10</f>
        <v>6916640</v>
      </c>
      <c r="H14" s="0" t="n">
        <f aca="false">(H9+H13)*Assumptions!$C$10</f>
        <v>11436371.2</v>
      </c>
      <c r="I14" s="0" t="n">
        <f aca="false">(I9+I13)*Assumptions!$C$10</f>
        <v>12033680.896</v>
      </c>
      <c r="J14" s="0" t="n">
        <f aca="false">(J9+J13)*Assumptions!$C$10</f>
        <v>12629775.36768</v>
      </c>
      <c r="K14" s="0" t="n">
        <f aca="false">(K9+K13)*Assumptions!$C$10</f>
        <v>8023557.3970944</v>
      </c>
      <c r="L14" s="0" t="n">
        <f aca="false">(L9+L13)*Assumptions!$C$10</f>
        <v>8441641.98886195</v>
      </c>
      <c r="M14" s="0" t="n">
        <f aca="false">(M9+M13)*Assumptions!$C$10</f>
        <v>3687173.34797091</v>
      </c>
      <c r="N14" s="0" t="n">
        <f aca="false">(N9+N13)*Assumptions!$C$10</f>
        <v>0</v>
      </c>
    </row>
    <row r="15" customFormat="false" ht="15" hidden="false" customHeight="false" outlineLevel="0" collapsed="false">
      <c r="B15" s="0" t="s">
        <v>50</v>
      </c>
      <c r="D15" s="0" t="n">
        <f aca="false">MIN(D7-D10,D13+D14)</f>
        <v>0</v>
      </c>
      <c r="E15" s="0" t="n">
        <f aca="false">MIN(E7-E10,E13+E14)</f>
        <v>0</v>
      </c>
      <c r="F15" s="0" t="n">
        <f aca="false">MIN(F7-F10,F13+F14)</f>
        <v>0</v>
      </c>
      <c r="G15" s="0" t="n">
        <f aca="false">MIN(G7-G10,G13+G14)</f>
        <v>0</v>
      </c>
      <c r="H15" s="0" t="n">
        <f aca="false">MIN(H7-H10,H13+H14)</f>
        <v>0</v>
      </c>
      <c r="I15" s="0" t="n">
        <f aca="false">MIN(I7-I10,I13+I14)</f>
        <v>0</v>
      </c>
      <c r="J15" s="0" t="n">
        <f aca="false">MIN(J7-J10,J13+J14)</f>
        <v>0</v>
      </c>
      <c r="K15" s="0" t="n">
        <f aca="false">MIN(K7-K10,K13+K14)</f>
        <v>0</v>
      </c>
      <c r="L15" s="0" t="n">
        <f aca="false">MIN(L7-L10,L13+L14)</f>
        <v>16960000</v>
      </c>
      <c r="M15" s="0" t="n">
        <f aca="false">MIN(M7-M10,M13+M14)</f>
        <v>49776840.1976073</v>
      </c>
      <c r="N15" s="0" t="n">
        <f aca="false">MIN(N7-N10,N13+N14)</f>
        <v>0</v>
      </c>
    </row>
    <row r="16" customFormat="false" ht="15" hidden="false" customHeight="false" outlineLevel="0" collapsed="false">
      <c r="B16" s="0" t="s">
        <v>51</v>
      </c>
      <c r="D16" s="0" t="n">
        <f aca="false">D13+D14-D15</f>
        <v>0</v>
      </c>
      <c r="E16" s="0" t="n">
        <f aca="false">E13+E14-E15</f>
        <v>0</v>
      </c>
      <c r="F16" s="0" t="n">
        <f aca="false">F13+F14-F15</f>
        <v>3568000</v>
      </c>
      <c r="G16" s="0" t="n">
        <f aca="false">G13+G14-G15</f>
        <v>10484640</v>
      </c>
      <c r="H16" s="0" t="n">
        <f aca="false">H13+H14-H15</f>
        <v>21921011.2</v>
      </c>
      <c r="I16" s="0" t="n">
        <f aca="false">I13+I14-I15</f>
        <v>33954692.096</v>
      </c>
      <c r="J16" s="0" t="n">
        <f aca="false">J13+J14-J15</f>
        <v>46584467.46368</v>
      </c>
      <c r="K16" s="0" t="n">
        <f aca="false">K13+K14-K15</f>
        <v>54608024.8607744</v>
      </c>
      <c r="L16" s="0" t="n">
        <f aca="false">L13+L14-L15</f>
        <v>46089666.8496363</v>
      </c>
      <c r="M16" s="0" t="n">
        <f aca="false">M13+M14-M15</f>
        <v>0</v>
      </c>
      <c r="N16" s="0" t="n">
        <f aca="false">N13+N14-N15</f>
        <v>0</v>
      </c>
    </row>
    <row r="18" customFormat="false" ht="15" hidden="false" customHeight="false" outlineLevel="0" collapsed="false">
      <c r="B18" s="0" t="s">
        <v>52</v>
      </c>
      <c r="D18" s="0" t="n">
        <f aca="false">MIN(D7-D10-D15,MAX(0,Assumptions!$C$12/(1-Assumptions!$C$12)*SUM($D$15:D15)-0)*Assumptions!$C$11)</f>
        <v>0</v>
      </c>
      <c r="E18" s="0" t="n">
        <f aca="false">MIN(E7-E10-E15,MAX(0,Assumptions!$C$12/(1-Assumptions!$C$12)*SUM($D$15:E15)-SUM($D$18:D18))*Assumptions!$C$11)</f>
        <v>0</v>
      </c>
      <c r="F18" s="0" t="n">
        <f aca="false">MIN(F7-F10-F15,MAX(0,Assumptions!$C$12/(1-Assumptions!$C$12)*SUM($D$15:F15)-SUM($D$18:E18))*Assumptions!$C$11)</f>
        <v>0</v>
      </c>
      <c r="G18" s="0" t="n">
        <f aca="false">MIN(G7-G10-G15,MAX(0,Assumptions!$C$12/(1-Assumptions!$C$12)*SUM($D$15:G15)-SUM($D$18:F18))*Assumptions!$C$11)</f>
        <v>0</v>
      </c>
      <c r="H18" s="0" t="n">
        <f aca="false">MIN(H7-H10-H15,MAX(0,Assumptions!$C$12/(1-Assumptions!$C$12)*SUM($D$15:H15)-SUM($D$18:G18))*Assumptions!$C$11)</f>
        <v>0</v>
      </c>
      <c r="I18" s="0" t="n">
        <f aca="false">MIN(I7-I10-I15,MAX(0,Assumptions!$C$12/(1-Assumptions!$C$12)*SUM($D$15:I15)-SUM($D$18:H18))*Assumptions!$C$11)</f>
        <v>0</v>
      </c>
      <c r="J18" s="0" t="n">
        <f aca="false">MIN(J7-J10-J15,MAX(0,Assumptions!$C$12/(1-Assumptions!$C$12)*SUM($D$15:J15)-SUM($D$18:I18))*Assumptions!$C$11)</f>
        <v>0</v>
      </c>
      <c r="K18" s="0" t="n">
        <f aca="false">MIN(K7-K10-K15,MAX(0,Assumptions!$C$12/(1-Assumptions!$C$12)*SUM($D$15:K15)-SUM($D$18:J18))*Assumptions!$C$11)</f>
        <v>0</v>
      </c>
      <c r="L18" s="0" t="n">
        <f aca="false">MIN(L7-L10-L15,MAX(0,Assumptions!$C$12/(1-Assumptions!$C$12)*SUM($D$15:L15)-SUM($D$18:K18))*Assumptions!$C$11)</f>
        <v>0</v>
      </c>
      <c r="M18" s="0" t="n">
        <f aca="false">MIN(M7-M10-M15,MAX(0,Assumptions!$C$12/(1-Assumptions!$C$12)*SUM($D$15:M15)-SUM($D$18:L18))*Assumptions!$C$11)</f>
        <v>16684210.0494018</v>
      </c>
      <c r="N18" s="0" t="n">
        <f aca="false">MIN(N7-N10-N15,MAX(0,Assumptions!$C$12/(1-Assumptions!$C$12)*SUM($D$15:N15)-SUM($D$18:M18))*Assumptions!$C$11)</f>
        <v>0</v>
      </c>
    </row>
    <row r="19" customFormat="false" ht="15" hidden="false" customHeight="false" outlineLevel="0" collapsed="false">
      <c r="B19" s="0" t="s">
        <v>53</v>
      </c>
      <c r="D19" s="0" t="n">
        <f aca="false">SUM($D$15:D15)+SUM($D$21:D21)</f>
        <v>0</v>
      </c>
      <c r="E19" s="0" t="n">
        <f aca="false">SUM($D$15:E15)+SUM($D$21:E21)</f>
        <v>0</v>
      </c>
      <c r="F19" s="0" t="n">
        <f aca="false">SUM($D$15:F15)+SUM($D$21:F21)</f>
        <v>0</v>
      </c>
      <c r="G19" s="0" t="n">
        <f aca="false">SUM($D$15:G15)+SUM($D$21:G21)</f>
        <v>0</v>
      </c>
      <c r="H19" s="0" t="n">
        <f aca="false">SUM($D$15:H15)+SUM($D$21:H21)</f>
        <v>0</v>
      </c>
      <c r="I19" s="0" t="n">
        <f aca="false">SUM($D$15:I15)+SUM($D$21:I21)</f>
        <v>0</v>
      </c>
      <c r="J19" s="0" t="n">
        <f aca="false">SUM($D$15:J15)+SUM($D$21:J21)</f>
        <v>0</v>
      </c>
      <c r="K19" s="0" t="n">
        <f aca="false">SUM($D$15:K15)+SUM($D$21:K21)</f>
        <v>0</v>
      </c>
      <c r="L19" s="0" t="n">
        <f aca="false">SUM($D$15:L15)+SUM($D$21:L21)</f>
        <v>16960000</v>
      </c>
      <c r="M19" s="0" t="n">
        <f aca="false">SUM($D$15:M15)+SUM($D$21:M21)</f>
        <v>70408000</v>
      </c>
      <c r="N19" s="0" t="n">
        <f aca="false">SUM($D$15:N15)+SUM($D$21:N21)</f>
        <v>70408000</v>
      </c>
    </row>
    <row r="20" customFormat="false" ht="15" hidden="false" customHeight="false" outlineLevel="0" collapsed="false">
      <c r="B20" s="0" t="s">
        <v>54</v>
      </c>
      <c r="D20" s="0" t="n">
        <f aca="false">SUM($D$18:D18)</f>
        <v>0</v>
      </c>
      <c r="E20" s="0" t="n">
        <f aca="false">SUM($D$18:E18)</f>
        <v>0</v>
      </c>
      <c r="F20" s="0" t="n">
        <f aca="false">SUM($D$18:F18)</f>
        <v>0</v>
      </c>
      <c r="G20" s="0" t="n">
        <f aca="false">SUM($D$18:G18)</f>
        <v>0</v>
      </c>
      <c r="H20" s="0" t="n">
        <f aca="false">SUM($D$18:H18)</f>
        <v>0</v>
      </c>
      <c r="I20" s="0" t="n">
        <f aca="false">SUM($D$18:I18)</f>
        <v>0</v>
      </c>
      <c r="J20" s="0" t="n">
        <f aca="false">SUM($D$18:J18)</f>
        <v>0</v>
      </c>
      <c r="K20" s="0" t="n">
        <f aca="false">SUM($D$18:K18)</f>
        <v>0</v>
      </c>
      <c r="L20" s="0" t="n">
        <f aca="false">SUM($D$18:L18)</f>
        <v>0</v>
      </c>
      <c r="M20" s="0" t="n">
        <f aca="false">SUM($D$18:M18)</f>
        <v>16684210.0494018</v>
      </c>
      <c r="N20" s="0" t="n">
        <f aca="false">SUM($D$18:N18)</f>
        <v>16684210.0494018</v>
      </c>
    </row>
    <row r="21" customFormat="false" ht="15" hidden="false" customHeight="false" outlineLevel="0" collapsed="false">
      <c r="B21" s="0" t="s">
        <v>55</v>
      </c>
      <c r="D21" s="0" t="n">
        <f aca="false">(D7-D10-D15-D18)*(1-Assumptions!$C$12)</f>
        <v>0</v>
      </c>
      <c r="E21" s="0" t="n">
        <f aca="false">(E7-E10-E15-E18)*(1-Assumptions!$C$12)</f>
        <v>0</v>
      </c>
      <c r="F21" s="0" t="n">
        <f aca="false">(F7-F10-F15-F18)*(1-Assumptions!$C$12)</f>
        <v>0</v>
      </c>
      <c r="G21" s="0" t="n">
        <f aca="false">(G7-G10-G15-G18)*(1-Assumptions!$C$12)</f>
        <v>0</v>
      </c>
      <c r="H21" s="0" t="n">
        <f aca="false">(H7-H10-H15-H18)*(1-Assumptions!$C$12)</f>
        <v>0</v>
      </c>
      <c r="I21" s="0" t="n">
        <f aca="false">(I7-I10-I15-I18)*(1-Assumptions!$C$12)</f>
        <v>0</v>
      </c>
      <c r="J21" s="0" t="n">
        <f aca="false">(J7-J10-J15-J18)*(1-Assumptions!$C$12)</f>
        <v>0</v>
      </c>
      <c r="K21" s="0" t="n">
        <f aca="false">(K7-K10-K15-K18)*(1-Assumptions!$C$12)</f>
        <v>0</v>
      </c>
      <c r="L21" s="0" t="n">
        <f aca="false">(L7-L10-L15-L18)*(1-Assumptions!$C$12)</f>
        <v>0</v>
      </c>
      <c r="M21" s="0" t="n">
        <f aca="false">(M7-M10-M15-M18)*(1-Assumptions!$C$12)</f>
        <v>3671159.80239274</v>
      </c>
      <c r="N21" s="0" t="n">
        <f aca="false">(N7-N10-N15-N18)*(1-Assumptions!$C$12)</f>
        <v>0</v>
      </c>
    </row>
    <row r="22" customFormat="false" ht="15" hidden="false" customHeight="false" outlineLevel="0" collapsed="false">
      <c r="B22" s="0" t="s">
        <v>56</v>
      </c>
      <c r="D22" s="0" t="n">
        <f aca="false">(D7-D10-D15-D18)*Assumptions!$C$12</f>
        <v>0</v>
      </c>
      <c r="E22" s="0" t="n">
        <f aca="false">(E7-E10-E15-E18)*Assumptions!$C$12</f>
        <v>0</v>
      </c>
      <c r="F22" s="0" t="n">
        <f aca="false">(F7-F10-F15-F18)*Assumptions!$C$12</f>
        <v>0</v>
      </c>
      <c r="G22" s="0" t="n">
        <f aca="false">(G7-G10-G15-G18)*Assumptions!$C$12</f>
        <v>0</v>
      </c>
      <c r="H22" s="0" t="n">
        <f aca="false">(H7-H10-H15-H18)*Assumptions!$C$12</f>
        <v>0</v>
      </c>
      <c r="I22" s="0" t="n">
        <f aca="false">(I7-I10-I15-I18)*Assumptions!$C$12</f>
        <v>0</v>
      </c>
      <c r="J22" s="0" t="n">
        <f aca="false">(J7-J10-J15-J18)*Assumptions!$C$12</f>
        <v>0</v>
      </c>
      <c r="K22" s="0" t="n">
        <f aca="false">(K7-K10-K15-K18)*Assumptions!$C$12</f>
        <v>0</v>
      </c>
      <c r="L22" s="0" t="n">
        <f aca="false">(L7-L10-L15-L18)*Assumptions!$C$12</f>
        <v>0</v>
      </c>
      <c r="M22" s="0" t="n">
        <f aca="false">(M7-M10-M15-M18)*Assumptions!$C$12</f>
        <v>917789.950598186</v>
      </c>
      <c r="N22" s="0" t="n">
        <f aca="false">(N7-N10-N15-N18)*Assumptions!$C$12</f>
        <v>0</v>
      </c>
    </row>
    <row r="24" customFormat="false" ht="15" hidden="false" customHeight="false" outlineLevel="0" collapsed="false">
      <c r="B24" s="0" t="s">
        <v>57</v>
      </c>
      <c r="D24" s="0" t="n">
        <f aca="false">D10+D15+D21</f>
        <v>0</v>
      </c>
      <c r="E24" s="0" t="n">
        <f aca="false">E10+E15+E21</f>
        <v>0</v>
      </c>
      <c r="F24" s="0" t="n">
        <f aca="false">F10+F15+F21</f>
        <v>0</v>
      </c>
      <c r="G24" s="0" t="n">
        <f aca="false">G10+G15+G21</f>
        <v>0</v>
      </c>
      <c r="H24" s="0" t="n">
        <f aca="false">H10+H15+H21</f>
        <v>3970000</v>
      </c>
      <c r="I24" s="0" t="n">
        <f aca="false">I10+I15+I21</f>
        <v>4582500</v>
      </c>
      <c r="J24" s="0" t="n">
        <f aca="false">J10+J15+J21</f>
        <v>70207500</v>
      </c>
      <c r="K24" s="0" t="n">
        <f aca="false">K10+K15+K21</f>
        <v>2797500</v>
      </c>
      <c r="L24" s="0" t="n">
        <f aca="false">L10+L15+L21</f>
        <v>67872500</v>
      </c>
      <c r="M24" s="0" t="n">
        <f aca="false">M10+M15+M21</f>
        <v>53448000</v>
      </c>
      <c r="N24" s="0" t="n">
        <f aca="false">N10+N15+N21</f>
        <v>0</v>
      </c>
    </row>
    <row r="25" customFormat="false" ht="15" hidden="false" customHeight="false" outlineLevel="0" collapsed="false">
      <c r="B25" s="0" t="s">
        <v>58</v>
      </c>
      <c r="D25" s="0" t="n">
        <f aca="false">D18+D22</f>
        <v>0</v>
      </c>
      <c r="E25" s="0" t="n">
        <f aca="false">E18+E22</f>
        <v>0</v>
      </c>
      <c r="F25" s="0" t="n">
        <f aca="false">F18+F22</f>
        <v>0</v>
      </c>
      <c r="G25" s="0" t="n">
        <f aca="false">G18+G22</f>
        <v>0</v>
      </c>
      <c r="H25" s="0" t="n">
        <f aca="false">H18+H22</f>
        <v>0</v>
      </c>
      <c r="I25" s="0" t="n">
        <f aca="false">I18+I22</f>
        <v>0</v>
      </c>
      <c r="J25" s="0" t="n">
        <f aca="false">J18+J22</f>
        <v>0</v>
      </c>
      <c r="K25" s="0" t="n">
        <f aca="false">K18+K22</f>
        <v>0</v>
      </c>
      <c r="L25" s="0" t="n">
        <f aca="false">L18+L22</f>
        <v>0</v>
      </c>
      <c r="M25" s="0" t="n">
        <f aca="false">M18+M22</f>
        <v>17602000</v>
      </c>
      <c r="N25" s="0" t="n">
        <f aca="false">N18+N22</f>
        <v>0</v>
      </c>
    </row>
    <row r="27" customFormat="false" ht="15" hidden="false" customHeight="false" outlineLevel="0" collapsed="false">
      <c r="B27" s="0" t="s">
        <v>59</v>
      </c>
      <c r="D27" s="0" t="n">
        <f aca="false">(-D6+D24)*(1-Assumptions!$C$5)</f>
        <v>0</v>
      </c>
      <c r="E27" s="0" t="n">
        <f aca="false">(-E6+E24)*(1-Assumptions!$C$5)</f>
        <v>-43708000</v>
      </c>
      <c r="F27" s="0" t="n">
        <f aca="false">(-F6+F24)*(1-Assumptions!$C$5)</f>
        <v>-37524200</v>
      </c>
      <c r="G27" s="0" t="n">
        <f aca="false">(-G6+G24)*(1-Assumptions!$C$5)</f>
        <v>-48588400</v>
      </c>
      <c r="H27" s="0" t="n">
        <f aca="false">(-H6+H24)*(1-Assumptions!$C$5)</f>
        <v>3890600</v>
      </c>
      <c r="I27" s="0" t="n">
        <f aca="false">(-I6+I24)*(1-Assumptions!$C$5)</f>
        <v>4490850</v>
      </c>
      <c r="J27" s="0" t="n">
        <f aca="false">(-J6+J24)*(1-Assumptions!$C$5)</f>
        <v>68803350</v>
      </c>
      <c r="K27" s="0" t="n">
        <f aca="false">(-K6+K24)*(1-Assumptions!$C$5)</f>
        <v>2741550</v>
      </c>
      <c r="L27" s="0" t="n">
        <f aca="false">(-L6+L24)*(1-Assumptions!$C$5)</f>
        <v>66515050</v>
      </c>
      <c r="M27" s="0" t="n">
        <f aca="false">(-M6+M24)*(1-Assumptions!$C$5)</f>
        <v>52379040</v>
      </c>
      <c r="N27" s="0" t="n">
        <f aca="false">(-N6+N24)*(1-Assumptions!$C$5)</f>
        <v>-343000</v>
      </c>
    </row>
    <row r="28" customFormat="false" ht="15" hidden="false" customHeight="false" outlineLevel="0" collapsed="false">
      <c r="B28" s="0" t="s">
        <v>60</v>
      </c>
      <c r="D28" s="0" t="n">
        <f aca="false">D25</f>
        <v>0</v>
      </c>
      <c r="E28" s="0" t="n">
        <f aca="false">E25</f>
        <v>0</v>
      </c>
      <c r="F28" s="0" t="n">
        <f aca="false">F25</f>
        <v>0</v>
      </c>
      <c r="G28" s="0" t="n">
        <f aca="false">G25</f>
        <v>0</v>
      </c>
      <c r="H28" s="0" t="n">
        <f aca="false">H25</f>
        <v>0</v>
      </c>
      <c r="I28" s="0" t="n">
        <f aca="false">I25</f>
        <v>0</v>
      </c>
      <c r="J28" s="0" t="n">
        <f aca="false">J25</f>
        <v>0</v>
      </c>
      <c r="K28" s="0" t="n">
        <f aca="false">K25</f>
        <v>0</v>
      </c>
      <c r="L28" s="0" t="n">
        <f aca="false">L25</f>
        <v>0</v>
      </c>
      <c r="M28" s="0" t="n">
        <f aca="false">M25</f>
        <v>17602000</v>
      </c>
      <c r="N28" s="0" t="n">
        <f aca="false">N25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2026-10-19T12:30:29Z</dcterms:created>
  <dc:creator>openpyxl</dc:creator>
  <dc:description/>
  <dc:language>en-US</dc:language>
  <cp:lastModifiedBy/>
  <dcterms:modified xsi:type="dcterms:W3CDTF">2026-10-19T12:30:29Z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