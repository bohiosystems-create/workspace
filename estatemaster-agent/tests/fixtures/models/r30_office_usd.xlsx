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nderwriting" sheetId="1" state="visible" r:id="rId3"/>
  </sheets>
  <definedNames>
    <definedName function="false" hidden="false" name="Units" vbProcedure="false">Underwriting!$B$3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<sst xmlns="http://schemas.openxmlformats.org/spreadsheetml/2006/main" count="30" uniqueCount="30">
  <si>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HARBOR POINT OFFICE – DEVELOPMENT (USD)</t>
  </si>
  <si>
    <t xml:space="preserve">Rentable area (SF)</t>
  </si>
  <si>
    <t xml:space="preserve">Land Costs</t>
  </si>
  <si>
    <t xml:space="preserve">Closing Costs</t>
  </si>
  <si>
    <t xml:space="preserve">Construction Costs</t>
  </si>
  <si>
    <t xml:space="preserve">Other Hard Costs</t>
  </si>
  <si>
    <t xml:space="preserve">Architecture &amp; Engineering</t>
  </si>
  <si>
    <t xml:space="preserve">Total Project Cost</t>
  </si>
  <si>
    <t xml:space="preserve">Exit cap rate</t>
  </si>
  <si>
    <t xml:space="preserve">Operating expenses (share of rent)</t>
  </si>
  <si>
    <t xml:space="preserve">RENT ROLL</t>
  </si>
  <si>
    <t xml:space="preserve">Tenant</t>
  </si>
  <si>
    <t xml:space="preserve">Area (SF)</t>
  </si>
  <si>
    <t xml:space="preserve">Rent / SF / yr</t>
  </si>
  <si>
    <t xml:space="preserve">Annual rent</t>
  </si>
  <si>
    <t xml:space="preserve">Swain and Jones</t>
  </si>
  <si>
    <t xml:space="preserve">CBLL Realty</t>
  </si>
  <si>
    <t xml:space="preserve">Legal Eagles</t>
  </si>
  <si>
    <t xml:space="preserve">Speculative tenant</t>
  </si>
  <si>
    <t xml:space="preserve">Total rent</t>
  </si>
  <si>
    <t xml:space="preserve">CASH FLOW</t>
  </si>
  <si>
    <t xml:space="preserve">Year</t>
  </si>
  <si>
    <t xml:space="preserve">Development cost</t>
  </si>
  <si>
    <t xml:space="preserve">Net operating income</t>
  </si>
  <si>
    <t xml:space="preserve">Sale proceeds</t>
  </si>
  <si>
    <t xml:space="preserve">Net unlevered cash flow</t>
  </si>
  <si>
    <t xml:space="preserve">Unlevered IRR</t>
  </si>
  <si>
    <t xml:space="preserve">Net profit</t>
  </si>
  <si>
    <t xml:space="preserve">Total development cost</t>
  </si>
  <si>
    <t xml:space="preserve">Profit on cost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</si>
</sst>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n">
        <v>37500</v>
      </c>
    </row>
    <row r="4" customFormat="false" ht="15" hidden="false" customHeight="false" outlineLevel="0" collapsed="false">
      <c r="A4" s="0" t="s">
        <v>2</v>
      </c>
      <c r="B4" s="0" t="n">
        <v>1600000</v>
      </c>
    </row>
    <row r="5" customFormat="false" ht="15" hidden="false" customHeight="false" outlineLevel="0" collapsed="false">
      <c r="A5" s="0" t="s">
        <v>3</v>
      </c>
      <c r="B5" s="0" t="n">
        <f aca="false">B4*0.03</f>
        <v>48000</v>
      </c>
    </row>
    <row r="6" customFormat="false" ht="15" hidden="false" customHeight="false" outlineLevel="0" collapsed="false">
      <c r="A6" s="0" t="s">
        <v>4</v>
      </c>
      <c r="B6" s="0" t="n">
        <f aca="false">Units*190</f>
        <v>7125000</v>
      </c>
    </row>
    <row r="7" customFormat="false" ht="15" hidden="false" customHeight="false" outlineLevel="0" collapsed="false">
      <c r="A7" s="0" t="s">
        <v>5</v>
      </c>
      <c r="B7" s="0" t="n">
        <f aca="false">B6*0.015</f>
        <v>106875</v>
      </c>
    </row>
    <row r="8" customFormat="false" ht="15" hidden="false" customHeight="false" outlineLevel="0" collapsed="false">
      <c r="A8" s="0" t="s">
        <v>6</v>
      </c>
      <c r="B8" s="0" t="n">
        <f aca="false">(B6+B7)*0.06</f>
        <v>433912.5</v>
      </c>
    </row>
    <row r="9" customFormat="false" ht="15" hidden="false" customHeight="false" outlineLevel="0" collapsed="false">
      <c r="A9" s="0" t="s">
        <v>7</v>
      </c>
      <c r="B9" s="0" t="n">
        <f aca="false">SUM(B4:B8)</f>
        <v>9313787.5</v>
      </c>
    </row>
    <row r="10" customFormat="false" ht="15" hidden="false" customHeight="false" outlineLevel="0" collapsed="false">
      <c r="A10" s="0" t="s">
        <v>8</v>
      </c>
      <c r="B10" s="0" t="n">
        <v>0.075</v>
      </c>
    </row>
    <row r="11" customFormat="false" ht="15" hidden="false" customHeight="false" outlineLevel="0" collapsed="false">
      <c r="A11" s="0" t="s">
        <v>9</v>
      </c>
      <c r="B11" s="0" t="n">
        <v>0.35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  <c r="B14" s="0" t="s">
        <v>12</v>
      </c>
      <c r="C14" s="0" t="s">
        <v>13</v>
      </c>
      <c r="D14" s="0" t="s">
        <v>14</v>
      </c>
    </row>
    <row r="15" customFormat="false" ht="15" hidden="false" customHeight="false" outlineLevel="0" collapsed="false">
      <c r="A15" s="0" t="s">
        <v>15</v>
      </c>
      <c r="B15" s="0" t="n">
        <v>25000</v>
      </c>
      <c r="C15" s="0" t="n">
        <v>34</v>
      </c>
      <c r="D15" s="0" t="n">
        <f aca="false">B15*C15</f>
        <v>850000</v>
      </c>
    </row>
    <row r="16" customFormat="false" ht="15" hidden="false" customHeight="false" outlineLevel="0" collapsed="false">
      <c r="A16" s="0" t="s">
        <v>16</v>
      </c>
      <c r="B16" s="0" t="n">
        <v>5000</v>
      </c>
      <c r="C16" s="0" t="n">
        <v>32</v>
      </c>
      <c r="D16" s="0" t="n">
        <f aca="false">B16*C16</f>
        <v>160000</v>
      </c>
    </row>
    <row r="17" customFormat="false" ht="15" hidden="false" customHeight="false" outlineLevel="0" collapsed="false">
      <c r="A17" s="0" t="s">
        <v>17</v>
      </c>
      <c r="B17" s="0" t="n">
        <v>5000</v>
      </c>
      <c r="C17" s="0" t="n">
        <v>34</v>
      </c>
      <c r="D17" s="0" t="n">
        <f aca="false">B17*C17</f>
        <v>170000</v>
      </c>
    </row>
    <row r="18" customFormat="false" ht="15" hidden="false" customHeight="false" outlineLevel="0" collapsed="false">
      <c r="A18" s="0" t="s">
        <v>18</v>
      </c>
      <c r="B18" s="0" t="n">
        <v>2500</v>
      </c>
      <c r="C18" s="0" t="n">
        <v>32</v>
      </c>
      <c r="D18" s="0" t="n">
        <f aca="false">B18*C18</f>
        <v>80000</v>
      </c>
    </row>
    <row r="19" customFormat="false" ht="15" hidden="false" customHeight="false" outlineLevel="0" collapsed="false">
      <c r="A19" s="0" t="s">
        <v>19</v>
      </c>
      <c r="D19" s="0" t="n">
        <f aca="false">SUM(D15:D18)</f>
        <v>1260000</v>
      </c>
    </row>
    <row r="22" customFormat="false" ht="15" hidden="false" customHeight="false" outlineLevel="0" collapsed="false">
      <c r="A22" s="0" t="s">
        <v>20</v>
      </c>
    </row>
    <row r="23" customFormat="false" ht="15" hidden="false" customHeight="false" outlineLevel="0" collapsed="false">
      <c r="A23" s="0" t="s">
        <v>21</v>
      </c>
      <c r="B23" s="0" t="n">
        <v>0</v>
      </c>
      <c r="C23" s="0" t="n">
        <v>1</v>
      </c>
      <c r="D23" s="0" t="n">
        <v>2</v>
      </c>
      <c r="E23" s="0" t="n">
        <v>3</v>
      </c>
      <c r="F23" s="0" t="n">
        <v>4</v>
      </c>
      <c r="G23" s="0" t="n">
        <v>5</v>
      </c>
    </row>
    <row r="24" customFormat="false" ht="15" hidden="false" customHeight="false" outlineLevel="0" collapsed="false">
      <c r="A24" s="0" t="s">
        <v>22</v>
      </c>
      <c r="B24" s="0" t="n">
        <f aca="false">-B9*0.4</f>
        <v>-3725515</v>
      </c>
      <c r="C24" s="0" t="n">
        <f aca="false">-B9*0.6</f>
        <v>-5588272.5</v>
      </c>
    </row>
    <row r="25" customFormat="false" ht="15" hidden="false" customHeight="false" outlineLevel="0" collapsed="false">
      <c r="A25" s="0" t="s">
        <v>23</v>
      </c>
      <c r="D25" s="0" t="n">
        <f aca="false">$D$19*(1-$B$11)*(1.03^(D23-2))</f>
        <v>819000</v>
      </c>
      <c r="E25" s="0" t="n">
        <f aca="false">$D$19*(1-$B$11)*(1.03^(E23-2))</f>
        <v>843570</v>
      </c>
      <c r="F25" s="0" t="n">
        <f aca="false">$D$19*(1-$B$11)*(1.03^(F23-2))</f>
        <v>868877.1</v>
      </c>
      <c r="G25" s="0" t="n">
        <f aca="false">$D$19*(1-$B$11)*(1.03^(G23-2))</f>
        <v>894943.413</v>
      </c>
    </row>
    <row r="26" customFormat="false" ht="15" hidden="false" customHeight="false" outlineLevel="0" collapsed="false">
      <c r="A26" s="0" t="s">
        <v>24</v>
      </c>
      <c r="F26" s="0" t="n">
        <f aca="false">F25*1.03/B10*0.98</f>
        <v>11693927.2632</v>
      </c>
    </row>
    <row r="27" customFormat="false" ht="15" hidden="false" customHeight="false" outlineLevel="0" collapsed="false">
      <c r="A27" s="0" t="s">
        <v>25</v>
      </c>
      <c r="B27" s="0" t="n">
        <f aca="false">SUM(B24:B26)</f>
        <v>-3725515</v>
      </c>
      <c r="C27" s="0" t="n">
        <f aca="false">SUM(C24:C26)</f>
        <v>-5588272.5</v>
      </c>
      <c r="D27" s="0" t="n">
        <f aca="false">SUM(D24:D26)</f>
        <v>819000</v>
      </c>
      <c r="E27" s="0" t="n">
        <f aca="false">SUM(E24:E26)</f>
        <v>843570</v>
      </c>
      <c r="F27" s="0" t="n">
        <f aca="false">SUM(F24:F26)</f>
        <v>12562804.3632</v>
      </c>
      <c r="G27" s="0" t="n">
        <f aca="false">SUM(G24:G26)</f>
        <v>894943.413</v>
      </c>
    </row>
    <row r="29" customFormat="false" ht="15" hidden="false" customHeight="false" outlineLevel="0" collapsed="false">
      <c r="A29" s="0" t="s">
        <v>26</v>
      </c>
      <c r="B29" s="1" t="n">
        <f aca="false">IRR(B27:G27)</f>
        <v>0.158777953514314</v>
      </c>
    </row>
    <row r="30" customFormat="false" ht="15" hidden="false" customHeight="false" outlineLevel="0" collapsed="false">
      <c r="A30" s="0" t="s">
        <v>27</v>
      </c>
      <c r="B30" s="0" t="n">
        <f aca="false">SUM(B27:G27)</f>
        <v>5806530.2762</v>
      </c>
    </row>
    <row r="31" customFormat="false" ht="15" hidden="false" customHeight="false" outlineLevel="0" collapsed="false">
      <c r="A31" s="0" t="s">
        <v>28</v>
      </c>
      <c r="B31" s="0" t="n">
        <f aca="false">B9</f>
        <v>9313787.5</v>
      </c>
    </row>
    <row r="32" customFormat="false" ht="15" hidden="false" customHeight="false" outlineLevel="0" collapsed="false">
      <c r="A32" s="0" t="s">
        <v>29</v>
      </c>
      <c r="B32" s="0" t="n">
        <f aca="false">B30/B31</f>
        <v>0.623433836793034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2026-10-18T11:56:36Z</dcterms:created>
  <dc:creator>openpyxl</dc:creator>
  <dc:description/>
  <dc:language>en-US</dc:language>
  <cp:lastModifiedBy/>
  <dcterms:modified xsi:type="dcterms:W3CDTF">2026-10-18T11:56:36Z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