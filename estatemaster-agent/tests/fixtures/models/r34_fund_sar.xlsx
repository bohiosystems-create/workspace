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Cash Flow" sheetId="3" state="visible" r:id="rId5"/>
    <sheet name="Returns" sheetId="4" state="visible" r:id="rId6"/>
  </sheets>
  <definedNames>
    <definedName function="false" hidden="false" name="Fund_Term" vbProcedure="false">Assumptions!$C$6</definedName>
    <definedName function="false" hidden="false" name="Model_Start" vbProcedure="false">Assumptions!$C$5</definedName>
    <definedName function="false" hidden="false" name="Scenario" vbProcedure="false">Assumptions!$C$7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<sst xmlns="http://schemas.openxmlformats.org/spreadsheetml/2006/main" count="66" uniqueCount="59">
  <si>
    <t xml:space="preserve">Deal Summary · Al Rimal Riverside Fund (illustrative)</t>
  </si>
  <si>
    <t xml:space="preserve">SAR '000 unless stated. All figures link to the calculation tabs.</t>
  </si>
  <si>
    <t xml:space="preserve">Project</t>
  </si>
  <si>
    <t xml:space="preserve">Partner returns</t>
  </si>
  <si>
    <t xml:space="preserve">Gross development value</t>
  </si>
  <si>
    <t xml:space="preserve">Fund gross IRR (levered, pre-promote)</t>
  </si>
  <si>
    <t xml:space="preserve">Total development budget</t>
  </si>
  <si>
    <t xml:space="preserve">LP net IRR (after all fees &amp; promote)</t>
  </si>
  <si>
    <t xml:space="preserve">Project profit (unlevered)</t>
  </si>
  <si>
    <t xml:space="preserve">Sponsor total profit incl. promote</t>
  </si>
  <si>
    <t xml:space="preserve">Profit on cost</t>
  </si>
  <si>
    <t xml:space="preserve">Peak facility balance</t>
  </si>
  <si>
    <t xml:space="preserve">Project unlevered IRR</t>
  </si>
  <si>
    <t xml:space="preserve">Al Rimal Riverside Fund (illustrative) · assumptions</t>
  </si>
  <si>
    <t xml:space="preserve">SAR '000 unless stated</t>
  </si>
  <si>
    <t xml:space="preserve">Model start date (first day of Q1)</t>
  </si>
  <si>
    <t xml:space="preserve">date</t>
  </si>
  <si>
    <t xml:space="preserve">Fund term</t>
  </si>
  <si>
    <t xml:space="preserve">quarters</t>
  </si>
  <si>
    <t xml:space="preserve">Active scenario (1 = Base, 2 = Upside, 3 = Downside)</t>
  </si>
  <si>
    <t xml:space="preserve">selector</t>
  </si>
  <si>
    <t xml:space="preserve">Base</t>
  </si>
  <si>
    <t xml:space="preserve">Upside</t>
  </si>
  <si>
    <t xml:space="preserve">Downside</t>
  </si>
  <si>
    <t xml:space="preserve">Live</t>
  </si>
  <si>
    <t xml:space="preserve">Sales price adjustment vs base</t>
  </si>
  <si>
    <t xml:space="preserve">Hard cost overrun on all packages</t>
  </si>
  <si>
    <t xml:space="preserve">3M SAIBOR (average over term)</t>
  </si>
  <si>
    <t xml:space="preserve">Land</t>
  </si>
  <si>
    <t xml:space="preserve">Hard cost (total, excl. overrun)</t>
  </si>
  <si>
    <t xml:space="preserve">Construction start (quarter)</t>
  </si>
  <si>
    <t xml:space="preserve">Construction duration (quarters)</t>
  </si>
  <si>
    <t xml:space="preserve">Gross sales value (base)</t>
  </si>
  <si>
    <t xml:space="preserve">Sales start (quarter)</t>
  </si>
  <si>
    <t xml:space="preserve">Facility size as % of hard cost (LTC)</t>
  </si>
  <si>
    <t xml:space="preserve">Margin over SAIBOR</t>
  </si>
  <si>
    <t xml:space="preserve">Management fee (a year, on commitments)</t>
  </si>
  <si>
    <t xml:space="preserve">LP commitments</t>
  </si>
  <si>
    <t xml:space="preserve">Preferred return (a year)</t>
  </si>
  <si>
    <t xml:space="preserve">Promote above the preferred return</t>
  </si>
  <si>
    <t xml:space="preserve">Bulk sale discount at fund term</t>
  </si>
  <si>
    <t xml:space="preserve">Al Rimal Riverside Fund · quarterly cash flow (SAR '000)</t>
  </si>
  <si>
    <t xml:space="preserve">Quarter</t>
  </si>
  <si>
    <t xml:space="preserve">Quarter end</t>
  </si>
  <si>
    <t xml:space="preserve">Hard cost</t>
  </si>
  <si>
    <t xml:space="preserve">Sales receipts</t>
  </si>
  <si>
    <t xml:space="preserve">Project cash flow (unlevered)</t>
  </si>
  <si>
    <t xml:space="preserve">Opening facility balance</t>
  </si>
  <si>
    <t xml:space="preserve">Facility drawdown</t>
  </si>
  <si>
    <t xml:space="preserve">Interest paid</t>
  </si>
  <si>
    <t xml:space="preserve">Facility repayment</t>
  </si>
  <si>
    <t xml:space="preserve">Closing facility balance</t>
  </si>
  <si>
    <t xml:space="preserve">Fund management fee</t>
  </si>
  <si>
    <t xml:space="preserve">Fund gross cash flow (levered, pre-promote)</t>
  </si>
  <si>
    <t xml:space="preserve">Promote paid to the sponsor</t>
  </si>
  <si>
    <t xml:space="preserve">LP net cash flow</t>
  </si>
  <si>
    <t xml:space="preserve">Sponsor cash flow (promote)</t>
  </si>
  <si>
    <t xml:space="preserve">Returns (SAR '000 unless stated)</t>
  </si>
  <si>
    <t xml:space="preserve">Sponsor total profit (promote)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</si>
</sst>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dd\-mmm\-yy"/>
    <numFmt numFmtId="168" formatCode="0.0%;\(0.0%\);\-"/>
    <numFmt numFmtId="169" formatCode="0"/>
    <numFmt numFmtId="170" formatCode="0.00%"/>
    <numFmt numFmtId="171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0</v>
      </c>
    </row>
    <row r="3" customFormat="false" ht="15" hidden="false" customHeight="false" outlineLevel="0" collapsed="false">
      <c r="B3" s="0" t="s">
        <v>1</v>
      </c>
    </row>
    <row r="5" customFormat="false" ht="15" hidden="false" customHeight="false" outlineLevel="0" collapsed="false">
      <c r="B5" s="0" t="s">
        <v>2</v>
      </c>
      <c r="E5" s="0" t="s">
        <v>3</v>
      </c>
    </row>
    <row r="6" customFormat="false" ht="15" hidden="false" customHeight="false" outlineLevel="0" collapsed="false">
      <c r="B6" s="0" t="s">
        <v>4</v>
      </c>
      <c r="C6" s="1" t="n">
        <f aca="false">Assumptions!C18*(1+Assumptions!F10)</f>
        <v>1800000</v>
      </c>
      <c r="E6" s="2" t="s">
        <v>5</v>
      </c>
      <c r="F6" s="3" t="n">
        <f aca="false">Returns!C6</f>
        <v>0.144443402025596</v>
      </c>
    </row>
    <row r="7" customFormat="false" ht="15" hidden="false" customHeight="false" outlineLevel="0" collapsed="false">
      <c r="B7" s="0" t="s">
        <v>6</v>
      </c>
      <c r="C7" s="1" t="n">
        <f aca="false">-SUM('Cash Flow'!$E$6:$AB$6,'Cash Flow'!$E$7:$AB$7)</f>
        <v>1200000</v>
      </c>
      <c r="E7" s="2" t="s">
        <v>7</v>
      </c>
      <c r="F7" s="3" t="n">
        <f aca="false">Returns!C7</f>
        <v>0.130992044458777</v>
      </c>
    </row>
    <row r="8" customFormat="false" ht="15" hidden="false" customHeight="false" outlineLevel="0" collapsed="false">
      <c r="B8" s="0" t="s">
        <v>8</v>
      </c>
      <c r="C8" s="1" t="n">
        <f aca="false">Returns!C8</f>
        <v>600000</v>
      </c>
      <c r="E8" s="2" t="s">
        <v>9</v>
      </c>
      <c r="F8" s="1" t="n">
        <f aca="false">Returns!C9</f>
        <v>63783.2962499999</v>
      </c>
    </row>
    <row r="9" customFormat="false" ht="15" hidden="false" customHeight="false" outlineLevel="0" collapsed="false">
      <c r="B9" s="0" t="s">
        <v>10</v>
      </c>
      <c r="C9" s="3" t="n">
        <f aca="false">Returns!C10</f>
        <v>0.5</v>
      </c>
      <c r="E9" s="2" t="s">
        <v>11</v>
      </c>
      <c r="F9" s="1" t="n">
        <f aca="false">Returns!C11</f>
        <v>360000</v>
      </c>
    </row>
    <row r="10" customFormat="false" ht="15" hidden="false" customHeight="false" outlineLevel="0" collapsed="false">
      <c r="B10" s="0" t="s">
        <v>12</v>
      </c>
      <c r="C10" s="3" t="n">
        <f aca="false">Returns!C5</f>
        <v>0.151612040168725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13</v>
      </c>
    </row>
    <row r="3" customFormat="false" ht="15" hidden="false" customHeight="false" outlineLevel="0" collapsed="false">
      <c r="B3" s="0" t="s">
        <v>14</v>
      </c>
    </row>
    <row r="5" customFormat="false" ht="15" hidden="false" customHeight="false" outlineLevel="0" collapsed="false">
      <c r="B5" s="0" t="s">
        <v>15</v>
      </c>
      <c r="C5" s="4" t="n">
        <v>46388</v>
      </c>
      <c r="D5" s="2" t="s">
        <v>16</v>
      </c>
    </row>
    <row r="6" customFormat="false" ht="15" hidden="false" customHeight="false" outlineLevel="0" collapsed="false">
      <c r="B6" s="0" t="s">
        <v>17</v>
      </c>
      <c r="C6" s="0" t="n">
        <v>24</v>
      </c>
      <c r="D6" s="0" t="s">
        <v>18</v>
      </c>
    </row>
    <row r="7" customFormat="false" ht="15" hidden="false" customHeight="false" outlineLevel="0" collapsed="false">
      <c r="B7" s="0" t="s">
        <v>19</v>
      </c>
      <c r="C7" s="0" t="n">
        <v>1</v>
      </c>
      <c r="D7" s="0" t="s">
        <v>20</v>
      </c>
    </row>
    <row r="9" customFormat="false" ht="15" hidden="false" customHeight="false" outlineLevel="0" collapsed="false">
      <c r="C9" s="0" t="s">
        <v>21</v>
      </c>
      <c r="D9" s="0" t="s">
        <v>22</v>
      </c>
      <c r="E9" s="0" t="s">
        <v>23</v>
      </c>
      <c r="F9" s="0" t="s">
        <v>24</v>
      </c>
    </row>
    <row r="10" customFormat="false" ht="15" hidden="false" customHeight="false" outlineLevel="0" collapsed="false">
      <c r="B10" s="0" t="s">
        <v>25</v>
      </c>
      <c r="C10" s="5" t="n">
        <v>0</v>
      </c>
      <c r="D10" s="5" t="n">
        <v>0.05</v>
      </c>
      <c r="E10" s="5" t="n">
        <v>-0.1</v>
      </c>
      <c r="F10" s="5" t="n">
        <f aca="false">CHOOSE(Scenario,C10,D10,E10)</f>
        <v>0</v>
      </c>
    </row>
    <row r="11" customFormat="false" ht="15" hidden="false" customHeight="false" outlineLevel="0" collapsed="false">
      <c r="B11" s="0" t="s">
        <v>26</v>
      </c>
      <c r="C11" s="5" t="n">
        <v>0</v>
      </c>
      <c r="D11" s="5" t="n">
        <v>-0.02</v>
      </c>
      <c r="E11" s="5" t="n">
        <v>0.08</v>
      </c>
      <c r="F11" s="5" t="n">
        <f aca="false">CHOOSE(Scenario,C11,D11,E11)</f>
        <v>0</v>
      </c>
    </row>
    <row r="12" customFormat="false" ht="15" hidden="false" customHeight="false" outlineLevel="0" collapsed="false">
      <c r="B12" s="0" t="s">
        <v>27</v>
      </c>
      <c r="C12" s="5" t="n">
        <v>0.05</v>
      </c>
      <c r="D12" s="5" t="n">
        <v>0.045</v>
      </c>
      <c r="E12" s="5" t="n">
        <v>0.06</v>
      </c>
      <c r="F12" s="5" t="n">
        <f aca="false">CHOOSE(Scenario,C12,D12,E12)</f>
        <v>0.05</v>
      </c>
    </row>
    <row r="14" customFormat="false" ht="15" hidden="false" customHeight="false" outlineLevel="0" collapsed="false">
      <c r="B14" s="0" t="s">
        <v>28</v>
      </c>
      <c r="C14" s="1" t="n">
        <v>300000</v>
      </c>
    </row>
    <row r="15" customFormat="false" ht="15" hidden="false" customHeight="false" outlineLevel="0" collapsed="false">
      <c r="B15" s="0" t="s">
        <v>29</v>
      </c>
      <c r="C15" s="1" t="n">
        <v>900000</v>
      </c>
    </row>
    <row r="16" customFormat="false" ht="15" hidden="false" customHeight="false" outlineLevel="0" collapsed="false">
      <c r="B16" s="0" t="s">
        <v>30</v>
      </c>
      <c r="C16" s="6" t="n">
        <v>2</v>
      </c>
    </row>
    <row r="17" customFormat="false" ht="15" hidden="false" customHeight="false" outlineLevel="0" collapsed="false">
      <c r="B17" s="0" t="s">
        <v>31</v>
      </c>
      <c r="C17" s="6" t="n">
        <v>10</v>
      </c>
    </row>
    <row r="18" customFormat="false" ht="15" hidden="false" customHeight="false" outlineLevel="0" collapsed="false">
      <c r="B18" s="0" t="s">
        <v>32</v>
      </c>
      <c r="C18" s="1" t="n">
        <v>1800000</v>
      </c>
    </row>
    <row r="19" customFormat="false" ht="15" hidden="false" customHeight="false" outlineLevel="0" collapsed="false">
      <c r="B19" s="0" t="s">
        <v>33</v>
      </c>
      <c r="C19" s="6" t="n">
        <v>13</v>
      </c>
    </row>
    <row r="20" customFormat="false" ht="15" hidden="false" customHeight="false" outlineLevel="0" collapsed="false">
      <c r="B20" s="0" t="s">
        <v>34</v>
      </c>
      <c r="C20" s="3" t="n">
        <v>0.4</v>
      </c>
    </row>
    <row r="21" customFormat="false" ht="15" hidden="false" customHeight="false" outlineLevel="0" collapsed="false">
      <c r="B21" s="0" t="s">
        <v>35</v>
      </c>
      <c r="C21" s="7" t="n">
        <v>0.02</v>
      </c>
    </row>
    <row r="22" customFormat="false" ht="15" hidden="false" customHeight="false" outlineLevel="0" collapsed="false">
      <c r="B22" s="0" t="s">
        <v>36</v>
      </c>
      <c r="C22" s="7" t="n">
        <v>0.015</v>
      </c>
    </row>
    <row r="23" customFormat="false" ht="15" hidden="false" customHeight="false" outlineLevel="0" collapsed="false">
      <c r="B23" s="0" t="s">
        <v>37</v>
      </c>
      <c r="C23" s="1" t="n">
        <v>800000</v>
      </c>
    </row>
    <row r="24" customFormat="false" ht="15" hidden="false" customHeight="false" outlineLevel="0" collapsed="false">
      <c r="B24" s="0" t="s">
        <v>38</v>
      </c>
      <c r="C24" s="3" t="n">
        <v>0.05</v>
      </c>
    </row>
    <row r="25" customFormat="false" ht="15" hidden="false" customHeight="false" outlineLevel="0" collapsed="false">
      <c r="B25" s="0" t="s">
        <v>39</v>
      </c>
      <c r="C25" s="3" t="n">
        <v>0.3</v>
      </c>
    </row>
    <row r="26" customFormat="false" ht="15" hidden="false" customHeight="false" outlineLevel="0" collapsed="false">
      <c r="B26" s="0" t="s">
        <v>40</v>
      </c>
      <c r="C26" s="3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41</v>
      </c>
    </row>
    <row r="3" customFormat="false" ht="15" hidden="false" customHeight="false" outlineLevel="0" collapsed="false">
      <c r="B3" s="0" t="s">
        <v>42</v>
      </c>
      <c r="E3" s="0" t="n">
        <v>1</v>
      </c>
      <c r="F3" s="0" t="n">
        <v>2</v>
      </c>
      <c r="G3" s="0" t="n">
        <v>3</v>
      </c>
      <c r="H3" s="0" t="n">
        <v>4</v>
      </c>
      <c r="I3" s="0" t="n">
        <v>5</v>
      </c>
      <c r="J3" s="0" t="n">
        <v>6</v>
      </c>
      <c r="K3" s="0" t="n">
        <v>7</v>
      </c>
      <c r="L3" s="0" t="n">
        <v>8</v>
      </c>
      <c r="M3" s="0" t="n">
        <v>9</v>
      </c>
      <c r="N3" s="0" t="n">
        <v>10</v>
      </c>
      <c r="O3" s="0" t="n">
        <v>11</v>
      </c>
      <c r="P3" s="0" t="n">
        <v>12</v>
      </c>
      <c r="Q3" s="0" t="n">
        <v>13</v>
      </c>
      <c r="R3" s="0" t="n">
        <v>14</v>
      </c>
      <c r="S3" s="0" t="n">
        <v>15</v>
      </c>
      <c r="T3" s="0" t="n">
        <v>16</v>
      </c>
      <c r="U3" s="0" t="n">
        <v>17</v>
      </c>
      <c r="V3" s="0" t="n">
        <v>18</v>
      </c>
      <c r="W3" s="0" t="n">
        <v>19</v>
      </c>
      <c r="X3" s="0" t="n">
        <v>20</v>
      </c>
      <c r="Y3" s="0" t="n">
        <v>21</v>
      </c>
      <c r="Z3" s="0" t="n">
        <v>22</v>
      </c>
      <c r="AA3" s="0" t="n">
        <v>23</v>
      </c>
      <c r="AB3" s="0" t="n">
        <v>24</v>
      </c>
    </row>
    <row r="4" customFormat="false" ht="15" hidden="false" customHeight="false" outlineLevel="0" collapsed="false">
      <c r="B4" s="0" t="s">
        <v>43</v>
      </c>
      <c r="E4" s="8" t="n">
        <f aca="false">EOMONTH(Model_Start,3*E3-1)</f>
        <v>46477</v>
      </c>
      <c r="F4" s="8" t="n">
        <f aca="false">EOMONTH(Model_Start,3*F3-1)</f>
        <v>46568</v>
      </c>
      <c r="G4" s="8" t="n">
        <f aca="false">EOMONTH(Model_Start,3*G3-1)</f>
        <v>46660</v>
      </c>
      <c r="H4" s="8" t="n">
        <f aca="false">EOMONTH(Model_Start,3*H3-1)</f>
        <v>46752</v>
      </c>
      <c r="I4" s="8" t="n">
        <f aca="false">EOMONTH(Model_Start,3*I3-1)</f>
        <v>46843</v>
      </c>
      <c r="J4" s="8" t="n">
        <f aca="false">EOMONTH(Model_Start,3*J3-1)</f>
        <v>46934</v>
      </c>
      <c r="K4" s="8" t="n">
        <f aca="false">EOMONTH(Model_Start,3*K3-1)</f>
        <v>47026</v>
      </c>
      <c r="L4" s="8" t="n">
        <f aca="false">EOMONTH(Model_Start,3*L3-1)</f>
        <v>47118</v>
      </c>
      <c r="M4" s="8" t="n">
        <f aca="false">EOMONTH(Model_Start,3*M3-1)</f>
        <v>47208</v>
      </c>
      <c r="N4" s="8" t="n">
        <f aca="false">EOMONTH(Model_Start,3*N3-1)</f>
        <v>47299</v>
      </c>
      <c r="O4" s="8" t="n">
        <f aca="false">EOMONTH(Model_Start,3*O3-1)</f>
        <v>47391</v>
      </c>
      <c r="P4" s="8" t="n">
        <f aca="false">EOMONTH(Model_Start,3*P3-1)</f>
        <v>47483</v>
      </c>
      <c r="Q4" s="8" t="n">
        <f aca="false">EOMONTH(Model_Start,3*Q3-1)</f>
        <v>47573</v>
      </c>
      <c r="R4" s="8" t="n">
        <f aca="false">EOMONTH(Model_Start,3*R3-1)</f>
        <v>47664</v>
      </c>
      <c r="S4" s="8" t="n">
        <f aca="false">EOMONTH(Model_Start,3*S3-1)</f>
        <v>47756</v>
      </c>
      <c r="T4" s="8" t="n">
        <f aca="false">EOMONTH(Model_Start,3*T3-1)</f>
        <v>47848</v>
      </c>
      <c r="U4" s="8" t="n">
        <f aca="false">EOMONTH(Model_Start,3*U3-1)</f>
        <v>47938</v>
      </c>
      <c r="V4" s="8" t="n">
        <f aca="false">EOMONTH(Model_Start,3*V3-1)</f>
        <v>48029</v>
      </c>
      <c r="W4" s="8" t="n">
        <f aca="false">EOMONTH(Model_Start,3*W3-1)</f>
        <v>48121</v>
      </c>
      <c r="X4" s="8" t="n">
        <f aca="false">EOMONTH(Model_Start,3*X3-1)</f>
        <v>48213</v>
      </c>
      <c r="Y4" s="8" t="n">
        <f aca="false">EOMONTH(Model_Start,3*Y3-1)</f>
        <v>48304</v>
      </c>
      <c r="Z4" s="8" t="n">
        <f aca="false">EOMONTH(Model_Start,3*Z3-1)</f>
        <v>48395</v>
      </c>
      <c r="AA4" s="8" t="n">
        <f aca="false">EOMONTH(Model_Start,3*AA3-1)</f>
        <v>48487</v>
      </c>
      <c r="AB4" s="8" t="n">
        <f aca="false">EOMONTH(Model_Start,3*AB3-1)</f>
        <v>48579</v>
      </c>
    </row>
    <row r="6" customFormat="false" ht="15" hidden="false" customHeight="false" outlineLevel="0" collapsed="false">
      <c r="B6" s="0" t="s">
        <v>28</v>
      </c>
      <c r="E6" s="0" t="n">
        <f aca="false">IF(E$3=1,-Assumptions!$C$14,0)</f>
        <v>-300000</v>
      </c>
      <c r="F6" s="0" t="n">
        <f aca="false">IF(F$3=1,-Assumptions!$C$14,0)</f>
        <v>0</v>
      </c>
      <c r="G6" s="0" t="n">
        <f aca="false">IF(G$3=1,-Assumptions!$C$14,0)</f>
        <v>0</v>
      </c>
      <c r="H6" s="0" t="n">
        <f aca="false">IF(H$3=1,-Assumptions!$C$14,0)</f>
        <v>0</v>
      </c>
      <c r="I6" s="0" t="n">
        <f aca="false">IF(I$3=1,-Assumptions!$C$14,0)</f>
        <v>0</v>
      </c>
      <c r="J6" s="0" t="n">
        <f aca="false">IF(J$3=1,-Assumptions!$C$14,0)</f>
        <v>0</v>
      </c>
      <c r="K6" s="0" t="n">
        <f aca="false">IF(K$3=1,-Assumptions!$C$14,0)</f>
        <v>0</v>
      </c>
      <c r="L6" s="0" t="n">
        <f aca="false">IF(L$3=1,-Assumptions!$C$14,0)</f>
        <v>0</v>
      </c>
      <c r="M6" s="0" t="n">
        <f aca="false">IF(M$3=1,-Assumptions!$C$14,0)</f>
        <v>0</v>
      </c>
      <c r="N6" s="0" t="n">
        <f aca="false">IF(N$3=1,-Assumptions!$C$14,0)</f>
        <v>0</v>
      </c>
      <c r="O6" s="0" t="n">
        <f aca="false">IF(O$3=1,-Assumptions!$C$14,0)</f>
        <v>0</v>
      </c>
      <c r="P6" s="0" t="n">
        <f aca="false">IF(P$3=1,-Assumptions!$C$14,0)</f>
        <v>0</v>
      </c>
      <c r="Q6" s="0" t="n">
        <f aca="false">IF(Q$3=1,-Assumptions!$C$14,0)</f>
        <v>0</v>
      </c>
      <c r="R6" s="0" t="n">
        <f aca="false">IF(R$3=1,-Assumptions!$C$14,0)</f>
        <v>0</v>
      </c>
      <c r="S6" s="0" t="n">
        <f aca="false">IF(S$3=1,-Assumptions!$C$14,0)</f>
        <v>0</v>
      </c>
      <c r="T6" s="0" t="n">
        <f aca="false">IF(T$3=1,-Assumptions!$C$14,0)</f>
        <v>0</v>
      </c>
      <c r="U6" s="0" t="n">
        <f aca="false">IF(U$3=1,-Assumptions!$C$14,0)</f>
        <v>0</v>
      </c>
      <c r="V6" s="0" t="n">
        <f aca="false">IF(V$3=1,-Assumptions!$C$14,0)</f>
        <v>0</v>
      </c>
      <c r="W6" s="0" t="n">
        <f aca="false">IF(W$3=1,-Assumptions!$C$14,0)</f>
        <v>0</v>
      </c>
      <c r="X6" s="0" t="n">
        <f aca="false">IF(X$3=1,-Assumptions!$C$14,0)</f>
        <v>0</v>
      </c>
      <c r="Y6" s="0" t="n">
        <f aca="false">IF(Y$3=1,-Assumptions!$C$14,0)</f>
        <v>0</v>
      </c>
      <c r="Z6" s="0" t="n">
        <f aca="false">IF(Z$3=1,-Assumptions!$C$14,0)</f>
        <v>0</v>
      </c>
      <c r="AA6" s="0" t="n">
        <f aca="false">IF(AA$3=1,-Assumptions!$C$14,0)</f>
        <v>0</v>
      </c>
      <c r="AB6" s="0" t="n">
        <f aca="false">IF(AB$3=1,-Assumptions!$C$14,0)</f>
        <v>0</v>
      </c>
    </row>
    <row r="7" customFormat="false" ht="15" hidden="false" customHeight="false" outlineLevel="0" collapsed="false">
      <c r="B7" s="0" t="s">
        <v>44</v>
      </c>
      <c r="E7" s="0" t="n">
        <f aca="false">IF(AND(E$3&gt;=Assumptions!$C$16,E$3&lt;Assumptions!$C$16+Assumptions!$C$17,E$3&lt;=Fund_Term),-Assumptions!$C$15*(1+Assumptions!$F$11)/Assumptions!$C$17,0)</f>
        <v>0</v>
      </c>
      <c r="F7" s="0" t="n">
        <f aca="false">IF(AND(F$3&gt;=Assumptions!$C$16,F$3&lt;Assumptions!$C$16+Assumptions!$C$17,F$3&lt;=Fund_Term),-Assumptions!$C$15*(1+Assumptions!$F$11)/Assumptions!$C$17,0)</f>
        <v>-90000</v>
      </c>
      <c r="G7" s="0" t="n">
        <f aca="false">IF(AND(G$3&gt;=Assumptions!$C$16,G$3&lt;Assumptions!$C$16+Assumptions!$C$17,G$3&lt;=Fund_Term),-Assumptions!$C$15*(1+Assumptions!$F$11)/Assumptions!$C$17,0)</f>
        <v>-90000</v>
      </c>
      <c r="H7" s="0" t="n">
        <f aca="false">IF(AND(H$3&gt;=Assumptions!$C$16,H$3&lt;Assumptions!$C$16+Assumptions!$C$17,H$3&lt;=Fund_Term),-Assumptions!$C$15*(1+Assumptions!$F$11)/Assumptions!$C$17,0)</f>
        <v>-90000</v>
      </c>
      <c r="I7" s="0" t="n">
        <f aca="false">IF(AND(I$3&gt;=Assumptions!$C$16,I$3&lt;Assumptions!$C$16+Assumptions!$C$17,I$3&lt;=Fund_Term),-Assumptions!$C$15*(1+Assumptions!$F$11)/Assumptions!$C$17,0)</f>
        <v>-90000</v>
      </c>
      <c r="J7" s="0" t="n">
        <f aca="false">IF(AND(J$3&gt;=Assumptions!$C$16,J$3&lt;Assumptions!$C$16+Assumptions!$C$17,J$3&lt;=Fund_Term),-Assumptions!$C$15*(1+Assumptions!$F$11)/Assumptions!$C$17,0)</f>
        <v>-90000</v>
      </c>
      <c r="K7" s="0" t="n">
        <f aca="false">IF(AND(K$3&gt;=Assumptions!$C$16,K$3&lt;Assumptions!$C$16+Assumptions!$C$17,K$3&lt;=Fund_Term),-Assumptions!$C$15*(1+Assumptions!$F$11)/Assumptions!$C$17,0)</f>
        <v>-90000</v>
      </c>
      <c r="L7" s="0" t="n">
        <f aca="false">IF(AND(L$3&gt;=Assumptions!$C$16,L$3&lt;Assumptions!$C$16+Assumptions!$C$17,L$3&lt;=Fund_Term),-Assumptions!$C$15*(1+Assumptions!$F$11)/Assumptions!$C$17,0)</f>
        <v>-90000</v>
      </c>
      <c r="M7" s="0" t="n">
        <f aca="false">IF(AND(M$3&gt;=Assumptions!$C$16,M$3&lt;Assumptions!$C$16+Assumptions!$C$17,M$3&lt;=Fund_Term),-Assumptions!$C$15*(1+Assumptions!$F$11)/Assumptions!$C$17,0)</f>
        <v>-90000</v>
      </c>
      <c r="N7" s="0" t="n">
        <f aca="false">IF(AND(N$3&gt;=Assumptions!$C$16,N$3&lt;Assumptions!$C$16+Assumptions!$C$17,N$3&lt;=Fund_Term),-Assumptions!$C$15*(1+Assumptions!$F$11)/Assumptions!$C$17,0)</f>
        <v>-90000</v>
      </c>
      <c r="O7" s="0" t="n">
        <f aca="false">IF(AND(O$3&gt;=Assumptions!$C$16,O$3&lt;Assumptions!$C$16+Assumptions!$C$17,O$3&lt;=Fund_Term),-Assumptions!$C$15*(1+Assumptions!$F$11)/Assumptions!$C$17,0)</f>
        <v>-90000</v>
      </c>
      <c r="P7" s="0" t="n">
        <f aca="false">IF(AND(P$3&gt;=Assumptions!$C$16,P$3&lt;Assumptions!$C$16+Assumptions!$C$17,P$3&lt;=Fund_Term),-Assumptions!$C$15*(1+Assumptions!$F$11)/Assumptions!$C$17,0)</f>
        <v>0</v>
      </c>
      <c r="Q7" s="0" t="n">
        <f aca="false">IF(AND(Q$3&gt;=Assumptions!$C$16,Q$3&lt;Assumptions!$C$16+Assumptions!$C$17,Q$3&lt;=Fund_Term),-Assumptions!$C$15*(1+Assumptions!$F$11)/Assumptions!$C$17,0)</f>
        <v>0</v>
      </c>
      <c r="R7" s="0" t="n">
        <f aca="false">IF(AND(R$3&gt;=Assumptions!$C$16,R$3&lt;Assumptions!$C$16+Assumptions!$C$17,R$3&lt;=Fund_Term),-Assumptions!$C$15*(1+Assumptions!$F$11)/Assumptions!$C$17,0)</f>
        <v>0</v>
      </c>
      <c r="S7" s="0" t="n">
        <f aca="false">IF(AND(S$3&gt;=Assumptions!$C$16,S$3&lt;Assumptions!$C$16+Assumptions!$C$17,S$3&lt;=Fund_Term),-Assumptions!$C$15*(1+Assumptions!$F$11)/Assumptions!$C$17,0)</f>
        <v>0</v>
      </c>
      <c r="T7" s="0" t="n">
        <f aca="false">IF(AND(T$3&gt;=Assumptions!$C$16,T$3&lt;Assumptions!$C$16+Assumptions!$C$17,T$3&lt;=Fund_Term),-Assumptions!$C$15*(1+Assumptions!$F$11)/Assumptions!$C$17,0)</f>
        <v>0</v>
      </c>
      <c r="U7" s="0" t="n">
        <f aca="false">IF(AND(U$3&gt;=Assumptions!$C$16,U$3&lt;Assumptions!$C$16+Assumptions!$C$17,U$3&lt;=Fund_Term),-Assumptions!$C$15*(1+Assumptions!$F$11)/Assumptions!$C$17,0)</f>
        <v>0</v>
      </c>
      <c r="V7" s="0" t="n">
        <f aca="false">IF(AND(V$3&gt;=Assumptions!$C$16,V$3&lt;Assumptions!$C$16+Assumptions!$C$17,V$3&lt;=Fund_Term),-Assumptions!$C$15*(1+Assumptions!$F$11)/Assumptions!$C$17,0)</f>
        <v>0</v>
      </c>
      <c r="W7" s="0" t="n">
        <f aca="false">IF(AND(W$3&gt;=Assumptions!$C$16,W$3&lt;Assumptions!$C$16+Assumptions!$C$17,W$3&lt;=Fund_Term),-Assumptions!$C$15*(1+Assumptions!$F$11)/Assumptions!$C$17,0)</f>
        <v>0</v>
      </c>
      <c r="X7" s="0" t="n">
        <f aca="false">IF(AND(X$3&gt;=Assumptions!$C$16,X$3&lt;Assumptions!$C$16+Assumptions!$C$17,X$3&lt;=Fund_Term),-Assumptions!$C$15*(1+Assumptions!$F$11)/Assumptions!$C$17,0)</f>
        <v>0</v>
      </c>
      <c r="Y7" s="0" t="n">
        <f aca="false">IF(AND(Y$3&gt;=Assumptions!$C$16,Y$3&lt;Assumptions!$C$16+Assumptions!$C$17,Y$3&lt;=Fund_Term),-Assumptions!$C$15*(1+Assumptions!$F$11)/Assumptions!$C$17,0)</f>
        <v>0</v>
      </c>
      <c r="Z7" s="0" t="n">
        <f aca="false">IF(AND(Z$3&gt;=Assumptions!$C$16,Z$3&lt;Assumptions!$C$16+Assumptions!$C$17,Z$3&lt;=Fund_Term),-Assumptions!$C$15*(1+Assumptions!$F$11)/Assumptions!$C$17,0)</f>
        <v>0</v>
      </c>
      <c r="AA7" s="0" t="n">
        <f aca="false">IF(AND(AA$3&gt;=Assumptions!$C$16,AA$3&lt;Assumptions!$C$16+Assumptions!$C$17,AA$3&lt;=Fund_Term),-Assumptions!$C$15*(1+Assumptions!$F$11)/Assumptions!$C$17,0)</f>
        <v>0</v>
      </c>
      <c r="AB7" s="0" t="n">
        <f aca="false">IF(AND(AB$3&gt;=Assumptions!$C$16,AB$3&lt;Assumptions!$C$16+Assumptions!$C$17,AB$3&lt;=Fund_Term),-Assumptions!$C$15*(1+Assumptions!$F$11)/Assumptions!$C$17,0)</f>
        <v>0</v>
      </c>
    </row>
    <row r="8" customFormat="false" ht="15" hidden="false" customHeight="false" outlineLevel="0" collapsed="false">
      <c r="B8" s="0" t="s">
        <v>45</v>
      </c>
      <c r="E8" s="0" t="n">
        <f aca="false">IF(E$3&gt;Fund_Term,0,IF(AND(E$3&gt;=Assumptions!$C$19,E$3&lt;Assumptions!$C$19+8),Assumptions!$C$18*(1+Assumptions!$F$10)/8,0)+IF(E$3=Fund_Term,Assumptions!$C$18*(1+Assumptions!$F$10)*MAX(0,Assumptions!$C$19+8-Fund_Term-1)/8*(1-Assumptions!$C$26),0))</f>
        <v>0</v>
      </c>
      <c r="F8" s="0" t="n">
        <f aca="false">IF(F$3&gt;Fund_Term,0,IF(AND(F$3&gt;=Assumptions!$C$19,F$3&lt;Assumptions!$C$19+8),Assumptions!$C$18*(1+Assumptions!$F$10)/8,0)+IF(F$3=Fund_Term,Assumptions!$C$18*(1+Assumptions!$F$10)*MAX(0,Assumptions!$C$19+8-Fund_Term-1)/8*(1-Assumptions!$C$26),0))</f>
        <v>0</v>
      </c>
      <c r="G8" s="0" t="n">
        <f aca="false">IF(G$3&gt;Fund_Term,0,IF(AND(G$3&gt;=Assumptions!$C$19,G$3&lt;Assumptions!$C$19+8),Assumptions!$C$18*(1+Assumptions!$F$10)/8,0)+IF(G$3=Fund_Term,Assumptions!$C$18*(1+Assumptions!$F$10)*MAX(0,Assumptions!$C$19+8-Fund_Term-1)/8*(1-Assumptions!$C$26),0))</f>
        <v>0</v>
      </c>
      <c r="H8" s="0" t="n">
        <f aca="false">IF(H$3&gt;Fund_Term,0,IF(AND(H$3&gt;=Assumptions!$C$19,H$3&lt;Assumptions!$C$19+8),Assumptions!$C$18*(1+Assumptions!$F$10)/8,0)+IF(H$3=Fund_Term,Assumptions!$C$18*(1+Assumptions!$F$10)*MAX(0,Assumptions!$C$19+8-Fund_Term-1)/8*(1-Assumptions!$C$26),0))</f>
        <v>0</v>
      </c>
      <c r="I8" s="0" t="n">
        <f aca="false">IF(I$3&gt;Fund_Term,0,IF(AND(I$3&gt;=Assumptions!$C$19,I$3&lt;Assumptions!$C$19+8),Assumptions!$C$18*(1+Assumptions!$F$10)/8,0)+IF(I$3=Fund_Term,Assumptions!$C$18*(1+Assumptions!$F$10)*MAX(0,Assumptions!$C$19+8-Fund_Term-1)/8*(1-Assumptions!$C$26),0))</f>
        <v>0</v>
      </c>
      <c r="J8" s="0" t="n">
        <f aca="false">IF(J$3&gt;Fund_Term,0,IF(AND(J$3&gt;=Assumptions!$C$19,J$3&lt;Assumptions!$C$19+8),Assumptions!$C$18*(1+Assumptions!$F$10)/8,0)+IF(J$3=Fund_Term,Assumptions!$C$18*(1+Assumptions!$F$10)*MAX(0,Assumptions!$C$19+8-Fund_Term-1)/8*(1-Assumptions!$C$26),0))</f>
        <v>0</v>
      </c>
      <c r="K8" s="0" t="n">
        <f aca="false">IF(K$3&gt;Fund_Term,0,IF(AND(K$3&gt;=Assumptions!$C$19,K$3&lt;Assumptions!$C$19+8),Assumptions!$C$18*(1+Assumptions!$F$10)/8,0)+IF(K$3=Fund_Term,Assumptions!$C$18*(1+Assumptions!$F$10)*MAX(0,Assumptions!$C$19+8-Fund_Term-1)/8*(1-Assumptions!$C$26),0))</f>
        <v>0</v>
      </c>
      <c r="L8" s="0" t="n">
        <f aca="false">IF(L$3&gt;Fund_Term,0,IF(AND(L$3&gt;=Assumptions!$C$19,L$3&lt;Assumptions!$C$19+8),Assumptions!$C$18*(1+Assumptions!$F$10)/8,0)+IF(L$3=Fund_Term,Assumptions!$C$18*(1+Assumptions!$F$10)*MAX(0,Assumptions!$C$19+8-Fund_Term-1)/8*(1-Assumptions!$C$26),0))</f>
        <v>0</v>
      </c>
      <c r="M8" s="0" t="n">
        <f aca="false">IF(M$3&gt;Fund_Term,0,IF(AND(M$3&gt;=Assumptions!$C$19,M$3&lt;Assumptions!$C$19+8),Assumptions!$C$18*(1+Assumptions!$F$10)/8,0)+IF(M$3=Fund_Term,Assumptions!$C$18*(1+Assumptions!$F$10)*MAX(0,Assumptions!$C$19+8-Fund_Term-1)/8*(1-Assumptions!$C$26),0))</f>
        <v>0</v>
      </c>
      <c r="N8" s="0" t="n">
        <f aca="false">IF(N$3&gt;Fund_Term,0,IF(AND(N$3&gt;=Assumptions!$C$19,N$3&lt;Assumptions!$C$19+8),Assumptions!$C$18*(1+Assumptions!$F$10)/8,0)+IF(N$3=Fund_Term,Assumptions!$C$18*(1+Assumptions!$F$10)*MAX(0,Assumptions!$C$19+8-Fund_Term-1)/8*(1-Assumptions!$C$26),0))</f>
        <v>0</v>
      </c>
      <c r="O8" s="0" t="n">
        <f aca="false">IF(O$3&gt;Fund_Term,0,IF(AND(O$3&gt;=Assumptions!$C$19,O$3&lt;Assumptions!$C$19+8),Assumptions!$C$18*(1+Assumptions!$F$10)/8,0)+IF(O$3=Fund_Term,Assumptions!$C$18*(1+Assumptions!$F$10)*MAX(0,Assumptions!$C$19+8-Fund_Term-1)/8*(1-Assumptions!$C$26),0))</f>
        <v>0</v>
      </c>
      <c r="P8" s="0" t="n">
        <f aca="false">IF(P$3&gt;Fund_Term,0,IF(AND(P$3&gt;=Assumptions!$C$19,P$3&lt;Assumptions!$C$19+8),Assumptions!$C$18*(1+Assumptions!$F$10)/8,0)+IF(P$3=Fund_Term,Assumptions!$C$18*(1+Assumptions!$F$10)*MAX(0,Assumptions!$C$19+8-Fund_Term-1)/8*(1-Assumptions!$C$26),0))</f>
        <v>0</v>
      </c>
      <c r="Q8" s="0" t="n">
        <f aca="false">IF(Q$3&gt;Fund_Term,0,IF(AND(Q$3&gt;=Assumptions!$C$19,Q$3&lt;Assumptions!$C$19+8),Assumptions!$C$18*(1+Assumptions!$F$10)/8,0)+IF(Q$3=Fund_Term,Assumptions!$C$18*(1+Assumptions!$F$10)*MAX(0,Assumptions!$C$19+8-Fund_Term-1)/8*(1-Assumptions!$C$26),0))</f>
        <v>225000</v>
      </c>
      <c r="R8" s="0" t="n">
        <f aca="false">IF(R$3&gt;Fund_Term,0,IF(AND(R$3&gt;=Assumptions!$C$19,R$3&lt;Assumptions!$C$19+8),Assumptions!$C$18*(1+Assumptions!$F$10)/8,0)+IF(R$3=Fund_Term,Assumptions!$C$18*(1+Assumptions!$F$10)*MAX(0,Assumptions!$C$19+8-Fund_Term-1)/8*(1-Assumptions!$C$26),0))</f>
        <v>225000</v>
      </c>
      <c r="S8" s="0" t="n">
        <f aca="false">IF(S$3&gt;Fund_Term,0,IF(AND(S$3&gt;=Assumptions!$C$19,S$3&lt;Assumptions!$C$19+8),Assumptions!$C$18*(1+Assumptions!$F$10)/8,0)+IF(S$3=Fund_Term,Assumptions!$C$18*(1+Assumptions!$F$10)*MAX(0,Assumptions!$C$19+8-Fund_Term-1)/8*(1-Assumptions!$C$26),0))</f>
        <v>225000</v>
      </c>
      <c r="T8" s="0" t="n">
        <f aca="false">IF(T$3&gt;Fund_Term,0,IF(AND(T$3&gt;=Assumptions!$C$19,T$3&lt;Assumptions!$C$19+8),Assumptions!$C$18*(1+Assumptions!$F$10)/8,0)+IF(T$3=Fund_Term,Assumptions!$C$18*(1+Assumptions!$F$10)*MAX(0,Assumptions!$C$19+8-Fund_Term-1)/8*(1-Assumptions!$C$26),0))</f>
        <v>225000</v>
      </c>
      <c r="U8" s="0" t="n">
        <f aca="false">IF(U$3&gt;Fund_Term,0,IF(AND(U$3&gt;=Assumptions!$C$19,U$3&lt;Assumptions!$C$19+8),Assumptions!$C$18*(1+Assumptions!$F$10)/8,0)+IF(U$3=Fund_Term,Assumptions!$C$18*(1+Assumptions!$F$10)*MAX(0,Assumptions!$C$19+8-Fund_Term-1)/8*(1-Assumptions!$C$26),0))</f>
        <v>225000</v>
      </c>
      <c r="V8" s="0" t="n">
        <f aca="false">IF(V$3&gt;Fund_Term,0,IF(AND(V$3&gt;=Assumptions!$C$19,V$3&lt;Assumptions!$C$19+8),Assumptions!$C$18*(1+Assumptions!$F$10)/8,0)+IF(V$3=Fund_Term,Assumptions!$C$18*(1+Assumptions!$F$10)*MAX(0,Assumptions!$C$19+8-Fund_Term-1)/8*(1-Assumptions!$C$26),0))</f>
        <v>225000</v>
      </c>
      <c r="W8" s="0" t="n">
        <f aca="false">IF(W$3&gt;Fund_Term,0,IF(AND(W$3&gt;=Assumptions!$C$19,W$3&lt;Assumptions!$C$19+8),Assumptions!$C$18*(1+Assumptions!$F$10)/8,0)+IF(W$3=Fund_Term,Assumptions!$C$18*(1+Assumptions!$F$10)*MAX(0,Assumptions!$C$19+8-Fund_Term-1)/8*(1-Assumptions!$C$26),0))</f>
        <v>225000</v>
      </c>
      <c r="X8" s="0" t="n">
        <f aca="false">IF(X$3&gt;Fund_Term,0,IF(AND(X$3&gt;=Assumptions!$C$19,X$3&lt;Assumptions!$C$19+8),Assumptions!$C$18*(1+Assumptions!$F$10)/8,0)+IF(X$3=Fund_Term,Assumptions!$C$18*(1+Assumptions!$F$10)*MAX(0,Assumptions!$C$19+8-Fund_Term-1)/8*(1-Assumptions!$C$26),0))</f>
        <v>225000</v>
      </c>
      <c r="Y8" s="0" t="n">
        <f aca="false">IF(Y$3&gt;Fund_Term,0,IF(AND(Y$3&gt;=Assumptions!$C$19,Y$3&lt;Assumptions!$C$19+8),Assumptions!$C$18*(1+Assumptions!$F$10)/8,0)+IF(Y$3=Fund_Term,Assumptions!$C$18*(1+Assumptions!$F$10)*MAX(0,Assumptions!$C$19+8-Fund_Term-1)/8*(1-Assumptions!$C$26),0))</f>
        <v>0</v>
      </c>
      <c r="Z8" s="0" t="n">
        <f aca="false">IF(Z$3&gt;Fund_Term,0,IF(AND(Z$3&gt;=Assumptions!$C$19,Z$3&lt;Assumptions!$C$19+8),Assumptions!$C$18*(1+Assumptions!$F$10)/8,0)+IF(Z$3=Fund_Term,Assumptions!$C$18*(1+Assumptions!$F$10)*MAX(0,Assumptions!$C$19+8-Fund_Term-1)/8*(1-Assumptions!$C$26),0))</f>
        <v>0</v>
      </c>
      <c r="AA8" s="0" t="n">
        <f aca="false">IF(AA$3&gt;Fund_Term,0,IF(AND(AA$3&gt;=Assumptions!$C$19,AA$3&lt;Assumptions!$C$19+8),Assumptions!$C$18*(1+Assumptions!$F$10)/8,0)+IF(AA$3=Fund_Term,Assumptions!$C$18*(1+Assumptions!$F$10)*MAX(0,Assumptions!$C$19+8-Fund_Term-1)/8*(1-Assumptions!$C$26),0))</f>
        <v>0</v>
      </c>
      <c r="AB8" s="0" t="n">
        <f aca="false">IF(AB$3&gt;Fund_Term,0,IF(AND(AB$3&gt;=Assumptions!$C$19,AB$3&lt;Assumptions!$C$19+8),Assumptions!$C$18*(1+Assumptions!$F$10)/8,0)+IF(AB$3=Fund_Term,Assumptions!$C$18*(1+Assumptions!$F$10)*MAX(0,Assumptions!$C$19+8-Fund_Term-1)/8*(1-Assumptions!$C$26),0))</f>
        <v>0</v>
      </c>
    </row>
    <row r="9" customFormat="false" ht="15" hidden="false" customHeight="false" outlineLevel="0" collapsed="false">
      <c r="B9" s="0" t="s">
        <v>46</v>
      </c>
      <c r="E9" s="0" t="n">
        <f aca="false">SUM(E6:E8)</f>
        <v>-300000</v>
      </c>
      <c r="F9" s="0" t="n">
        <f aca="false">SUM(F6:F8)</f>
        <v>-90000</v>
      </c>
      <c r="G9" s="0" t="n">
        <f aca="false">SUM(G6:G8)</f>
        <v>-90000</v>
      </c>
      <c r="H9" s="0" t="n">
        <f aca="false">SUM(H6:H8)</f>
        <v>-90000</v>
      </c>
      <c r="I9" s="0" t="n">
        <f aca="false">SUM(I6:I8)</f>
        <v>-90000</v>
      </c>
      <c r="J9" s="0" t="n">
        <f aca="false">SUM(J6:J8)</f>
        <v>-90000</v>
      </c>
      <c r="K9" s="0" t="n">
        <f aca="false">SUM(K6:K8)</f>
        <v>-90000</v>
      </c>
      <c r="L9" s="0" t="n">
        <f aca="false">SUM(L6:L8)</f>
        <v>-90000</v>
      </c>
      <c r="M9" s="0" t="n">
        <f aca="false">SUM(M6:M8)</f>
        <v>-90000</v>
      </c>
      <c r="N9" s="0" t="n">
        <f aca="false">SUM(N6:N8)</f>
        <v>-90000</v>
      </c>
      <c r="O9" s="0" t="n">
        <f aca="false">SUM(O6:O8)</f>
        <v>-90000</v>
      </c>
      <c r="P9" s="0" t="n">
        <f aca="false">SUM(P6:P8)</f>
        <v>0</v>
      </c>
      <c r="Q9" s="0" t="n">
        <f aca="false">SUM(Q6:Q8)</f>
        <v>225000</v>
      </c>
      <c r="R9" s="0" t="n">
        <f aca="false">SUM(R6:R8)</f>
        <v>225000</v>
      </c>
      <c r="S9" s="0" t="n">
        <f aca="false">SUM(S6:S8)</f>
        <v>225000</v>
      </c>
      <c r="T9" s="0" t="n">
        <f aca="false">SUM(T6:T8)</f>
        <v>225000</v>
      </c>
      <c r="U9" s="0" t="n">
        <f aca="false">SUM(U6:U8)</f>
        <v>225000</v>
      </c>
      <c r="V9" s="0" t="n">
        <f aca="false">SUM(V6:V8)</f>
        <v>225000</v>
      </c>
      <c r="W9" s="0" t="n">
        <f aca="false">SUM(W6:W8)</f>
        <v>225000</v>
      </c>
      <c r="X9" s="0" t="n">
        <f aca="false">SUM(X6:X8)</f>
        <v>225000</v>
      </c>
      <c r="Y9" s="0" t="n">
        <f aca="false">SUM(Y6:Y8)</f>
        <v>0</v>
      </c>
      <c r="Z9" s="0" t="n">
        <f aca="false">SUM(Z6:Z8)</f>
        <v>0</v>
      </c>
      <c r="AA9" s="0" t="n">
        <f aca="false">SUM(AA6:AA8)</f>
        <v>0</v>
      </c>
      <c r="AB9" s="0" t="n">
        <f aca="false">SUM(AB6:AB8)</f>
        <v>0</v>
      </c>
    </row>
    <row r="10" customFormat="false" ht="15" hidden="false" customHeight="false" outlineLevel="0" collapsed="false">
      <c r="B10" s="0" t="s">
        <v>47</v>
      </c>
      <c r="E10" s="0" t="n">
        <f aca="false">0</f>
        <v>0</v>
      </c>
      <c r="F10" s="0" t="n">
        <f aca="false">E14</f>
        <v>0</v>
      </c>
      <c r="G10" s="0" t="n">
        <f aca="false">F14</f>
        <v>36000</v>
      </c>
      <c r="H10" s="0" t="n">
        <f aca="false">G14</f>
        <v>72000</v>
      </c>
      <c r="I10" s="0" t="n">
        <f aca="false">H14</f>
        <v>108000</v>
      </c>
      <c r="J10" s="0" t="n">
        <f aca="false">I14</f>
        <v>144000</v>
      </c>
      <c r="K10" s="0" t="n">
        <f aca="false">J14</f>
        <v>180000</v>
      </c>
      <c r="L10" s="0" t="n">
        <f aca="false">K14</f>
        <v>216000</v>
      </c>
      <c r="M10" s="0" t="n">
        <f aca="false">L14</f>
        <v>252000</v>
      </c>
      <c r="N10" s="0" t="n">
        <f aca="false">M14</f>
        <v>288000</v>
      </c>
      <c r="O10" s="0" t="n">
        <f aca="false">N14</f>
        <v>324000</v>
      </c>
      <c r="P10" s="0" t="n">
        <f aca="false">O14</f>
        <v>360000</v>
      </c>
      <c r="Q10" s="0" t="n">
        <f aca="false">P14</f>
        <v>360000</v>
      </c>
      <c r="R10" s="0" t="n">
        <f aca="false">Q14</f>
        <v>135000</v>
      </c>
      <c r="S10" s="0" t="n">
        <f aca="false">R14</f>
        <v>0</v>
      </c>
      <c r="T10" s="0" t="n">
        <f aca="false">S14</f>
        <v>0</v>
      </c>
      <c r="U10" s="0" t="n">
        <f aca="false">T14</f>
        <v>0</v>
      </c>
      <c r="V10" s="0" t="n">
        <f aca="false">U14</f>
        <v>0</v>
      </c>
      <c r="W10" s="0" t="n">
        <f aca="false">V14</f>
        <v>0</v>
      </c>
      <c r="X10" s="0" t="n">
        <f aca="false">W14</f>
        <v>0</v>
      </c>
      <c r="Y10" s="0" t="n">
        <f aca="false">X14</f>
        <v>0</v>
      </c>
      <c r="Z10" s="0" t="n">
        <f aca="false">Y14</f>
        <v>0</v>
      </c>
      <c r="AA10" s="0" t="n">
        <f aca="false">Z14</f>
        <v>0</v>
      </c>
      <c r="AB10" s="0" t="n">
        <f aca="false">AA14</f>
        <v>0</v>
      </c>
    </row>
    <row r="11" customFormat="false" ht="15" hidden="false" customHeight="false" outlineLevel="0" collapsed="false">
      <c r="B11" s="0" t="s">
        <v>48</v>
      </c>
      <c r="E11" s="0" t="n">
        <f aca="false">-E7*Assumptions!$C$20</f>
        <v>-0</v>
      </c>
      <c r="F11" s="0" t="n">
        <f aca="false">-F7*Assumptions!$C$20</f>
        <v>36000</v>
      </c>
      <c r="G11" s="0" t="n">
        <f aca="false">-G7*Assumptions!$C$20</f>
        <v>36000</v>
      </c>
      <c r="H11" s="0" t="n">
        <f aca="false">-H7*Assumptions!$C$20</f>
        <v>36000</v>
      </c>
      <c r="I11" s="0" t="n">
        <f aca="false">-I7*Assumptions!$C$20</f>
        <v>36000</v>
      </c>
      <c r="J11" s="0" t="n">
        <f aca="false">-J7*Assumptions!$C$20</f>
        <v>36000</v>
      </c>
      <c r="K11" s="0" t="n">
        <f aca="false">-K7*Assumptions!$C$20</f>
        <v>36000</v>
      </c>
      <c r="L11" s="0" t="n">
        <f aca="false">-L7*Assumptions!$C$20</f>
        <v>36000</v>
      </c>
      <c r="M11" s="0" t="n">
        <f aca="false">-M7*Assumptions!$C$20</f>
        <v>36000</v>
      </c>
      <c r="N11" s="0" t="n">
        <f aca="false">-N7*Assumptions!$C$20</f>
        <v>36000</v>
      </c>
      <c r="O11" s="0" t="n">
        <f aca="false">-O7*Assumptions!$C$20</f>
        <v>36000</v>
      </c>
      <c r="P11" s="0" t="n">
        <f aca="false">-P7*Assumptions!$C$20</f>
        <v>-0</v>
      </c>
      <c r="Q11" s="0" t="n">
        <f aca="false">-Q7*Assumptions!$C$20</f>
        <v>-0</v>
      </c>
      <c r="R11" s="0" t="n">
        <f aca="false">-R7*Assumptions!$C$20</f>
        <v>-0</v>
      </c>
      <c r="S11" s="0" t="n">
        <f aca="false">-S7*Assumptions!$C$20</f>
        <v>-0</v>
      </c>
      <c r="T11" s="0" t="n">
        <f aca="false">-T7*Assumptions!$C$20</f>
        <v>-0</v>
      </c>
      <c r="U11" s="0" t="n">
        <f aca="false">-U7*Assumptions!$C$20</f>
        <v>-0</v>
      </c>
      <c r="V11" s="0" t="n">
        <f aca="false">-V7*Assumptions!$C$20</f>
        <v>-0</v>
      </c>
      <c r="W11" s="0" t="n">
        <f aca="false">-W7*Assumptions!$C$20</f>
        <v>-0</v>
      </c>
      <c r="X11" s="0" t="n">
        <f aca="false">-X7*Assumptions!$C$20</f>
        <v>-0</v>
      </c>
      <c r="Y11" s="0" t="n">
        <f aca="false">-Y7*Assumptions!$C$20</f>
        <v>-0</v>
      </c>
      <c r="Z11" s="0" t="n">
        <f aca="false">-Z7*Assumptions!$C$20</f>
        <v>-0</v>
      </c>
      <c r="AA11" s="0" t="n">
        <f aca="false">-AA7*Assumptions!$C$20</f>
        <v>-0</v>
      </c>
      <c r="AB11" s="0" t="n">
        <f aca="false">-AB7*Assumptions!$C$20</f>
        <v>-0</v>
      </c>
    </row>
    <row r="12" customFormat="false" ht="15" hidden="false" customHeight="false" outlineLevel="0" collapsed="false">
      <c r="B12" s="0" t="s">
        <v>49</v>
      </c>
      <c r="E12" s="0" t="n">
        <f aca="false">-E10*(Assumptions!$F$12+Assumptions!$C$21)/4</f>
        <v>-0</v>
      </c>
      <c r="F12" s="0" t="n">
        <f aca="false">-F10*(Assumptions!$F$12+Assumptions!$C$21)/4</f>
        <v>-0</v>
      </c>
      <c r="G12" s="0" t="n">
        <f aca="false">-G10*(Assumptions!$F$12+Assumptions!$C$21)/4</f>
        <v>-630</v>
      </c>
      <c r="H12" s="0" t="n">
        <f aca="false">-H10*(Assumptions!$F$12+Assumptions!$C$21)/4</f>
        <v>-1260</v>
      </c>
      <c r="I12" s="0" t="n">
        <f aca="false">-I10*(Assumptions!$F$12+Assumptions!$C$21)/4</f>
        <v>-1890</v>
      </c>
      <c r="J12" s="0" t="n">
        <f aca="false">-J10*(Assumptions!$F$12+Assumptions!$C$21)/4</f>
        <v>-2520</v>
      </c>
      <c r="K12" s="0" t="n">
        <f aca="false">-K10*(Assumptions!$F$12+Assumptions!$C$21)/4</f>
        <v>-3150</v>
      </c>
      <c r="L12" s="0" t="n">
        <f aca="false">-L10*(Assumptions!$F$12+Assumptions!$C$21)/4</f>
        <v>-3780</v>
      </c>
      <c r="M12" s="0" t="n">
        <f aca="false">-M10*(Assumptions!$F$12+Assumptions!$C$21)/4</f>
        <v>-4410</v>
      </c>
      <c r="N12" s="0" t="n">
        <f aca="false">-N10*(Assumptions!$F$12+Assumptions!$C$21)/4</f>
        <v>-5040</v>
      </c>
      <c r="O12" s="0" t="n">
        <f aca="false">-O10*(Assumptions!$F$12+Assumptions!$C$21)/4</f>
        <v>-5670</v>
      </c>
      <c r="P12" s="0" t="n">
        <f aca="false">-P10*(Assumptions!$F$12+Assumptions!$C$21)/4</f>
        <v>-6300</v>
      </c>
      <c r="Q12" s="0" t="n">
        <f aca="false">-Q10*(Assumptions!$F$12+Assumptions!$C$21)/4</f>
        <v>-6300</v>
      </c>
      <c r="R12" s="0" t="n">
        <f aca="false">-R10*(Assumptions!$F$12+Assumptions!$C$21)/4</f>
        <v>-2362.5</v>
      </c>
      <c r="S12" s="0" t="n">
        <f aca="false">-S10*(Assumptions!$F$12+Assumptions!$C$21)/4</f>
        <v>-0</v>
      </c>
      <c r="T12" s="0" t="n">
        <f aca="false">-T10*(Assumptions!$F$12+Assumptions!$C$21)/4</f>
        <v>-0</v>
      </c>
      <c r="U12" s="0" t="n">
        <f aca="false">-U10*(Assumptions!$F$12+Assumptions!$C$21)/4</f>
        <v>-0</v>
      </c>
      <c r="V12" s="0" t="n">
        <f aca="false">-V10*(Assumptions!$F$12+Assumptions!$C$21)/4</f>
        <v>-0</v>
      </c>
      <c r="W12" s="0" t="n">
        <f aca="false">-W10*(Assumptions!$F$12+Assumptions!$C$21)/4</f>
        <v>-0</v>
      </c>
      <c r="X12" s="0" t="n">
        <f aca="false">-X10*(Assumptions!$F$12+Assumptions!$C$21)/4</f>
        <v>-0</v>
      </c>
      <c r="Y12" s="0" t="n">
        <f aca="false">-Y10*(Assumptions!$F$12+Assumptions!$C$21)/4</f>
        <v>-0</v>
      </c>
      <c r="Z12" s="0" t="n">
        <f aca="false">-Z10*(Assumptions!$F$12+Assumptions!$C$21)/4</f>
        <v>-0</v>
      </c>
      <c r="AA12" s="0" t="n">
        <f aca="false">-AA10*(Assumptions!$F$12+Assumptions!$C$21)/4</f>
        <v>-0</v>
      </c>
      <c r="AB12" s="0" t="n">
        <f aca="false">-AB10*(Assumptions!$F$12+Assumptions!$C$21)/4</f>
        <v>-0</v>
      </c>
    </row>
    <row r="13" customFormat="false" ht="15" hidden="false" customHeight="false" outlineLevel="0" collapsed="false">
      <c r="B13" s="0" t="s">
        <v>50</v>
      </c>
      <c r="E13" s="0" t="n">
        <f aca="false">IF(E$3=Fund_Term,-(E10+E11),-MIN(E10+E11,MAX(0,E8)))</f>
        <v>-0</v>
      </c>
      <c r="F13" s="0" t="n">
        <f aca="false">IF(F$3=Fund_Term,-(F10+F11),-MIN(F10+F11,MAX(0,F8)))</f>
        <v>-0</v>
      </c>
      <c r="G13" s="0" t="n">
        <f aca="false">IF(G$3=Fund_Term,-(G10+G11),-MIN(G10+G11,MAX(0,G8)))</f>
        <v>-0</v>
      </c>
      <c r="H13" s="0" t="n">
        <f aca="false">IF(H$3=Fund_Term,-(H10+H11),-MIN(H10+H11,MAX(0,H8)))</f>
        <v>-0</v>
      </c>
      <c r="I13" s="0" t="n">
        <f aca="false">IF(I$3=Fund_Term,-(I10+I11),-MIN(I10+I11,MAX(0,I8)))</f>
        <v>-0</v>
      </c>
      <c r="J13" s="0" t="n">
        <f aca="false">IF(J$3=Fund_Term,-(J10+J11),-MIN(J10+J11,MAX(0,J8)))</f>
        <v>-0</v>
      </c>
      <c r="K13" s="0" t="n">
        <f aca="false">IF(K$3=Fund_Term,-(K10+K11),-MIN(K10+K11,MAX(0,K8)))</f>
        <v>-0</v>
      </c>
      <c r="L13" s="0" t="n">
        <f aca="false">IF(L$3=Fund_Term,-(L10+L11),-MIN(L10+L11,MAX(0,L8)))</f>
        <v>-0</v>
      </c>
      <c r="M13" s="0" t="n">
        <f aca="false">IF(M$3=Fund_Term,-(M10+M11),-MIN(M10+M11,MAX(0,M8)))</f>
        <v>-0</v>
      </c>
      <c r="N13" s="0" t="n">
        <f aca="false">IF(N$3=Fund_Term,-(N10+N11),-MIN(N10+N11,MAX(0,N8)))</f>
        <v>-0</v>
      </c>
      <c r="O13" s="0" t="n">
        <f aca="false">IF(O$3=Fund_Term,-(O10+O11),-MIN(O10+O11,MAX(0,O8)))</f>
        <v>-0</v>
      </c>
      <c r="P13" s="0" t="n">
        <f aca="false">IF(P$3=Fund_Term,-(P10+P11),-MIN(P10+P11,MAX(0,P8)))</f>
        <v>-0</v>
      </c>
      <c r="Q13" s="0" t="n">
        <f aca="false">IF(Q$3=Fund_Term,-(Q10+Q11),-MIN(Q10+Q11,MAX(0,Q8)))</f>
        <v>-225000</v>
      </c>
      <c r="R13" s="0" t="n">
        <f aca="false">IF(R$3=Fund_Term,-(R10+R11),-MIN(R10+R11,MAX(0,R8)))</f>
        <v>-135000</v>
      </c>
      <c r="S13" s="0" t="n">
        <f aca="false">IF(S$3=Fund_Term,-(S10+S11),-MIN(S10+S11,MAX(0,S8)))</f>
        <v>-0</v>
      </c>
      <c r="T13" s="0" t="n">
        <f aca="false">IF(T$3=Fund_Term,-(T10+T11),-MIN(T10+T11,MAX(0,T8)))</f>
        <v>-0</v>
      </c>
      <c r="U13" s="0" t="n">
        <f aca="false">IF(U$3=Fund_Term,-(U10+U11),-MIN(U10+U11,MAX(0,U8)))</f>
        <v>-0</v>
      </c>
      <c r="V13" s="0" t="n">
        <f aca="false">IF(V$3=Fund_Term,-(V10+V11),-MIN(V10+V11,MAX(0,V8)))</f>
        <v>-0</v>
      </c>
      <c r="W13" s="0" t="n">
        <f aca="false">IF(W$3=Fund_Term,-(W10+W11),-MIN(W10+W11,MAX(0,W8)))</f>
        <v>-0</v>
      </c>
      <c r="X13" s="0" t="n">
        <f aca="false">IF(X$3=Fund_Term,-(X10+X11),-MIN(X10+X11,MAX(0,X8)))</f>
        <v>-0</v>
      </c>
      <c r="Y13" s="0" t="n">
        <f aca="false">IF(Y$3=Fund_Term,-(Y10+Y11),-MIN(Y10+Y11,MAX(0,Y8)))</f>
        <v>-0</v>
      </c>
      <c r="Z13" s="0" t="n">
        <f aca="false">IF(Z$3=Fund_Term,-(Z10+Z11),-MIN(Z10+Z11,MAX(0,Z8)))</f>
        <v>-0</v>
      </c>
      <c r="AA13" s="0" t="n">
        <f aca="false">IF(AA$3=Fund_Term,-(AA10+AA11),-MIN(AA10+AA11,MAX(0,AA8)))</f>
        <v>-0</v>
      </c>
      <c r="AB13" s="0" t="n">
        <f aca="false">IF(AB$3=Fund_Term,-(AB10+AB11),-MIN(AB10+AB11,MAX(0,AB8)))</f>
        <v>-0</v>
      </c>
    </row>
    <row r="14" customFormat="false" ht="15" hidden="false" customHeight="false" outlineLevel="0" collapsed="false">
      <c r="B14" s="0" t="s">
        <v>51</v>
      </c>
      <c r="E14" s="0" t="n">
        <f aca="false">E10+E11+E13</f>
        <v>0</v>
      </c>
      <c r="F14" s="0" t="n">
        <f aca="false">F10+F11+F13</f>
        <v>36000</v>
      </c>
      <c r="G14" s="0" t="n">
        <f aca="false">G10+G11+G13</f>
        <v>72000</v>
      </c>
      <c r="H14" s="0" t="n">
        <f aca="false">H10+H11+H13</f>
        <v>108000</v>
      </c>
      <c r="I14" s="0" t="n">
        <f aca="false">I10+I11+I13</f>
        <v>144000</v>
      </c>
      <c r="J14" s="0" t="n">
        <f aca="false">J10+J11+J13</f>
        <v>180000</v>
      </c>
      <c r="K14" s="0" t="n">
        <f aca="false">K10+K11+K13</f>
        <v>216000</v>
      </c>
      <c r="L14" s="0" t="n">
        <f aca="false">L10+L11+L13</f>
        <v>252000</v>
      </c>
      <c r="M14" s="0" t="n">
        <f aca="false">M10+M11+M13</f>
        <v>288000</v>
      </c>
      <c r="N14" s="0" t="n">
        <f aca="false">N10+N11+N13</f>
        <v>324000</v>
      </c>
      <c r="O14" s="0" t="n">
        <f aca="false">O10+O11+O13</f>
        <v>360000</v>
      </c>
      <c r="P14" s="0" t="n">
        <f aca="false">P10+P11+P13</f>
        <v>360000</v>
      </c>
      <c r="Q14" s="0" t="n">
        <f aca="false">Q10+Q11+Q13</f>
        <v>135000</v>
      </c>
      <c r="R14" s="0" t="n">
        <f aca="false">R10+R11+R13</f>
        <v>0</v>
      </c>
      <c r="S14" s="0" t="n">
        <f aca="false">S10+S11+S13</f>
        <v>0</v>
      </c>
      <c r="T14" s="0" t="n">
        <f aca="false">T10+T11+T13</f>
        <v>0</v>
      </c>
      <c r="U14" s="0" t="n">
        <f aca="false">U10+U11+U13</f>
        <v>0</v>
      </c>
      <c r="V14" s="0" t="n">
        <f aca="false">V10+V11+V13</f>
        <v>0</v>
      </c>
      <c r="W14" s="0" t="n">
        <f aca="false">W10+W11+W13</f>
        <v>0</v>
      </c>
      <c r="X14" s="0" t="n">
        <f aca="false">X10+X11+X13</f>
        <v>0</v>
      </c>
      <c r="Y14" s="0" t="n">
        <f aca="false">Y10+Y11+Y13</f>
        <v>0</v>
      </c>
      <c r="Z14" s="0" t="n">
        <f aca="false">Z10+Z11+Z13</f>
        <v>0</v>
      </c>
      <c r="AA14" s="0" t="n">
        <f aca="false">AA10+AA11+AA13</f>
        <v>0</v>
      </c>
      <c r="AB14" s="0" t="n">
        <f aca="false">AB10+AB11+AB13</f>
        <v>0</v>
      </c>
    </row>
    <row r="15" customFormat="false" ht="15" hidden="false" customHeight="false" outlineLevel="0" collapsed="false">
      <c r="B15" s="0" t="s">
        <v>52</v>
      </c>
      <c r="E15" s="0" t="n">
        <f aca="false">IF(E$3&lt;=Fund_Term,-Assumptions!$C$23*Assumptions!$C$22/4,0)</f>
        <v>-3000</v>
      </c>
      <c r="F15" s="0" t="n">
        <f aca="false">IF(F$3&lt;=Fund_Term,-Assumptions!$C$23*Assumptions!$C$22/4,0)</f>
        <v>-3000</v>
      </c>
      <c r="G15" s="0" t="n">
        <f aca="false">IF(G$3&lt;=Fund_Term,-Assumptions!$C$23*Assumptions!$C$22/4,0)</f>
        <v>-3000</v>
      </c>
      <c r="H15" s="0" t="n">
        <f aca="false">IF(H$3&lt;=Fund_Term,-Assumptions!$C$23*Assumptions!$C$22/4,0)</f>
        <v>-3000</v>
      </c>
      <c r="I15" s="0" t="n">
        <f aca="false">IF(I$3&lt;=Fund_Term,-Assumptions!$C$23*Assumptions!$C$22/4,0)</f>
        <v>-3000</v>
      </c>
      <c r="J15" s="0" t="n">
        <f aca="false">IF(J$3&lt;=Fund_Term,-Assumptions!$C$23*Assumptions!$C$22/4,0)</f>
        <v>-3000</v>
      </c>
      <c r="K15" s="0" t="n">
        <f aca="false">IF(K$3&lt;=Fund_Term,-Assumptions!$C$23*Assumptions!$C$22/4,0)</f>
        <v>-3000</v>
      </c>
      <c r="L15" s="0" t="n">
        <f aca="false">IF(L$3&lt;=Fund_Term,-Assumptions!$C$23*Assumptions!$C$22/4,0)</f>
        <v>-3000</v>
      </c>
      <c r="M15" s="0" t="n">
        <f aca="false">IF(M$3&lt;=Fund_Term,-Assumptions!$C$23*Assumptions!$C$22/4,0)</f>
        <v>-3000</v>
      </c>
      <c r="N15" s="0" t="n">
        <f aca="false">IF(N$3&lt;=Fund_Term,-Assumptions!$C$23*Assumptions!$C$22/4,0)</f>
        <v>-3000</v>
      </c>
      <c r="O15" s="0" t="n">
        <f aca="false">IF(O$3&lt;=Fund_Term,-Assumptions!$C$23*Assumptions!$C$22/4,0)</f>
        <v>-3000</v>
      </c>
      <c r="P15" s="0" t="n">
        <f aca="false">IF(P$3&lt;=Fund_Term,-Assumptions!$C$23*Assumptions!$C$22/4,0)</f>
        <v>-3000</v>
      </c>
      <c r="Q15" s="0" t="n">
        <f aca="false">IF(Q$3&lt;=Fund_Term,-Assumptions!$C$23*Assumptions!$C$22/4,0)</f>
        <v>-3000</v>
      </c>
      <c r="R15" s="0" t="n">
        <f aca="false">IF(R$3&lt;=Fund_Term,-Assumptions!$C$23*Assumptions!$C$22/4,0)</f>
        <v>-3000</v>
      </c>
      <c r="S15" s="0" t="n">
        <f aca="false">IF(S$3&lt;=Fund_Term,-Assumptions!$C$23*Assumptions!$C$22/4,0)</f>
        <v>-3000</v>
      </c>
      <c r="T15" s="0" t="n">
        <f aca="false">IF(T$3&lt;=Fund_Term,-Assumptions!$C$23*Assumptions!$C$22/4,0)</f>
        <v>-3000</v>
      </c>
      <c r="U15" s="0" t="n">
        <f aca="false">IF(U$3&lt;=Fund_Term,-Assumptions!$C$23*Assumptions!$C$22/4,0)</f>
        <v>-3000</v>
      </c>
      <c r="V15" s="0" t="n">
        <f aca="false">IF(V$3&lt;=Fund_Term,-Assumptions!$C$23*Assumptions!$C$22/4,0)</f>
        <v>-3000</v>
      </c>
      <c r="W15" s="0" t="n">
        <f aca="false">IF(W$3&lt;=Fund_Term,-Assumptions!$C$23*Assumptions!$C$22/4,0)</f>
        <v>-3000</v>
      </c>
      <c r="X15" s="0" t="n">
        <f aca="false">IF(X$3&lt;=Fund_Term,-Assumptions!$C$23*Assumptions!$C$22/4,0)</f>
        <v>-3000</v>
      </c>
      <c r="Y15" s="0" t="n">
        <f aca="false">IF(Y$3&lt;=Fund_Term,-Assumptions!$C$23*Assumptions!$C$22/4,0)</f>
        <v>-3000</v>
      </c>
      <c r="Z15" s="0" t="n">
        <f aca="false">IF(Z$3&lt;=Fund_Term,-Assumptions!$C$23*Assumptions!$C$22/4,0)</f>
        <v>-3000</v>
      </c>
      <c r="AA15" s="0" t="n">
        <f aca="false">IF(AA$3&lt;=Fund_Term,-Assumptions!$C$23*Assumptions!$C$22/4,0)</f>
        <v>-3000</v>
      </c>
      <c r="AB15" s="0" t="n">
        <f aca="false">IF(AB$3&lt;=Fund_Term,-Assumptions!$C$23*Assumptions!$C$22/4,0)</f>
        <v>-3000</v>
      </c>
    </row>
    <row r="16" customFormat="false" ht="15" hidden="false" customHeight="false" outlineLevel="0" collapsed="false">
      <c r="B16" s="0" t="s">
        <v>53</v>
      </c>
      <c r="E16" s="0" t="n">
        <f aca="false">E9+E11+E12+E13+E15</f>
        <v>-303000</v>
      </c>
      <c r="F16" s="0" t="n">
        <f aca="false">F9+F11+F12+F13+F15</f>
        <v>-57000</v>
      </c>
      <c r="G16" s="0" t="n">
        <f aca="false">G9+G11+G12+G13+G15</f>
        <v>-57630</v>
      </c>
      <c r="H16" s="0" t="n">
        <f aca="false">H9+H11+H12+H13+H15</f>
        <v>-58260</v>
      </c>
      <c r="I16" s="0" t="n">
        <f aca="false">I9+I11+I12+I13+I15</f>
        <v>-58890</v>
      </c>
      <c r="J16" s="0" t="n">
        <f aca="false">J9+J11+J12+J13+J15</f>
        <v>-59520</v>
      </c>
      <c r="K16" s="0" t="n">
        <f aca="false">K9+K11+K12+K13+K15</f>
        <v>-60150</v>
      </c>
      <c r="L16" s="0" t="n">
        <f aca="false">L9+L11+L12+L13+L15</f>
        <v>-60780</v>
      </c>
      <c r="M16" s="0" t="n">
        <f aca="false">M9+M11+M12+M13+M15</f>
        <v>-61410</v>
      </c>
      <c r="N16" s="0" t="n">
        <f aca="false">N9+N11+N12+N13+N15</f>
        <v>-62040</v>
      </c>
      <c r="O16" s="0" t="n">
        <f aca="false">O9+O11+O12+O13+O15</f>
        <v>-62670</v>
      </c>
      <c r="P16" s="0" t="n">
        <f aca="false">P9+P11+P12+P13+P15</f>
        <v>-9300</v>
      </c>
      <c r="Q16" s="0" t="n">
        <f aca="false">Q9+Q11+Q12+Q13+Q15</f>
        <v>-9300</v>
      </c>
      <c r="R16" s="0" t="n">
        <f aca="false">R9+R11+R12+R13+R15</f>
        <v>84637.5</v>
      </c>
      <c r="S16" s="0" t="n">
        <f aca="false">S9+S11+S12+S13+S15</f>
        <v>222000</v>
      </c>
      <c r="T16" s="0" t="n">
        <f aca="false">T9+T11+T12+T13+T15</f>
        <v>222000</v>
      </c>
      <c r="U16" s="0" t="n">
        <f aca="false">U9+U11+U12+U13+U15</f>
        <v>222000</v>
      </c>
      <c r="V16" s="0" t="n">
        <f aca="false">V9+V11+V12+V13+V15</f>
        <v>222000</v>
      </c>
      <c r="W16" s="0" t="n">
        <f aca="false">W9+W11+W12+W13+W15</f>
        <v>222000</v>
      </c>
      <c r="X16" s="0" t="n">
        <f aca="false">X9+X11+X12+X13+X15</f>
        <v>222000</v>
      </c>
      <c r="Y16" s="0" t="n">
        <f aca="false">Y9+Y11+Y12+Y13+Y15</f>
        <v>-3000</v>
      </c>
      <c r="Z16" s="0" t="n">
        <f aca="false">Z9+Z11+Z12+Z13+Z15</f>
        <v>-3000</v>
      </c>
      <c r="AA16" s="0" t="n">
        <f aca="false">AA9+AA11+AA12+AA13+AA15</f>
        <v>-3000</v>
      </c>
      <c r="AB16" s="0" t="n">
        <f aca="false">AB9+AB11+AB12+AB13+AB15</f>
        <v>-3000</v>
      </c>
    </row>
    <row r="17" customFormat="false" ht="15" hidden="false" customHeight="false" outlineLevel="0" collapsed="false">
      <c r="B17" s="0" t="s">
        <v>54</v>
      </c>
      <c r="E17" s="0" t="n">
        <f aca="false">IF(E$3=Fund_Term,-Assumptions!$C$25*MAX(0,SUM($E16:$AB16)-Assumptions!$C$23*((1+Assumptions!$C$24)^(Fund_Term/4)-1)),0)</f>
        <v>0</v>
      </c>
      <c r="F17" s="0" t="n">
        <f aca="false">IF(F$3=Fund_Term,-Assumptions!$C$25*MAX(0,SUM($E16:$AB16)-Assumptions!$C$23*((1+Assumptions!$C$24)^(Fund_Term/4)-1)),0)</f>
        <v>0</v>
      </c>
      <c r="G17" s="0" t="n">
        <f aca="false">IF(G$3=Fund_Term,-Assumptions!$C$25*MAX(0,SUM($E16:$AB16)-Assumptions!$C$23*((1+Assumptions!$C$24)^(Fund_Term/4)-1)),0)</f>
        <v>0</v>
      </c>
      <c r="H17" s="0" t="n">
        <f aca="false">IF(H$3=Fund_Term,-Assumptions!$C$25*MAX(0,SUM($E16:$AB16)-Assumptions!$C$23*((1+Assumptions!$C$24)^(Fund_Term/4)-1)),0)</f>
        <v>0</v>
      </c>
      <c r="I17" s="0" t="n">
        <f aca="false">IF(I$3=Fund_Term,-Assumptions!$C$25*MAX(0,SUM($E16:$AB16)-Assumptions!$C$23*((1+Assumptions!$C$24)^(Fund_Term/4)-1)),0)</f>
        <v>0</v>
      </c>
      <c r="J17" s="0" t="n">
        <f aca="false">IF(J$3=Fund_Term,-Assumptions!$C$25*MAX(0,SUM($E16:$AB16)-Assumptions!$C$23*((1+Assumptions!$C$24)^(Fund_Term/4)-1)),0)</f>
        <v>0</v>
      </c>
      <c r="K17" s="0" t="n">
        <f aca="false">IF(K$3=Fund_Term,-Assumptions!$C$25*MAX(0,SUM($E16:$AB16)-Assumptions!$C$23*((1+Assumptions!$C$24)^(Fund_Term/4)-1)),0)</f>
        <v>0</v>
      </c>
      <c r="L17" s="0" t="n">
        <f aca="false">IF(L$3=Fund_Term,-Assumptions!$C$25*MAX(0,SUM($E16:$AB16)-Assumptions!$C$23*((1+Assumptions!$C$24)^(Fund_Term/4)-1)),0)</f>
        <v>0</v>
      </c>
      <c r="M17" s="0" t="n">
        <f aca="false">IF(M$3=Fund_Term,-Assumptions!$C$25*MAX(0,SUM($E16:$AB16)-Assumptions!$C$23*((1+Assumptions!$C$24)^(Fund_Term/4)-1)),0)</f>
        <v>0</v>
      </c>
      <c r="N17" s="0" t="n">
        <f aca="false">IF(N$3=Fund_Term,-Assumptions!$C$25*MAX(0,SUM($E16:$AB16)-Assumptions!$C$23*((1+Assumptions!$C$24)^(Fund_Term/4)-1)),0)</f>
        <v>0</v>
      </c>
      <c r="O17" s="0" t="n">
        <f aca="false">IF(O$3=Fund_Term,-Assumptions!$C$25*MAX(0,SUM($E16:$AB16)-Assumptions!$C$23*((1+Assumptions!$C$24)^(Fund_Term/4)-1)),0)</f>
        <v>0</v>
      </c>
      <c r="P17" s="0" t="n">
        <f aca="false">IF(P$3=Fund_Term,-Assumptions!$C$25*MAX(0,SUM($E16:$AB16)-Assumptions!$C$23*((1+Assumptions!$C$24)^(Fund_Term/4)-1)),0)</f>
        <v>0</v>
      </c>
      <c r="Q17" s="0" t="n">
        <f aca="false">IF(Q$3=Fund_Term,-Assumptions!$C$25*MAX(0,SUM($E16:$AB16)-Assumptions!$C$23*((1+Assumptions!$C$24)^(Fund_Term/4)-1)),0)</f>
        <v>0</v>
      </c>
      <c r="R17" s="0" t="n">
        <f aca="false">IF(R$3=Fund_Term,-Assumptions!$C$25*MAX(0,SUM($E16:$AB16)-Assumptions!$C$23*((1+Assumptions!$C$24)^(Fund_Term/4)-1)),0)</f>
        <v>0</v>
      </c>
      <c r="S17" s="0" t="n">
        <f aca="false">IF(S$3=Fund_Term,-Assumptions!$C$25*MAX(0,SUM($E16:$AB16)-Assumptions!$C$23*((1+Assumptions!$C$24)^(Fund_Term/4)-1)),0)</f>
        <v>0</v>
      </c>
      <c r="T17" s="0" t="n">
        <f aca="false">IF(T$3=Fund_Term,-Assumptions!$C$25*MAX(0,SUM($E16:$AB16)-Assumptions!$C$23*((1+Assumptions!$C$24)^(Fund_Term/4)-1)),0)</f>
        <v>0</v>
      </c>
      <c r="U17" s="0" t="n">
        <f aca="false">IF(U$3=Fund_Term,-Assumptions!$C$25*MAX(0,SUM($E16:$AB16)-Assumptions!$C$23*((1+Assumptions!$C$24)^(Fund_Term/4)-1)),0)</f>
        <v>0</v>
      </c>
      <c r="V17" s="0" t="n">
        <f aca="false">IF(V$3=Fund_Term,-Assumptions!$C$25*MAX(0,SUM($E16:$AB16)-Assumptions!$C$23*((1+Assumptions!$C$24)^(Fund_Term/4)-1)),0)</f>
        <v>0</v>
      </c>
      <c r="W17" s="0" t="n">
        <f aca="false">IF(W$3=Fund_Term,-Assumptions!$C$25*MAX(0,SUM($E16:$AB16)-Assumptions!$C$23*((1+Assumptions!$C$24)^(Fund_Term/4)-1)),0)</f>
        <v>0</v>
      </c>
      <c r="X17" s="0" t="n">
        <f aca="false">IF(X$3=Fund_Term,-Assumptions!$C$25*MAX(0,SUM($E16:$AB16)-Assumptions!$C$23*((1+Assumptions!$C$24)^(Fund_Term/4)-1)),0)</f>
        <v>0</v>
      </c>
      <c r="Y17" s="0" t="n">
        <f aca="false">IF(Y$3=Fund_Term,-Assumptions!$C$25*MAX(0,SUM($E16:$AB16)-Assumptions!$C$23*((1+Assumptions!$C$24)^(Fund_Term/4)-1)),0)</f>
        <v>0</v>
      </c>
      <c r="Z17" s="0" t="n">
        <f aca="false">IF(Z$3=Fund_Term,-Assumptions!$C$25*MAX(0,SUM($E16:$AB16)-Assumptions!$C$23*((1+Assumptions!$C$24)^(Fund_Term/4)-1)),0)</f>
        <v>0</v>
      </c>
      <c r="AA17" s="0" t="n">
        <f aca="false">IF(AA$3=Fund_Term,-Assumptions!$C$25*MAX(0,SUM($E16:$AB16)-Assumptions!$C$23*((1+Assumptions!$C$24)^(Fund_Term/4)-1)),0)</f>
        <v>0</v>
      </c>
      <c r="AB17" s="0" t="n">
        <f aca="false">IF(AB$3=Fund_Term,-Assumptions!$C$25*MAX(0,SUM($E16:$AB16)-Assumptions!$C$23*((1+Assumptions!$C$24)^(Fund_Term/4)-1)),0)</f>
        <v>-63783.2962499999</v>
      </c>
    </row>
    <row r="18" customFormat="false" ht="15" hidden="false" customHeight="false" outlineLevel="0" collapsed="false">
      <c r="B18" s="0" t="s">
        <v>55</v>
      </c>
      <c r="E18" s="0" t="n">
        <f aca="false">E16+E17</f>
        <v>-303000</v>
      </c>
      <c r="F18" s="0" t="n">
        <f aca="false">F16+F17</f>
        <v>-57000</v>
      </c>
      <c r="G18" s="0" t="n">
        <f aca="false">G16+G17</f>
        <v>-57630</v>
      </c>
      <c r="H18" s="0" t="n">
        <f aca="false">H16+H17</f>
        <v>-58260</v>
      </c>
      <c r="I18" s="0" t="n">
        <f aca="false">I16+I17</f>
        <v>-58890</v>
      </c>
      <c r="J18" s="0" t="n">
        <f aca="false">J16+J17</f>
        <v>-59520</v>
      </c>
      <c r="K18" s="0" t="n">
        <f aca="false">K16+K17</f>
        <v>-60150</v>
      </c>
      <c r="L18" s="0" t="n">
        <f aca="false">L16+L17</f>
        <v>-60780</v>
      </c>
      <c r="M18" s="0" t="n">
        <f aca="false">M16+M17</f>
        <v>-61410</v>
      </c>
      <c r="N18" s="0" t="n">
        <f aca="false">N16+N17</f>
        <v>-62040</v>
      </c>
      <c r="O18" s="0" t="n">
        <f aca="false">O16+O17</f>
        <v>-62670</v>
      </c>
      <c r="P18" s="0" t="n">
        <f aca="false">P16+P17</f>
        <v>-9300</v>
      </c>
      <c r="Q18" s="0" t="n">
        <f aca="false">Q16+Q17</f>
        <v>-9300</v>
      </c>
      <c r="R18" s="0" t="n">
        <f aca="false">R16+R17</f>
        <v>84637.5</v>
      </c>
      <c r="S18" s="0" t="n">
        <f aca="false">S16+S17</f>
        <v>222000</v>
      </c>
      <c r="T18" s="0" t="n">
        <f aca="false">T16+T17</f>
        <v>222000</v>
      </c>
      <c r="U18" s="0" t="n">
        <f aca="false">U16+U17</f>
        <v>222000</v>
      </c>
      <c r="V18" s="0" t="n">
        <f aca="false">V16+V17</f>
        <v>222000</v>
      </c>
      <c r="W18" s="0" t="n">
        <f aca="false">W16+W17</f>
        <v>222000</v>
      </c>
      <c r="X18" s="0" t="n">
        <f aca="false">X16+X17</f>
        <v>222000</v>
      </c>
      <c r="Y18" s="0" t="n">
        <f aca="false">Y16+Y17</f>
        <v>-3000</v>
      </c>
      <c r="Z18" s="0" t="n">
        <f aca="false">Z16+Z17</f>
        <v>-3000</v>
      </c>
      <c r="AA18" s="0" t="n">
        <f aca="false">AA16+AA17</f>
        <v>-3000</v>
      </c>
      <c r="AB18" s="0" t="n">
        <f aca="false">AB16+AB17</f>
        <v>-66783.2962499999</v>
      </c>
    </row>
    <row r="19" customFormat="false" ht="15" hidden="false" customHeight="false" outlineLevel="0" collapsed="false">
      <c r="B19" s="0" t="s">
        <v>56</v>
      </c>
      <c r="E19" s="0" t="n">
        <f aca="false">-E17</f>
        <v>-0</v>
      </c>
      <c r="F19" s="0" t="n">
        <f aca="false">-F17</f>
        <v>-0</v>
      </c>
      <c r="G19" s="0" t="n">
        <f aca="false">-G17</f>
        <v>-0</v>
      </c>
      <c r="H19" s="0" t="n">
        <f aca="false">-H17</f>
        <v>-0</v>
      </c>
      <c r="I19" s="0" t="n">
        <f aca="false">-I17</f>
        <v>-0</v>
      </c>
      <c r="J19" s="0" t="n">
        <f aca="false">-J17</f>
        <v>-0</v>
      </c>
      <c r="K19" s="0" t="n">
        <f aca="false">-K17</f>
        <v>-0</v>
      </c>
      <c r="L19" s="0" t="n">
        <f aca="false">-L17</f>
        <v>-0</v>
      </c>
      <c r="M19" s="0" t="n">
        <f aca="false">-M17</f>
        <v>-0</v>
      </c>
      <c r="N19" s="0" t="n">
        <f aca="false">-N17</f>
        <v>-0</v>
      </c>
      <c r="O19" s="0" t="n">
        <f aca="false">-O17</f>
        <v>-0</v>
      </c>
      <c r="P19" s="0" t="n">
        <f aca="false">-P17</f>
        <v>-0</v>
      </c>
      <c r="Q19" s="0" t="n">
        <f aca="false">-Q17</f>
        <v>-0</v>
      </c>
      <c r="R19" s="0" t="n">
        <f aca="false">-R17</f>
        <v>-0</v>
      </c>
      <c r="S19" s="0" t="n">
        <f aca="false">-S17</f>
        <v>-0</v>
      </c>
      <c r="T19" s="0" t="n">
        <f aca="false">-T17</f>
        <v>-0</v>
      </c>
      <c r="U19" s="0" t="n">
        <f aca="false">-U17</f>
        <v>-0</v>
      </c>
      <c r="V19" s="0" t="n">
        <f aca="false">-V17</f>
        <v>-0</v>
      </c>
      <c r="W19" s="0" t="n">
        <f aca="false">-W17</f>
        <v>-0</v>
      </c>
      <c r="X19" s="0" t="n">
        <f aca="false">-X17</f>
        <v>-0</v>
      </c>
      <c r="Y19" s="0" t="n">
        <f aca="false">-Y17</f>
        <v>-0</v>
      </c>
      <c r="Z19" s="0" t="n">
        <f aca="false">-Z17</f>
        <v>-0</v>
      </c>
      <c r="AA19" s="0" t="n">
        <f aca="false">-AA17</f>
        <v>-0</v>
      </c>
      <c r="AB19" s="0" t="n">
        <f aca="false">-AB17</f>
        <v>63783.2962499999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57</v>
      </c>
    </row>
    <row r="5" customFormat="false" ht="15" hidden="false" customHeight="false" outlineLevel="0" collapsed="false">
      <c r="B5" s="0" t="s">
        <v>12</v>
      </c>
      <c r="C5" s="7" t="n">
        <f aca="false">IFERROR((1+IRR('Cash Flow'!$E$9:$AB$9))^4-1,0)</f>
        <v>0.151612040168725</v>
      </c>
    </row>
    <row r="6" customFormat="false" ht="15" hidden="false" customHeight="false" outlineLevel="0" collapsed="false">
      <c r="B6" s="0" t="s">
        <v>5</v>
      </c>
      <c r="C6" s="7" t="n">
        <f aca="false">IFERROR((1+IRR('Cash Flow'!$E$16:$AB$16))^4-1,0)</f>
        <v>0.144443402025596</v>
      </c>
    </row>
    <row r="7" customFormat="false" ht="15" hidden="false" customHeight="false" outlineLevel="0" collapsed="false">
      <c r="B7" s="0" t="s">
        <v>7</v>
      </c>
      <c r="C7" s="7" t="n">
        <f aca="false">IFERROR((1+IRR('Cash Flow'!$E$18:$AB$18))^4-1,0)</f>
        <v>0.130992044458777</v>
      </c>
    </row>
    <row r="8" customFormat="false" ht="15" hidden="false" customHeight="false" outlineLevel="0" collapsed="false">
      <c r="B8" s="0" t="s">
        <v>8</v>
      </c>
      <c r="C8" s="1" t="n">
        <f aca="false">SUM('Cash Flow'!$E$9:$AB$9)</f>
        <v>600000</v>
      </c>
    </row>
    <row r="9" customFormat="false" ht="15" hidden="false" customHeight="false" outlineLevel="0" collapsed="false">
      <c r="B9" s="0" t="s">
        <v>58</v>
      </c>
      <c r="C9" s="1" t="n">
        <f aca="false">SUM('Cash Flow'!$E$19:$AB$19)</f>
        <v>63783.2962499999</v>
      </c>
    </row>
    <row r="10" customFormat="false" ht="15" hidden="false" customHeight="false" outlineLevel="0" collapsed="false">
      <c r="B10" s="0" t="s">
        <v>10</v>
      </c>
      <c r="C10" s="3" t="n">
        <f aca="false">C8/-SUM('Cash Flow'!$E$6:$AB$6,'Cash Flow'!$E$7:$AB$7)</f>
        <v>0.5</v>
      </c>
    </row>
    <row r="11" customFormat="false" ht="15" hidden="false" customHeight="false" outlineLevel="0" collapsed="false">
      <c r="B11" s="0" t="s">
        <v>11</v>
      </c>
      <c r="C11" s="1" t="n">
        <f aca="false">MAX('Cash Flow'!$E$14:$AB$14)</f>
        <v>360000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2026-10-19T00:23:29Z</dcterms:created>
  <dc:creator>openpyxl</dc:creator>
  <dc:description/>
  <dc:language>en-US</dc:language>
  <cp:lastModifiedBy/>
  <dcterms:modified xsi:type="dcterms:W3CDTF">2026-10-19T00:23:29Z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