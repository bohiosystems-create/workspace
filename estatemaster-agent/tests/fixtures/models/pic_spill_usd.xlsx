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SPILL – TIMELINE BY SEQUENCE (USD)</t>
        </is>
      </c>
    </row>
    <row r="2">
      <c r="A2" t="inlineStr">
        <is>
          <t>Rent year 1</t>
        </is>
      </c>
      <c r="B2" t="n">
        <v>100000</v>
      </c>
    </row>
    <row r="3">
      <c r="A3" t="inlineStr">
        <is>
          <t>Rent growth</t>
        </is>
      </c>
      <c r="B3" t="n">
        <v>0.03</v>
      </c>
    </row>
    <row r="4">
      <c r="A4" t="inlineStr">
        <is>
          <t>Discount rate</t>
        </is>
      </c>
      <c r="B4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>
        <f>_xlfn.SEQUENCE(1,8)</f>
        <v/>
      </c>
    </row>
    <row r="2">
      <c r="A2" t="inlineStr">
        <is>
          <t>Rent</t>
        </is>
      </c>
      <c r="B2">
        <f>Inputs!$B$2*(1+Inputs!$B$3)^(B1-1)</f>
        <v/>
      </c>
      <c r="C2">
        <f>Inputs!$B$2*(1+Inputs!$B$3)^(C1-1)</f>
        <v/>
      </c>
      <c r="D2">
        <f>Inputs!$B$2*(1+Inputs!$B$3)^(D1-1)</f>
        <v/>
      </c>
      <c r="E2">
        <f>Inputs!$B$2*(1+Inputs!$B$3)^(E1-1)</f>
        <v/>
      </c>
      <c r="F2">
        <f>Inputs!$B$2*(1+Inputs!$B$3)^(F1-1)</f>
        <v/>
      </c>
      <c r="G2">
        <f>Inputs!$B$2*(1+Inputs!$B$3)^(G1-1)</f>
        <v/>
      </c>
      <c r="H2">
        <f>Inputs!$B$2*(1+Inputs!$B$3)^(H1-1)</f>
        <v/>
      </c>
      <c r="I2">
        <f>Inputs!$B$2*(1+Inputs!$B$3)^(I1-1)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rent</t>
        </is>
      </c>
      <c r="B1">
        <f>SUM('Cash Flow'!B2:I2)</f>
        <v/>
      </c>
    </row>
    <row r="2">
      <c r="A2" t="inlineStr">
        <is>
          <t>NPV</t>
        </is>
      </c>
      <c r="B2">
        <f>NPV(Inputs!B4,'Cash Flow'!B2:I2)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