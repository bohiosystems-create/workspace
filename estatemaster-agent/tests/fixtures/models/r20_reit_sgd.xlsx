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Assets" sheetId="2" state="visible" r:id="rId4"/>
    <sheet name="Projection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<sst xmlns="http://schemas.openxmlformats.org/spreadsheetml/2006/main" count="52" uniqueCount="52">
  <si>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MERIDIAN LOGISTICS REIT – NAV, ISSUANCE AND AFFO (SGD)</t>
  </si>
  <si>
    <t xml:space="preserve">Units outstanding (m)</t>
  </si>
  <si>
    <t xml:space="preserve">Debt (S$ m)</t>
  </si>
  <si>
    <t xml:space="preserve">Cost of debt</t>
  </si>
  <si>
    <t xml:space="preserve">G&amp;A (S$ m a year)</t>
  </si>
  <si>
    <t xml:space="preserve">Maintenance capex (% of NOI)</t>
  </si>
  <si>
    <t xml:space="preserve">Payout (% of AFFO)</t>
  </si>
  <si>
    <t xml:space="preserve">Issue price premium to NAV</t>
  </si>
  <si>
    <t xml:space="preserve">Acquisitions a year (S$ m)</t>
  </si>
  <si>
    <t xml:space="preserve">Acquisition cap rate</t>
  </si>
  <si>
    <t xml:space="preserve">Acquisitions funded by equity</t>
  </si>
  <si>
    <t xml:space="preserve">Same-property NOI growth</t>
  </si>
  <si>
    <t xml:space="preserve">Portfolio valuation cap rate shift (bps)</t>
  </si>
  <si>
    <t xml:space="preserve">Acquisition fee</t>
  </si>
  <si>
    <t xml:space="preserve">Asset</t>
  </si>
  <si>
    <t xml:space="preserve">NOI (S$ m)</t>
  </si>
  <si>
    <t xml:space="preserve">Cap rate</t>
  </si>
  <si>
    <t xml:space="preserve">Tuas Megahub</t>
  </si>
  <si>
    <t xml:space="preserve">Changi Air Cargo</t>
  </si>
  <si>
    <t xml:space="preserve">Jurong Cold Chain</t>
  </si>
  <si>
    <t xml:space="preserve">Woodlands Flex</t>
  </si>
  <si>
    <t xml:space="preserve">Sydney Moorebank</t>
  </si>
  <si>
    <t xml:space="preserve">Osaka Bay DC</t>
  </si>
  <si>
    <t xml:space="preserve">Year</t>
  </si>
  <si>
    <t xml:space="preserve">Same-property NOI</t>
  </si>
  <si>
    <t xml:space="preserve">Acquired NOI</t>
  </si>
  <si>
    <t xml:space="preserve">NOI</t>
  </si>
  <si>
    <t xml:space="preserve">Portfolio value</t>
  </si>
  <si>
    <t xml:space="preserve">Acquisitions</t>
  </si>
  <si>
    <t xml:space="preserve">Equity raised</t>
  </si>
  <si>
    <t xml:space="preserve">Debt drawn</t>
  </si>
  <si>
    <t xml:space="preserve">Debt</t>
  </si>
  <si>
    <t xml:space="preserve">Interest</t>
  </si>
  <si>
    <t xml:space="preserve">FFO</t>
  </si>
  <si>
    <t xml:space="preserve">AFFO</t>
  </si>
  <si>
    <t xml:space="preserve">Units</t>
  </si>
  <si>
    <t xml:space="preserve">Issue price</t>
  </si>
  <si>
    <t xml:space="preserve">New units</t>
  </si>
  <si>
    <t xml:space="preserve">NAV</t>
  </si>
  <si>
    <t xml:space="preserve">NAV per unit</t>
  </si>
  <si>
    <t xml:space="preserve">AFFO per unit</t>
  </si>
  <si>
    <t xml:space="preserve">Distribution per unit</t>
  </si>
  <si>
    <t xml:space="preserve">LTV</t>
  </si>
  <si>
    <t xml:space="preserve">Unit price</t>
  </si>
  <si>
    <t xml:space="preserve">Unitholder cash flow</t>
  </si>
  <si>
    <t xml:space="preserve">Total unitholder return (IRR)</t>
  </si>
  <si>
    <t xml:space="preserve">AFFO per unit, year 1 (S$)</t>
  </si>
  <si>
    <t xml:space="preserve">AFFO per unit CAGR (years 1-5)</t>
  </si>
  <si>
    <t xml:space="preserve">NAV per unit, year 5 (S$)</t>
  </si>
  <si>
    <t xml:space="preserve">LTV, year 5</t>
  </si>
  <si>
    <t xml:space="preserve">Units issued (m)</t>
  </si>
  <si>
    <t xml:space="preserve">NAV per unit today (S$)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</si>
</sst>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#,##0.0"/>
    <numFmt numFmtId="169" formatCode="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2800</v>
      </c>
    </row>
    <row r="4" customFormat="false" ht="15" hidden="false" customHeight="false" outlineLevel="0" collapsed="false">
      <c r="A4" s="0" t="s">
        <v>2</v>
      </c>
      <c r="B4" s="1" t="n">
        <v>2100</v>
      </c>
    </row>
    <row r="5" customFormat="false" ht="15" hidden="false" customHeight="false" outlineLevel="0" collapsed="false">
      <c r="A5" s="0" t="s">
        <v>3</v>
      </c>
      <c r="B5" s="2" t="n">
        <v>0.038</v>
      </c>
    </row>
    <row r="6" customFormat="false" ht="15" hidden="false" customHeight="false" outlineLevel="0" collapsed="false">
      <c r="A6" s="0" t="s">
        <v>4</v>
      </c>
      <c r="B6" s="1" t="n">
        <v>28</v>
      </c>
    </row>
    <row r="7" customFormat="false" ht="15" hidden="false" customHeight="false" outlineLevel="0" collapsed="false">
      <c r="A7" s="0" t="s">
        <v>5</v>
      </c>
      <c r="B7" s="2" t="n">
        <v>0.12</v>
      </c>
    </row>
    <row r="8" customFormat="false" ht="15" hidden="false" customHeight="false" outlineLevel="0" collapsed="false">
      <c r="A8" s="0" t="s">
        <v>6</v>
      </c>
      <c r="B8" s="2" t="n">
        <v>0.9</v>
      </c>
    </row>
    <row r="9" customFormat="false" ht="15" hidden="false" customHeight="false" outlineLevel="0" collapsed="false">
      <c r="A9" s="0" t="s">
        <v>7</v>
      </c>
      <c r="B9" s="2" t="n">
        <v>0.05</v>
      </c>
    </row>
    <row r="10" customFormat="false" ht="15" hidden="false" customHeight="false" outlineLevel="0" collapsed="false">
      <c r="A10" s="0" t="s">
        <v>8</v>
      </c>
      <c r="B10" s="1" t="n">
        <v>450</v>
      </c>
    </row>
    <row r="11" customFormat="false" ht="15" hidden="false" customHeight="false" outlineLevel="0" collapsed="false">
      <c r="A11" s="0" t="s">
        <v>9</v>
      </c>
      <c r="B11" s="2" t="n">
        <v>0.0625</v>
      </c>
    </row>
    <row r="12" customFormat="false" ht="15" hidden="false" customHeight="false" outlineLevel="0" collapsed="false">
      <c r="A12" s="0" t="s">
        <v>10</v>
      </c>
      <c r="B12" s="2" t="n">
        <v>0.6</v>
      </c>
    </row>
    <row r="13" customFormat="false" ht="15" hidden="false" customHeight="false" outlineLevel="0" collapsed="false">
      <c r="A13" s="0" t="s">
        <v>11</v>
      </c>
      <c r="B13" s="2" t="n">
        <v>0.025</v>
      </c>
    </row>
    <row r="14" customFormat="false" ht="15" hidden="false" customHeight="false" outlineLevel="0" collapsed="false">
      <c r="A14" s="0" t="s">
        <v>12</v>
      </c>
      <c r="B14" s="3" t="n">
        <v>0</v>
      </c>
    </row>
    <row r="15" customFormat="false" ht="15" hidden="false" customHeight="false" outlineLevel="0" collapsed="false">
      <c r="A15" s="0" t="s">
        <v>13</v>
      </c>
      <c r="B15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</row>
    <row r="2" customFormat="false" ht="15" hidden="false" customHeight="false" outlineLevel="0" collapsed="false">
      <c r="A2" s="0" t="s">
        <v>17</v>
      </c>
      <c r="B2" s="4" t="n">
        <v>62</v>
      </c>
      <c r="C2" s="2" t="n">
        <v>0.0575</v>
      </c>
    </row>
    <row r="3" customFormat="false" ht="15" hidden="false" customHeight="false" outlineLevel="0" collapsed="false">
      <c r="A3" s="0" t="s">
        <v>18</v>
      </c>
      <c r="B3" s="4" t="n">
        <v>48</v>
      </c>
      <c r="C3" s="2" t="n">
        <v>0.0525</v>
      </c>
    </row>
    <row r="4" customFormat="false" ht="15" hidden="false" customHeight="false" outlineLevel="0" collapsed="false">
      <c r="A4" s="0" t="s">
        <v>19</v>
      </c>
      <c r="B4" s="4" t="n">
        <v>37</v>
      </c>
      <c r="C4" s="2" t="n">
        <v>0.06</v>
      </c>
    </row>
    <row r="5" customFormat="false" ht="15" hidden="false" customHeight="false" outlineLevel="0" collapsed="false">
      <c r="A5" s="0" t="s">
        <v>20</v>
      </c>
      <c r="B5" s="4" t="n">
        <v>29</v>
      </c>
      <c r="C5" s="2" t="n">
        <v>0.065</v>
      </c>
    </row>
    <row r="6" customFormat="false" ht="15" hidden="false" customHeight="false" outlineLevel="0" collapsed="false">
      <c r="A6" s="0" t="s">
        <v>21</v>
      </c>
      <c r="B6" s="4" t="n">
        <v>55</v>
      </c>
      <c r="C6" s="2" t="n">
        <v>0.0475</v>
      </c>
    </row>
    <row r="7" customFormat="false" ht="15" hidden="false" customHeight="false" outlineLevel="0" collapsed="false">
      <c r="A7" s="0" t="s">
        <v>22</v>
      </c>
      <c r="B7" s="4" t="n">
        <v>41</v>
      </c>
      <c r="C7" s="2" t="n">
        <v>0.0425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24</v>
      </c>
      <c r="B4" s="0" t="n">
        <f aca="false">SUM(Assets!$B$2:$B$7)*(1+Inputs!$B$13)^B$3</f>
        <v>272</v>
      </c>
      <c r="C4" s="0" t="n">
        <f aca="false">SUM(Assets!$B$2:$B$7)*(1+Inputs!$B$13)^C$3</f>
        <v>278.8</v>
      </c>
      <c r="D4" s="0" t="n">
        <f aca="false">SUM(Assets!$B$2:$B$7)*(1+Inputs!$B$13)^D$3</f>
        <v>285.77</v>
      </c>
      <c r="E4" s="0" t="n">
        <f aca="false">SUM(Assets!$B$2:$B$7)*(1+Inputs!$B$13)^E$3</f>
        <v>292.91425</v>
      </c>
      <c r="F4" s="0" t="n">
        <f aca="false">SUM(Assets!$B$2:$B$7)*(1+Inputs!$B$13)^F$3</f>
        <v>300.23710625</v>
      </c>
      <c r="G4" s="0" t="n">
        <f aca="false">SUM(Assets!$B$2:$B$7)*(1+Inputs!$B$13)^G$3</f>
        <v>307.74303390625</v>
      </c>
    </row>
    <row r="5" customFormat="false" ht="15" hidden="false" customHeight="false" outlineLevel="0" collapsed="false">
      <c r="A5" s="0" t="s">
        <v>25</v>
      </c>
      <c r="B5" s="0" t="n">
        <f aca="false">0</f>
        <v>0</v>
      </c>
      <c r="C5" s="0" t="n">
        <f aca="false">B5*(1+Inputs!$B$13)+B8*Inputs!$B$11</f>
        <v>28.125</v>
      </c>
      <c r="D5" s="0" t="n">
        <f aca="false">C5*(1+Inputs!$B$13)+C8*Inputs!$B$11</f>
        <v>56.953125</v>
      </c>
      <c r="E5" s="0" t="n">
        <f aca="false">D5*(1+Inputs!$B$13)+D8*Inputs!$B$11</f>
        <v>86.501953125</v>
      </c>
      <c r="F5" s="0" t="n">
        <f aca="false">E5*(1+Inputs!$B$13)+E8*Inputs!$B$11</f>
        <v>116.789501953125</v>
      </c>
      <c r="G5" s="0" t="n">
        <f aca="false">F5*(1+Inputs!$B$13)+F8*Inputs!$B$11</f>
        <v>147.834239501953</v>
      </c>
    </row>
    <row r="6" customFormat="false" ht="15" hidden="false" customHeight="false" outlineLevel="0" collapsed="false">
      <c r="A6" s="0" t="s">
        <v>26</v>
      </c>
      <c r="B6" s="0" t="n">
        <f aca="false">B4+B5</f>
        <v>272</v>
      </c>
      <c r="C6" s="0" t="n">
        <f aca="false">C4+C5</f>
        <v>306.925</v>
      </c>
      <c r="D6" s="0" t="n">
        <f aca="false">D4+D5</f>
        <v>342.723125</v>
      </c>
      <c r="E6" s="0" t="n">
        <f aca="false">E4+E5</f>
        <v>379.416203125</v>
      </c>
      <c r="F6" s="0" t="n">
        <f aca="false">F4+F5</f>
        <v>417.026608203125</v>
      </c>
      <c r="G6" s="0" t="n">
        <f aca="false">G4+G5</f>
        <v>455.577273408203</v>
      </c>
    </row>
    <row r="7" customFormat="false" ht="15" hidden="false" customHeight="false" outlineLevel="0" collapsed="false">
      <c r="A7" s="0" t="s">
        <v>27</v>
      </c>
      <c r="B7" s="0" t="n">
        <f aca="false">SUMPRODUCT(Assets!$B$2:$B$7/(Assets!$C$2:$C$7+Inputs!$B$14/10000))*(1+Inputs!$B$13)^B$3+B5/(SUMPRODUCT(Assets!$B$2:$B$7,Assets!$C$2:$C$7)/SUM(Assets!$B$2:$B$7)+Inputs!$B$14/10000)</f>
        <v>5177.96771586649</v>
      </c>
      <c r="C7" s="0" t="n">
        <f aca="false">SUMPRODUCT(Assets!$B$2:$B$7/(Assets!$C$2:$C$7+Inputs!$B$14/10000))*(1+Inputs!$B$13)^C$3+C5/(SUMPRODUCT(Assets!$B$2:$B$7,Assets!$C$2:$C$7)/SUM(Assets!$B$2:$B$7)+Inputs!$B$14/10000)</f>
        <v>5833.37084482366</v>
      </c>
      <c r="D7" s="0" t="n">
        <f aca="false">SUMPRODUCT(Assets!$B$2:$B$7/(Assets!$C$2:$C$7+Inputs!$B$14/10000))*(1+Inputs!$B$13)^D$3+D5/(SUMPRODUCT(Assets!$B$2:$B$7,Assets!$C$2:$C$7)/SUM(Assets!$B$2:$B$7)+Inputs!$B$14/10000)</f>
        <v>6505.15905200475</v>
      </c>
      <c r="E7" s="0" t="n">
        <f aca="false">SUMPRODUCT(Assets!$B$2:$B$7/(Assets!$C$2:$C$7+Inputs!$B$14/10000))*(1+Inputs!$B$13)^E$3+E5/(SUMPRODUCT(Assets!$B$2:$B$7,Assets!$C$2:$C$7)/SUM(Assets!$B$2:$B$7)+Inputs!$B$14/10000)</f>
        <v>7193.74196436537</v>
      </c>
      <c r="F7" s="0" t="n">
        <f aca="false">SUMPRODUCT(Assets!$B$2:$B$7/(Assets!$C$2:$C$7+Inputs!$B$14/10000))*(1+Inputs!$B$13)^F$3+F5/(SUMPRODUCT(Assets!$B$2:$B$7,Assets!$C$2:$C$7)/SUM(Assets!$B$2:$B$7)+Inputs!$B$14/10000)</f>
        <v>7899.539449535</v>
      </c>
      <c r="G7" s="0" t="n">
        <f aca="false">SUMPRODUCT(Assets!$B$2:$B$7/(Assets!$C$2:$C$7+Inputs!$B$14/10000))*(1+Inputs!$B$13)^G$3+G5/(SUMPRODUCT(Assets!$B$2:$B$7,Assets!$C$2:$C$7)/SUM(Assets!$B$2:$B$7)+Inputs!$B$14/10000)</f>
        <v>8622.98187183388</v>
      </c>
    </row>
    <row r="8" customFormat="false" ht="15" hidden="false" customHeight="false" outlineLevel="0" collapsed="false">
      <c r="A8" s="0" t="s">
        <v>28</v>
      </c>
      <c r="B8" s="1" t="n">
        <f aca="false">Inputs!$B$10</f>
        <v>450</v>
      </c>
      <c r="C8" s="1" t="n">
        <f aca="false">Inputs!$B$10</f>
        <v>450</v>
      </c>
      <c r="D8" s="1" t="n">
        <f aca="false">Inputs!$B$10</f>
        <v>450</v>
      </c>
      <c r="E8" s="1" t="n">
        <f aca="false">Inputs!$B$10</f>
        <v>450</v>
      </c>
      <c r="F8" s="1" t="n">
        <f aca="false">Inputs!$B$10</f>
        <v>450</v>
      </c>
      <c r="G8" s="0" t="n">
        <f aca="false">0</f>
        <v>0</v>
      </c>
    </row>
    <row r="9" customFormat="false" ht="15" hidden="false" customHeight="false" outlineLevel="0" collapsed="false">
      <c r="A9" s="0" t="s">
        <v>29</v>
      </c>
      <c r="B9" s="0" t="n">
        <f aca="false">B8*(1+Inputs!$B$15)*Inputs!$B$12</f>
        <v>272.7</v>
      </c>
      <c r="C9" s="0" t="n">
        <f aca="false">C8*(1+Inputs!$B$15)*Inputs!$B$12</f>
        <v>272.7</v>
      </c>
      <c r="D9" s="0" t="n">
        <f aca="false">D8*(1+Inputs!$B$15)*Inputs!$B$12</f>
        <v>272.7</v>
      </c>
      <c r="E9" s="0" t="n">
        <f aca="false">E8*(1+Inputs!$B$15)*Inputs!$B$12</f>
        <v>272.7</v>
      </c>
      <c r="F9" s="0" t="n">
        <f aca="false">F8*(1+Inputs!$B$15)*Inputs!$B$12</f>
        <v>272.7</v>
      </c>
      <c r="G9" s="0" t="n">
        <f aca="false">G8*(1+Inputs!$B$15)*Inputs!$B$12</f>
        <v>0</v>
      </c>
    </row>
    <row r="10" customFormat="false" ht="15" hidden="false" customHeight="false" outlineLevel="0" collapsed="false">
      <c r="A10" s="0" t="s">
        <v>30</v>
      </c>
      <c r="B10" s="0" t="n">
        <f aca="false">B8*(1+Inputs!$B$15)*(1-Inputs!$B$12)</f>
        <v>181.8</v>
      </c>
      <c r="C10" s="0" t="n">
        <f aca="false">C8*(1+Inputs!$B$15)*(1-Inputs!$B$12)</f>
        <v>181.8</v>
      </c>
      <c r="D10" s="0" t="n">
        <f aca="false">D8*(1+Inputs!$B$15)*(1-Inputs!$B$12)</f>
        <v>181.8</v>
      </c>
      <c r="E10" s="0" t="n">
        <f aca="false">E8*(1+Inputs!$B$15)*(1-Inputs!$B$12)</f>
        <v>181.8</v>
      </c>
      <c r="F10" s="0" t="n">
        <f aca="false">F8*(1+Inputs!$B$15)*(1-Inputs!$B$12)</f>
        <v>181.8</v>
      </c>
      <c r="G10" s="0" t="n">
        <f aca="false">G8*(1+Inputs!$B$15)*(1-Inputs!$B$12)</f>
        <v>0</v>
      </c>
    </row>
    <row r="11" customFormat="false" ht="15" hidden="false" customHeight="false" outlineLevel="0" collapsed="false">
      <c r="A11" s="0" t="s">
        <v>31</v>
      </c>
      <c r="B11" s="0" t="n">
        <f aca="false">Inputs!$B$4+B10</f>
        <v>2281.8</v>
      </c>
      <c r="C11" s="0" t="n">
        <f aca="false">B11+C10</f>
        <v>2463.6</v>
      </c>
      <c r="D11" s="0" t="n">
        <f aca="false">C11+D10</f>
        <v>2645.4</v>
      </c>
      <c r="E11" s="0" t="n">
        <f aca="false">D11+E10</f>
        <v>2827.2</v>
      </c>
      <c r="F11" s="0" t="n">
        <f aca="false">E11+F10</f>
        <v>3009</v>
      </c>
      <c r="G11" s="0" t="n">
        <f aca="false">F11+G10</f>
        <v>3009</v>
      </c>
    </row>
    <row r="12" customFormat="false" ht="15" hidden="false" customHeight="false" outlineLevel="0" collapsed="false">
      <c r="A12" s="0" t="s">
        <v>32</v>
      </c>
      <c r="B12" s="0" t="n">
        <f aca="false">0</f>
        <v>0</v>
      </c>
      <c r="C12" s="0" t="n">
        <f aca="false">B11*Inputs!$B$5</f>
        <v>86.7084</v>
      </c>
      <c r="D12" s="0" t="n">
        <f aca="false">C11*Inputs!$B$5</f>
        <v>93.6168</v>
      </c>
      <c r="E12" s="0" t="n">
        <f aca="false">D11*Inputs!$B$5</f>
        <v>100.5252</v>
      </c>
      <c r="F12" s="0" t="n">
        <f aca="false">E11*Inputs!$B$5</f>
        <v>107.4336</v>
      </c>
      <c r="G12" s="0" t="n">
        <f aca="false">F11*Inputs!$B$5</f>
        <v>114.342</v>
      </c>
    </row>
    <row r="13" customFormat="false" ht="15" hidden="false" customHeight="false" outlineLevel="0" collapsed="false">
      <c r="A13" s="0" t="s">
        <v>33</v>
      </c>
      <c r="B13" s="0" t="n">
        <f aca="false">0</f>
        <v>0</v>
      </c>
      <c r="C13" s="0" t="n">
        <f aca="false">C6-C12-Inputs!$B$6</f>
        <v>192.2166</v>
      </c>
      <c r="D13" s="0" t="n">
        <f aca="false">D6-D12-Inputs!$B$6</f>
        <v>221.106325</v>
      </c>
      <c r="E13" s="0" t="n">
        <f aca="false">E6-E12-Inputs!$B$6</f>
        <v>250.891003125</v>
      </c>
      <c r="F13" s="0" t="n">
        <f aca="false">F6-F12-Inputs!$B$6</f>
        <v>281.593008203125</v>
      </c>
      <c r="G13" s="0" t="n">
        <f aca="false">G6-G12-Inputs!$B$6</f>
        <v>313.235273408203</v>
      </c>
    </row>
    <row r="14" customFormat="false" ht="15" hidden="false" customHeight="false" outlineLevel="0" collapsed="false">
      <c r="A14" s="0" t="s">
        <v>34</v>
      </c>
      <c r="B14" s="0" t="n">
        <f aca="false">0</f>
        <v>0</v>
      </c>
      <c r="C14" s="0" t="n">
        <f aca="false">C13-C6*Inputs!$B$7</f>
        <v>155.3856</v>
      </c>
      <c r="D14" s="0" t="n">
        <f aca="false">D13-D6*Inputs!$B$7</f>
        <v>179.97955</v>
      </c>
      <c r="E14" s="0" t="n">
        <f aca="false">E13-E6*Inputs!$B$7</f>
        <v>205.36105875</v>
      </c>
      <c r="F14" s="0" t="n">
        <f aca="false">F13-F6*Inputs!$B$7</f>
        <v>231.54981521875</v>
      </c>
      <c r="G14" s="0" t="n">
        <f aca="false">G13-G6*Inputs!$B$7</f>
        <v>258.566000599219</v>
      </c>
    </row>
    <row r="15" customFormat="false" ht="15" hidden="false" customHeight="false" outlineLevel="0" collapsed="false">
      <c r="A15" s="0" t="s">
        <v>35</v>
      </c>
      <c r="B15" s="0" t="n">
        <f aca="false">Inputs!$B$3+B17</f>
        <v>3036.25978799303</v>
      </c>
      <c r="C15" s="0" t="n">
        <f aca="false">B15+C17</f>
        <v>3271.92043295787</v>
      </c>
      <c r="D15" s="0" t="n">
        <f aca="false">C15+D17</f>
        <v>3494.38521230744</v>
      </c>
      <c r="E15" s="0" t="n">
        <f aca="false">D15+E17</f>
        <v>3704.96351807208</v>
      </c>
      <c r="F15" s="0" t="n">
        <f aca="false">E15+F17</f>
        <v>3904.74003010344</v>
      </c>
      <c r="G15" s="0" t="n">
        <f aca="false">F15+G17</f>
        <v>3904.74003010344</v>
      </c>
    </row>
    <row r="16" customFormat="false" ht="15" hidden="false" customHeight="false" outlineLevel="0" collapsed="false">
      <c r="A16" s="0" t="s">
        <v>36</v>
      </c>
      <c r="B16" s="0" t="n">
        <f aca="false">(SUMPRODUCT(Assets!$B$2:$B$7/(Assets!$C$2:$C$7+Inputs!$B$14/10000))-Inputs!$B$4)/Inputs!$B$3*(1+Inputs!$B$9)</f>
        <v>1.15423789344993</v>
      </c>
      <c r="C16" s="0" t="n">
        <f aca="false">B19*(1+Inputs!$B$9)</f>
        <v>1.15717242495321</v>
      </c>
      <c r="D16" s="0" t="n">
        <f aca="false">C19*(1+Inputs!$B$9)</f>
        <v>1.22581201751262</v>
      </c>
      <c r="E16" s="0" t="n">
        <f aca="false">D19*(1+Inputs!$B$9)</f>
        <v>1.29500519538223</v>
      </c>
      <c r="F16" s="0" t="n">
        <f aca="false">E19*(1+Inputs!$B$9)</f>
        <v>1.36502533369486</v>
      </c>
      <c r="G16" s="0" t="n">
        <f aca="false">F19*(1+Inputs!$B$9)</f>
        <v>1.43609212874108</v>
      </c>
    </row>
    <row r="17" customFormat="false" ht="15" hidden="false" customHeight="false" outlineLevel="0" collapsed="false">
      <c r="A17" s="0" t="s">
        <v>37</v>
      </c>
      <c r="B17" s="0" t="n">
        <f aca="false">B9/B16</f>
        <v>236.259787993027</v>
      </c>
      <c r="C17" s="0" t="n">
        <f aca="false">C9/C16</f>
        <v>235.660644964838</v>
      </c>
      <c r="D17" s="0" t="n">
        <f aca="false">D9/D16</f>
        <v>222.464779349574</v>
      </c>
      <c r="E17" s="0" t="n">
        <f aca="false">E9/E16</f>
        <v>210.578305764642</v>
      </c>
      <c r="F17" s="0" t="n">
        <f aca="false">F9/F16</f>
        <v>199.776512031358</v>
      </c>
      <c r="G17" s="0" t="n">
        <f aca="false">G9/G16</f>
        <v>0</v>
      </c>
    </row>
    <row r="18" customFormat="false" ht="15" hidden="false" customHeight="false" outlineLevel="0" collapsed="false">
      <c r="A18" s="0" t="s">
        <v>38</v>
      </c>
      <c r="B18" s="0" t="n">
        <f aca="false">B7+B8-B11</f>
        <v>3346.16771586649</v>
      </c>
      <c r="C18" s="0" t="n">
        <f aca="false">C7+C8-C11</f>
        <v>3819.77084482365</v>
      </c>
      <c r="D18" s="0" t="n">
        <f aca="false">D7+D8-D11</f>
        <v>4309.75905200475</v>
      </c>
      <c r="E18" s="0" t="n">
        <f aca="false">E7+E8-E11</f>
        <v>4816.54196436537</v>
      </c>
      <c r="F18" s="0" t="n">
        <f aca="false">F7+F8-F11</f>
        <v>5340.539449535</v>
      </c>
      <c r="G18" s="0" t="n">
        <f aca="false">G7+G8-G11</f>
        <v>5613.98187183388</v>
      </c>
    </row>
    <row r="19" customFormat="false" ht="15" hidden="false" customHeight="false" outlineLevel="0" collapsed="false">
      <c r="A19" s="0" t="s">
        <v>39</v>
      </c>
      <c r="B19" s="0" t="n">
        <f aca="false">B18/B15</f>
        <v>1.10206897614592</v>
      </c>
      <c r="C19" s="0" t="n">
        <f aca="false">C18/C15</f>
        <v>1.16744001667868</v>
      </c>
      <c r="D19" s="0" t="n">
        <f aca="false">D18/D15</f>
        <v>1.23333828131641</v>
      </c>
      <c r="E19" s="0" t="n">
        <f aca="false">E18/E15</f>
        <v>1.30002412732844</v>
      </c>
      <c r="F19" s="0" t="n">
        <f aca="false">F18/F15</f>
        <v>1.36770678927722</v>
      </c>
      <c r="G19" s="0" t="n">
        <f aca="false">G18/G15</f>
        <v>1.4377351189972</v>
      </c>
    </row>
    <row r="20" customFormat="false" ht="15" hidden="false" customHeight="false" outlineLevel="0" collapsed="false">
      <c r="A20" s="0" t="s">
        <v>40</v>
      </c>
      <c r="B20" s="0" t="n">
        <f aca="false">0</f>
        <v>0</v>
      </c>
      <c r="C20" s="0" t="n">
        <f aca="false">C14/B15</f>
        <v>0.0511766485247661</v>
      </c>
      <c r="D20" s="0" t="n">
        <f aca="false">D14/C15</f>
        <v>0.055007312582261</v>
      </c>
      <c r="E20" s="0" t="n">
        <f aca="false">E14/D15</f>
        <v>0.0587688667027051</v>
      </c>
      <c r="F20" s="0" t="n">
        <f aca="false">F14/E15</f>
        <v>0.0624971916968401</v>
      </c>
      <c r="G20" s="0" t="n">
        <f aca="false">G14/F15</f>
        <v>0.0662184930637672</v>
      </c>
    </row>
    <row r="21" customFormat="false" ht="15" hidden="false" customHeight="false" outlineLevel="0" collapsed="false">
      <c r="A21" s="0" t="s">
        <v>41</v>
      </c>
      <c r="B21" s="0" t="n">
        <f aca="false">B20*Inputs!$B$8</f>
        <v>0</v>
      </c>
      <c r="C21" s="0" t="n">
        <f aca="false">C20*Inputs!$B$8</f>
        <v>0.0460589836722895</v>
      </c>
      <c r="D21" s="0" t="n">
        <f aca="false">D20*Inputs!$B$8</f>
        <v>0.0495065813240349</v>
      </c>
      <c r="E21" s="0" t="n">
        <f aca="false">E20*Inputs!$B$8</f>
        <v>0.0528919800324346</v>
      </c>
      <c r="F21" s="0" t="n">
        <f aca="false">F20*Inputs!$B$8</f>
        <v>0.0562474725271561</v>
      </c>
      <c r="G21" s="0" t="n">
        <f aca="false">G20*Inputs!$B$8</f>
        <v>0.0595966437573904</v>
      </c>
    </row>
    <row r="22" customFormat="false" ht="15" hidden="false" customHeight="false" outlineLevel="0" collapsed="false">
      <c r="A22" s="0" t="s">
        <v>42</v>
      </c>
      <c r="B22" s="0" t="n">
        <f aca="false">B11/(B7+B8)</f>
        <v>0.40543942595248</v>
      </c>
      <c r="C22" s="0" t="n">
        <f aca="false">C11/(C7+C8)</f>
        <v>0.392082539904446</v>
      </c>
      <c r="D22" s="0" t="n">
        <f aca="false">D11/(D7+D8)</f>
        <v>0.380350755492427</v>
      </c>
      <c r="E22" s="0" t="n">
        <f aca="false">E11/(E7+E8)</f>
        <v>0.369871198318863</v>
      </c>
      <c r="F22" s="0" t="n">
        <f aca="false">F11/(F7+F8)</f>
        <v>0.360379158417843</v>
      </c>
      <c r="G22" s="0" t="n">
        <f aca="false">G11/(G7+G8)</f>
        <v>0.348951214872503</v>
      </c>
    </row>
    <row r="23" customFormat="false" ht="15" hidden="false" customHeight="false" outlineLevel="0" collapsed="false">
      <c r="A23" s="0" t="s">
        <v>43</v>
      </c>
      <c r="B23" s="0" t="n">
        <f aca="false">B19*(1+Inputs!$B$9)</f>
        <v>1.15717242495321</v>
      </c>
      <c r="C23" s="0" t="n">
        <f aca="false">C19*(1+Inputs!$B$9)</f>
        <v>1.22581201751262</v>
      </c>
      <c r="D23" s="0" t="n">
        <f aca="false">D19*(1+Inputs!$B$9)</f>
        <v>1.29500519538223</v>
      </c>
      <c r="E23" s="0" t="n">
        <f aca="false">E19*(1+Inputs!$B$9)</f>
        <v>1.36502533369486</v>
      </c>
      <c r="F23" s="0" t="n">
        <f aca="false">F19*(1+Inputs!$B$9)</f>
        <v>1.43609212874108</v>
      </c>
      <c r="G23" s="0" t="n">
        <f aca="false">G19*(1+Inputs!$B$9)</f>
        <v>1.50962187494705</v>
      </c>
    </row>
    <row r="25" customFormat="false" ht="15" hidden="false" customHeight="false" outlineLevel="0" collapsed="false">
      <c r="A25" s="0" t="s">
        <v>44</v>
      </c>
      <c r="B25" s="0" t="n">
        <f aca="false">-B23</f>
        <v>-1.15717242495321</v>
      </c>
      <c r="C25" s="0" t="n">
        <f aca="false">C21</f>
        <v>0.0460589836722895</v>
      </c>
      <c r="D25" s="0" t="n">
        <f aca="false">D21</f>
        <v>0.0495065813240349</v>
      </c>
      <c r="E25" s="0" t="n">
        <f aca="false">E21</f>
        <v>0.0528919800324346</v>
      </c>
      <c r="F25" s="0" t="n">
        <f aca="false">F21</f>
        <v>0.0562474725271561</v>
      </c>
      <c r="G25" s="0" t="n">
        <f aca="false">G21+G23</f>
        <v>1.56921851870445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45</v>
      </c>
      <c r="B3" s="2" t="n">
        <f aca="false">IRR(Projection!B25:G25)</f>
        <v>0.0954886247277585</v>
      </c>
    </row>
    <row r="4" customFormat="false" ht="15" hidden="false" customHeight="false" outlineLevel="0" collapsed="false">
      <c r="A4" s="0" t="s">
        <v>46</v>
      </c>
      <c r="B4" s="5" t="n">
        <f aca="false">Projection!C20</f>
        <v>0.0511766485247661</v>
      </c>
    </row>
    <row r="5" customFormat="false" ht="15" hidden="false" customHeight="false" outlineLevel="0" collapsed="false">
      <c r="A5" s="0" t="s">
        <v>47</v>
      </c>
      <c r="B5" s="2" t="n">
        <f aca="false">(Projection!G20/Projection!C20)^(1/4)-1</f>
        <v>0.0665392999489789</v>
      </c>
    </row>
    <row r="6" customFormat="false" ht="15" hidden="false" customHeight="false" outlineLevel="0" collapsed="false">
      <c r="A6" s="0" t="s">
        <v>48</v>
      </c>
      <c r="B6" s="5" t="n">
        <f aca="false">Projection!G19</f>
        <v>1.4377351189972</v>
      </c>
    </row>
    <row r="7" customFormat="false" ht="15" hidden="false" customHeight="false" outlineLevel="0" collapsed="false">
      <c r="A7" s="0" t="s">
        <v>49</v>
      </c>
      <c r="B7" s="2" t="n">
        <f aca="false">Projection!G22</f>
        <v>0.348951214872503</v>
      </c>
    </row>
    <row r="8" customFormat="false" ht="15" hidden="false" customHeight="false" outlineLevel="0" collapsed="false">
      <c r="A8" s="0" t="s">
        <v>50</v>
      </c>
      <c r="B8" s="1" t="n">
        <f aca="false">SUM(Projection!B17:G17)</f>
        <v>1104.74003010344</v>
      </c>
    </row>
    <row r="9" customFormat="false" ht="15" hidden="false" customHeight="false" outlineLevel="0" collapsed="false">
      <c r="A9" s="0" t="s">
        <v>51</v>
      </c>
      <c r="B9" s="5" t="n">
        <f aca="false">Projection!B19</f>
        <v>1.10206897614592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2026-10-17T12:36:17Z</dcterms:created>
  <dc:creator>openpyxl</dc:creator>
  <dc:description/>
  <dc:language>en-US</dc:language>
  <cp:lastModifiedBy/>
  <dcterms:modified xsi:type="dcterms:W3CDTF">2026-10-17T12:36:17Z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