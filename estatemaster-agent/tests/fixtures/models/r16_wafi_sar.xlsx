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Milestones" sheetId="2" state="visible" r:id="rId4"/>
    <sheet name="Quarterly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<sst xmlns="http://schemas.openxmlformats.org/spreadsheetml/2006/main" count="24" uniqueCount="24">
  <si>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AL YASMIN HEIGHTS – OFF-PLAN (WAFI) – SAR</t>
  </si>
  <si>
    <t xml:space="preserve">Apartments</t>
  </si>
  <si>
    <t xml:space="preserve">Average price (SAR)</t>
  </si>
  <si>
    <t xml:space="preserve">Sold off-plan</t>
  </si>
  <si>
    <t xml:space="preserve">Construction cost (SAR)</t>
  </si>
  <si>
    <t xml:space="preserve">Land (SAR)</t>
  </si>
  <si>
    <t xml:space="preserve">Construction (quarters)</t>
  </si>
  <si>
    <t xml:space="preserve">Bank finance rate</t>
  </si>
  <si>
    <t xml:space="preserve">Construction complete</t>
  </si>
  <si>
    <t xml:space="preserve">Cumulative release from escrow</t>
  </si>
  <si>
    <t xml:space="preserve">Quarter</t>
  </si>
  <si>
    <t xml:space="preserve">Completion</t>
  </si>
  <si>
    <t xml:space="preserve">Escrow released (cumulative %)</t>
  </si>
  <si>
    <t xml:space="preserve">Escrow release</t>
  </si>
  <si>
    <t xml:space="preserve">Unsold sales at handover</t>
  </si>
  <si>
    <t xml:space="preserve">Construction</t>
  </si>
  <si>
    <t xml:space="preserve">Land</t>
  </si>
  <si>
    <t xml:space="preserve">Net cash flow</t>
  </si>
  <si>
    <t xml:space="preserve">Project IRR (annual)</t>
  </si>
  <si>
    <t xml:space="preserve">Net profit</t>
  </si>
  <si>
    <t xml:space="preserve">Gross revenue</t>
  </si>
  <si>
    <t xml:space="preserve">Total development cost</t>
  </si>
  <si>
    <t xml:space="preserve">Profit on cost</t>
  </si>
  <si>
    <t xml:space="preserve">Peak funding need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</si>
</sst>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220</v>
      </c>
    </row>
    <row r="4" customFormat="false" ht="15" hidden="false" customHeight="false" outlineLevel="0" collapsed="false">
      <c r="A4" s="0" t="s">
        <v>2</v>
      </c>
      <c r="B4" s="1" t="n">
        <v>1150000</v>
      </c>
    </row>
    <row r="5" customFormat="false" ht="15" hidden="false" customHeight="false" outlineLevel="0" collapsed="false">
      <c r="A5" s="0" t="s">
        <v>3</v>
      </c>
      <c r="B5" s="2" t="n">
        <v>0.7</v>
      </c>
    </row>
    <row r="6" customFormat="false" ht="15" hidden="false" customHeight="false" outlineLevel="0" collapsed="false">
      <c r="A6" s="0" t="s">
        <v>4</v>
      </c>
      <c r="B6" s="1" t="n">
        <v>148000000</v>
      </c>
    </row>
    <row r="7" customFormat="false" ht="15" hidden="false" customHeight="false" outlineLevel="0" collapsed="false">
      <c r="A7" s="0" t="s">
        <v>5</v>
      </c>
      <c r="B7" s="1" t="n">
        <v>62000000</v>
      </c>
    </row>
    <row r="8" customFormat="false" ht="15" hidden="false" customHeight="false" outlineLevel="0" collapsed="false">
      <c r="A8" s="0" t="s">
        <v>6</v>
      </c>
      <c r="B8" s="3" t="n">
        <v>10</v>
      </c>
    </row>
    <row r="9" customFormat="false" ht="15" hidden="false" customHeight="false" outlineLevel="0" collapsed="false">
      <c r="A9" s="0" t="s">
        <v>7</v>
      </c>
      <c r="B9" s="2" t="n">
        <v>0.07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8</v>
      </c>
      <c r="B1" s="0" t="s">
        <v>9</v>
      </c>
    </row>
    <row r="2" customFormat="false" ht="15" hidden="false" customHeight="false" outlineLevel="0" collapsed="false">
      <c r="A2" s="2" t="n">
        <v>0</v>
      </c>
      <c r="B2" s="2" t="n">
        <v>0.1</v>
      </c>
    </row>
    <row r="3" customFormat="false" ht="15" hidden="false" customHeight="false" outlineLevel="0" collapsed="false">
      <c r="A3" s="2" t="n">
        <v>0.2</v>
      </c>
      <c r="B3" s="2" t="n">
        <v>0.2</v>
      </c>
    </row>
    <row r="4" customFormat="false" ht="15" hidden="false" customHeight="false" outlineLevel="0" collapsed="false">
      <c r="A4" s="2" t="n">
        <v>0.4</v>
      </c>
      <c r="B4" s="2" t="n">
        <v>0.4</v>
      </c>
    </row>
    <row r="5" customFormat="false" ht="15" hidden="false" customHeight="false" outlineLevel="0" collapsed="false">
      <c r="A5" s="2" t="n">
        <v>0.6</v>
      </c>
      <c r="B5" s="2" t="n">
        <v>0.6</v>
      </c>
    </row>
    <row r="6" customFormat="false" ht="15" hidden="false" customHeight="false" outlineLevel="0" collapsed="false">
      <c r="A6" s="2" t="n">
        <v>0.8</v>
      </c>
      <c r="B6" s="2" t="n">
        <v>0.8</v>
      </c>
    </row>
    <row r="7" customFormat="false" ht="15" hidden="false" customHeight="false" outlineLevel="0" collapsed="false">
      <c r="A7" s="2" t="n">
        <v>1</v>
      </c>
      <c r="B7" s="2" t="n">
        <v>0.95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10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</row>
    <row r="4" customFormat="false" ht="15" hidden="false" customHeight="false" outlineLevel="0" collapsed="false">
      <c r="A4" s="0" t="s">
        <v>11</v>
      </c>
      <c r="B4" s="0" t="n">
        <f aca="false">MIN(1,B$3/Inputs!$B$8)</f>
        <v>0</v>
      </c>
      <c r="C4" s="0" t="n">
        <f aca="false">MIN(1,C$3/Inputs!$B$8)</f>
        <v>0.1</v>
      </c>
      <c r="D4" s="0" t="n">
        <f aca="false">MIN(1,D$3/Inputs!$B$8)</f>
        <v>0.2</v>
      </c>
      <c r="E4" s="0" t="n">
        <f aca="false">MIN(1,E$3/Inputs!$B$8)</f>
        <v>0.3</v>
      </c>
      <c r="F4" s="0" t="n">
        <f aca="false">MIN(1,F$3/Inputs!$B$8)</f>
        <v>0.4</v>
      </c>
      <c r="G4" s="0" t="n">
        <f aca="false">MIN(1,G$3/Inputs!$B$8)</f>
        <v>0.5</v>
      </c>
      <c r="H4" s="0" t="n">
        <f aca="false">MIN(1,H$3/Inputs!$B$8)</f>
        <v>0.6</v>
      </c>
      <c r="I4" s="0" t="n">
        <f aca="false">MIN(1,I$3/Inputs!$B$8)</f>
        <v>0.7</v>
      </c>
      <c r="J4" s="0" t="n">
        <f aca="false">MIN(1,J$3/Inputs!$B$8)</f>
        <v>0.8</v>
      </c>
      <c r="K4" s="0" t="n">
        <f aca="false">MIN(1,K$3/Inputs!$B$8)</f>
        <v>0.9</v>
      </c>
      <c r="L4" s="0" t="n">
        <f aca="false">MIN(1,L$3/Inputs!$B$8)</f>
        <v>1</v>
      </c>
      <c r="M4" s="0" t="n">
        <f aca="false">MIN(1,M$3/Inputs!$B$8)</f>
        <v>1</v>
      </c>
    </row>
    <row r="5" customFormat="false" ht="15" hidden="false" customHeight="false" outlineLevel="0" collapsed="false">
      <c r="A5" s="0" t="s">
        <v>12</v>
      </c>
      <c r="B5" s="2" t="n">
        <f aca="false">INDEX(Milestones!$B$2:$B$7,MATCH(B4,Milestones!$A$2:$A$7,1))+IF(B$3&gt;Inputs!$B$8,0.05,0)</f>
        <v>0.1</v>
      </c>
      <c r="C5" s="2" t="n">
        <f aca="false">INDEX(Milestones!$B$2:$B$7,MATCH(C4,Milestones!$A$2:$A$7,1))+IF(C$3&gt;Inputs!$B$8,0.05,0)</f>
        <v>0.1</v>
      </c>
      <c r="D5" s="2" t="n">
        <f aca="false">INDEX(Milestones!$B$2:$B$7,MATCH(D4,Milestones!$A$2:$A$7,1))+IF(D$3&gt;Inputs!$B$8,0.05,0)</f>
        <v>0.2</v>
      </c>
      <c r="E5" s="2" t="n">
        <f aca="false">INDEX(Milestones!$B$2:$B$7,MATCH(E4,Milestones!$A$2:$A$7,1))+IF(E$3&gt;Inputs!$B$8,0.05,0)</f>
        <v>0.2</v>
      </c>
      <c r="F5" s="2" t="n">
        <f aca="false">INDEX(Milestones!$B$2:$B$7,MATCH(F4,Milestones!$A$2:$A$7,1))+IF(F$3&gt;Inputs!$B$8,0.05,0)</f>
        <v>0.4</v>
      </c>
      <c r="G5" s="2" t="n">
        <f aca="false">INDEX(Milestones!$B$2:$B$7,MATCH(G4,Milestones!$A$2:$A$7,1))+IF(G$3&gt;Inputs!$B$8,0.05,0)</f>
        <v>0.4</v>
      </c>
      <c r="H5" s="2" t="n">
        <f aca="false">INDEX(Milestones!$B$2:$B$7,MATCH(H4,Milestones!$A$2:$A$7,1))+IF(H$3&gt;Inputs!$B$8,0.05,0)</f>
        <v>0.6</v>
      </c>
      <c r="I5" s="2" t="n">
        <f aca="false">INDEX(Milestones!$B$2:$B$7,MATCH(I4,Milestones!$A$2:$A$7,1))+IF(I$3&gt;Inputs!$B$8,0.05,0)</f>
        <v>0.6</v>
      </c>
      <c r="J5" s="2" t="n">
        <f aca="false">INDEX(Milestones!$B$2:$B$7,MATCH(J4,Milestones!$A$2:$A$7,1))+IF(J$3&gt;Inputs!$B$8,0.05,0)</f>
        <v>0.8</v>
      </c>
      <c r="K5" s="2" t="n">
        <f aca="false">INDEX(Milestones!$B$2:$B$7,MATCH(K4,Milestones!$A$2:$A$7,1))+IF(K$3&gt;Inputs!$B$8,0.05,0)</f>
        <v>0.8</v>
      </c>
      <c r="L5" s="2" t="n">
        <f aca="false">INDEX(Milestones!$B$2:$B$7,MATCH(L4,Milestones!$A$2:$A$7,1))+IF(L$3&gt;Inputs!$B$8,0.05,0)</f>
        <v>0.95</v>
      </c>
      <c r="M5" s="2" t="n">
        <f aca="false">INDEX(Milestones!$B$2:$B$7,MATCH(M4,Milestones!$A$2:$A$7,1))+IF(M$3&gt;Inputs!$B$8,0.05,0)</f>
        <v>1</v>
      </c>
    </row>
    <row r="6" customFormat="false" ht="15" hidden="false" customHeight="false" outlineLevel="0" collapsed="false">
      <c r="A6" s="0" t="s">
        <v>13</v>
      </c>
      <c r="B6" s="0" t="n">
        <f aca="false">B5*Inputs!$B$3*Inputs!$B$5*Inputs!$B$4</f>
        <v>17710000</v>
      </c>
      <c r="C6" s="0" t="n">
        <f aca="false">(C5-B5)*Inputs!$B$3*Inputs!$B$5*Inputs!$B$4</f>
        <v>0</v>
      </c>
      <c r="D6" s="0" t="n">
        <f aca="false">(D5-C5)*Inputs!$B$3*Inputs!$B$5*Inputs!$B$4</f>
        <v>17710000</v>
      </c>
      <c r="E6" s="0" t="n">
        <f aca="false">(E5-D5)*Inputs!$B$3*Inputs!$B$5*Inputs!$B$4</f>
        <v>0</v>
      </c>
      <c r="F6" s="0" t="n">
        <f aca="false">(F5-E5)*Inputs!$B$3*Inputs!$B$5*Inputs!$B$4</f>
        <v>35420000</v>
      </c>
      <c r="G6" s="0" t="n">
        <f aca="false">(G5-F5)*Inputs!$B$3*Inputs!$B$5*Inputs!$B$4</f>
        <v>0</v>
      </c>
      <c r="H6" s="0" t="n">
        <f aca="false">(H5-G5)*Inputs!$B$3*Inputs!$B$5*Inputs!$B$4</f>
        <v>35420000</v>
      </c>
      <c r="I6" s="0" t="n">
        <f aca="false">(I5-H5)*Inputs!$B$3*Inputs!$B$5*Inputs!$B$4</f>
        <v>0</v>
      </c>
      <c r="J6" s="0" t="n">
        <f aca="false">(J5-I5)*Inputs!$B$3*Inputs!$B$5*Inputs!$B$4</f>
        <v>35420000</v>
      </c>
      <c r="K6" s="0" t="n">
        <f aca="false">(K5-J5)*Inputs!$B$3*Inputs!$B$5*Inputs!$B$4</f>
        <v>0</v>
      </c>
      <c r="L6" s="0" t="n">
        <f aca="false">(L5-K5)*Inputs!$B$3*Inputs!$B$5*Inputs!$B$4</f>
        <v>26565000</v>
      </c>
      <c r="M6" s="0" t="n">
        <f aca="false">(M5-L5)*Inputs!$B$3*Inputs!$B$5*Inputs!$B$4</f>
        <v>8855000.00000001</v>
      </c>
    </row>
    <row r="7" customFormat="false" ht="15" hidden="false" customHeight="false" outlineLevel="0" collapsed="false">
      <c r="A7" s="0" t="s">
        <v>14</v>
      </c>
      <c r="B7" s="0" t="n">
        <f aca="false">IF(B$3=Inputs!$B$8+1,Inputs!$B$3*(1-Inputs!$B$5)*Inputs!$B$4,0)</f>
        <v>0</v>
      </c>
      <c r="C7" s="0" t="n">
        <f aca="false">IF(C$3=Inputs!$B$8+1,Inputs!$B$3*(1-Inputs!$B$5)*Inputs!$B$4,0)</f>
        <v>0</v>
      </c>
      <c r="D7" s="0" t="n">
        <f aca="false">IF(D$3=Inputs!$B$8+1,Inputs!$B$3*(1-Inputs!$B$5)*Inputs!$B$4,0)</f>
        <v>0</v>
      </c>
      <c r="E7" s="0" t="n">
        <f aca="false">IF(E$3=Inputs!$B$8+1,Inputs!$B$3*(1-Inputs!$B$5)*Inputs!$B$4,0)</f>
        <v>0</v>
      </c>
      <c r="F7" s="0" t="n">
        <f aca="false">IF(F$3=Inputs!$B$8+1,Inputs!$B$3*(1-Inputs!$B$5)*Inputs!$B$4,0)</f>
        <v>0</v>
      </c>
      <c r="G7" s="0" t="n">
        <f aca="false">IF(G$3=Inputs!$B$8+1,Inputs!$B$3*(1-Inputs!$B$5)*Inputs!$B$4,0)</f>
        <v>0</v>
      </c>
      <c r="H7" s="0" t="n">
        <f aca="false">IF(H$3=Inputs!$B$8+1,Inputs!$B$3*(1-Inputs!$B$5)*Inputs!$B$4,0)</f>
        <v>0</v>
      </c>
      <c r="I7" s="0" t="n">
        <f aca="false">IF(I$3=Inputs!$B$8+1,Inputs!$B$3*(1-Inputs!$B$5)*Inputs!$B$4,0)</f>
        <v>0</v>
      </c>
      <c r="J7" s="0" t="n">
        <f aca="false">IF(J$3=Inputs!$B$8+1,Inputs!$B$3*(1-Inputs!$B$5)*Inputs!$B$4,0)</f>
        <v>0</v>
      </c>
      <c r="K7" s="0" t="n">
        <f aca="false">IF(K$3=Inputs!$B$8+1,Inputs!$B$3*(1-Inputs!$B$5)*Inputs!$B$4,0)</f>
        <v>0</v>
      </c>
      <c r="L7" s="0" t="n">
        <f aca="false">IF(L$3=Inputs!$B$8+1,Inputs!$B$3*(1-Inputs!$B$5)*Inputs!$B$4,0)</f>
        <v>0</v>
      </c>
      <c r="M7" s="0" t="n">
        <f aca="false">IF(M$3=Inputs!$B$8+1,Inputs!$B$3*(1-Inputs!$B$5)*Inputs!$B$4,0)</f>
        <v>75900000</v>
      </c>
    </row>
    <row r="8" customFormat="false" ht="15" hidden="false" customHeight="false" outlineLevel="0" collapsed="false">
      <c r="A8" s="0" t="s">
        <v>15</v>
      </c>
      <c r="B8" s="0" t="n">
        <f aca="false">-IF(AND(B$3&gt;=1,B$3&lt;=Inputs!$B$8),Inputs!$B$6/Inputs!$B$8,0)</f>
        <v>-0</v>
      </c>
      <c r="C8" s="0" t="n">
        <f aca="false">-IF(AND(C$3&gt;=1,C$3&lt;=Inputs!$B$8),Inputs!$B$6/Inputs!$B$8,0)</f>
        <v>-14800000</v>
      </c>
      <c r="D8" s="0" t="n">
        <f aca="false">-IF(AND(D$3&gt;=1,D$3&lt;=Inputs!$B$8),Inputs!$B$6/Inputs!$B$8,0)</f>
        <v>-14800000</v>
      </c>
      <c r="E8" s="0" t="n">
        <f aca="false">-IF(AND(E$3&gt;=1,E$3&lt;=Inputs!$B$8),Inputs!$B$6/Inputs!$B$8,0)</f>
        <v>-14800000</v>
      </c>
      <c r="F8" s="0" t="n">
        <f aca="false">-IF(AND(F$3&gt;=1,F$3&lt;=Inputs!$B$8),Inputs!$B$6/Inputs!$B$8,0)</f>
        <v>-14800000</v>
      </c>
      <c r="G8" s="0" t="n">
        <f aca="false">-IF(AND(G$3&gt;=1,G$3&lt;=Inputs!$B$8),Inputs!$B$6/Inputs!$B$8,0)</f>
        <v>-14800000</v>
      </c>
      <c r="H8" s="0" t="n">
        <f aca="false">-IF(AND(H$3&gt;=1,H$3&lt;=Inputs!$B$8),Inputs!$B$6/Inputs!$B$8,0)</f>
        <v>-14800000</v>
      </c>
      <c r="I8" s="0" t="n">
        <f aca="false">-IF(AND(I$3&gt;=1,I$3&lt;=Inputs!$B$8),Inputs!$B$6/Inputs!$B$8,0)</f>
        <v>-14800000</v>
      </c>
      <c r="J8" s="0" t="n">
        <f aca="false">-IF(AND(J$3&gt;=1,J$3&lt;=Inputs!$B$8),Inputs!$B$6/Inputs!$B$8,0)</f>
        <v>-14800000</v>
      </c>
      <c r="K8" s="0" t="n">
        <f aca="false">-IF(AND(K$3&gt;=1,K$3&lt;=Inputs!$B$8),Inputs!$B$6/Inputs!$B$8,0)</f>
        <v>-14800000</v>
      </c>
      <c r="L8" s="0" t="n">
        <f aca="false">-IF(AND(L$3&gt;=1,L$3&lt;=Inputs!$B$8),Inputs!$B$6/Inputs!$B$8,0)</f>
        <v>-14800000</v>
      </c>
      <c r="M8" s="0" t="n">
        <f aca="false">-IF(AND(M$3&gt;=1,M$3&lt;=Inputs!$B$8),Inputs!$B$6/Inputs!$B$8,0)</f>
        <v>-0</v>
      </c>
    </row>
    <row r="9" customFormat="false" ht="15" hidden="false" customHeight="false" outlineLevel="0" collapsed="false">
      <c r="A9" s="0" t="s">
        <v>16</v>
      </c>
      <c r="B9" s="0" t="n">
        <f aca="false">IF(B$3=0,-Inputs!$B$7,0)</f>
        <v>-62000000</v>
      </c>
      <c r="C9" s="0" t="n">
        <f aca="false">IF(C$3=0,-Inputs!$B$7,0)</f>
        <v>0</v>
      </c>
      <c r="D9" s="0" t="n">
        <f aca="false">IF(D$3=0,-Inputs!$B$7,0)</f>
        <v>0</v>
      </c>
      <c r="E9" s="0" t="n">
        <f aca="false">IF(E$3=0,-Inputs!$B$7,0)</f>
        <v>0</v>
      </c>
      <c r="F9" s="0" t="n">
        <f aca="false">IF(F$3=0,-Inputs!$B$7,0)</f>
        <v>0</v>
      </c>
      <c r="G9" s="0" t="n">
        <f aca="false">IF(G$3=0,-Inputs!$B$7,0)</f>
        <v>0</v>
      </c>
      <c r="H9" s="0" t="n">
        <f aca="false">IF(H$3=0,-Inputs!$B$7,0)</f>
        <v>0</v>
      </c>
      <c r="I9" s="0" t="n">
        <f aca="false">IF(I$3=0,-Inputs!$B$7,0)</f>
        <v>0</v>
      </c>
      <c r="J9" s="0" t="n">
        <f aca="false">IF(J$3=0,-Inputs!$B$7,0)</f>
        <v>0</v>
      </c>
      <c r="K9" s="0" t="n">
        <f aca="false">IF(K$3=0,-Inputs!$B$7,0)</f>
        <v>0</v>
      </c>
      <c r="L9" s="0" t="n">
        <f aca="false">IF(L$3=0,-Inputs!$B$7,0)</f>
        <v>0</v>
      </c>
      <c r="M9" s="0" t="n">
        <f aca="false">IF(M$3=0,-Inputs!$B$7,0)</f>
        <v>0</v>
      </c>
    </row>
    <row r="10" customFormat="false" ht="15" hidden="false" customHeight="false" outlineLevel="0" collapsed="false">
      <c r="A10" s="0" t="s">
        <v>17</v>
      </c>
      <c r="B10" s="0" t="n">
        <f aca="false">SUM(B6:B9)</f>
        <v>-44290000</v>
      </c>
      <c r="C10" s="0" t="n">
        <f aca="false">SUM(C6:C9)</f>
        <v>-14800000</v>
      </c>
      <c r="D10" s="0" t="n">
        <f aca="false">SUM(D6:D9)</f>
        <v>2910000</v>
      </c>
      <c r="E10" s="0" t="n">
        <f aca="false">SUM(E6:E9)</f>
        <v>-14800000</v>
      </c>
      <c r="F10" s="0" t="n">
        <f aca="false">SUM(F6:F9)</f>
        <v>20620000</v>
      </c>
      <c r="G10" s="0" t="n">
        <f aca="false">SUM(G6:G9)</f>
        <v>-14800000</v>
      </c>
      <c r="H10" s="0" t="n">
        <f aca="false">SUM(H6:H9)</f>
        <v>20620000</v>
      </c>
      <c r="I10" s="0" t="n">
        <f aca="false">SUM(I6:I9)</f>
        <v>-14800000</v>
      </c>
      <c r="J10" s="0" t="n">
        <f aca="false">SUM(J6:J9)</f>
        <v>20620000</v>
      </c>
      <c r="K10" s="0" t="n">
        <f aca="false">SUM(K6:K9)</f>
        <v>-14800000</v>
      </c>
      <c r="L10" s="0" t="n">
        <f aca="false">SUM(L6:L9)</f>
        <v>11765000</v>
      </c>
      <c r="M10" s="0" t="n">
        <f aca="false">SUM(M6:M9)</f>
        <v>84755000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18</v>
      </c>
      <c r="B3" s="2" t="n">
        <f aca="false">(1+IRR(Quarterly!B10:M10))^4-1</f>
        <v>0.238888044159966</v>
      </c>
    </row>
    <row r="4" customFormat="false" ht="15" hidden="false" customHeight="false" outlineLevel="0" collapsed="false">
      <c r="A4" s="0" t="s">
        <v>19</v>
      </c>
      <c r="B4" s="1" t="n">
        <f aca="false">SUM(Quarterly!B10:M10)</f>
        <v>43000000</v>
      </c>
    </row>
    <row r="5" customFormat="false" ht="15" hidden="false" customHeight="false" outlineLevel="0" collapsed="false">
      <c r="A5" s="0" t="s">
        <v>20</v>
      </c>
      <c r="B5" s="1" t="n">
        <f aca="false">SUM(Quarterly!B6:M7)</f>
        <v>253000000</v>
      </c>
    </row>
    <row r="6" customFormat="false" ht="15" hidden="false" customHeight="false" outlineLevel="0" collapsed="false">
      <c r="A6" s="0" t="s">
        <v>21</v>
      </c>
      <c r="B6" s="1" t="n">
        <f aca="false">-SUM(Quarterly!B8:M9)</f>
        <v>210000000</v>
      </c>
    </row>
    <row r="7" customFormat="false" ht="15" hidden="false" customHeight="false" outlineLevel="0" collapsed="false">
      <c r="A7" s="0" t="s">
        <v>22</v>
      </c>
      <c r="B7" s="2" t="n">
        <f aca="false">B4/B6</f>
        <v>0.204761904761905</v>
      </c>
    </row>
    <row r="8" customFormat="false" ht="15" hidden="false" customHeight="false" outlineLevel="0" collapsed="false">
      <c r="A8" s="0" t="s">
        <v>23</v>
      </c>
      <c r="B8" s="1" t="n">
        <f aca="false">-MIN(Quarterly!B10:M10)</f>
        <v>44290000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2026-10-17T06:30:11Z</dcterms:created>
  <dc:creator>openpyxl</dc:creator>
  <dc:description/>
  <dc:language>en-US</dc:language>
  <cp:lastModifiedBy/>
  <dcterms:modified xsi:type="dcterms:W3CDTF">2026-10-17T06:30:11Z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