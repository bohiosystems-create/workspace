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C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<sst xmlns="http://schemas.openxmlformats.org/spreadsheetml/2006/main" count="42" uniqueCount="41">
  <si>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BRANCH INVESTMENT | SUMMARY</t>
  </si>
  <si>
    <t xml:space="preserve">Tenant</t>
  </si>
  <si>
    <t xml:space="preserve">High-street bank (25-year lease, 17 years unexpired)</t>
  </si>
  <si>
    <t xml:space="preserve">Net initial yield</t>
  </si>
  <si>
    <t xml:space="preserve">Reversionary yield</t>
  </si>
  <si>
    <t xml:space="preserve">Property IRR</t>
  </si>
  <si>
    <t xml:space="preserve">Equity IRR</t>
  </si>
  <si>
    <t xml:space="preserve">Equity multiple</t>
  </si>
  <si>
    <t xml:space="preserve">Profit on equity</t>
  </si>
  <si>
    <t xml:space="preserve">INPUTS (GBP)</t>
  </si>
  <si>
    <t xml:space="preserve">Valuation date</t>
  </si>
  <si>
    <t xml:space="preserve">Purchase price</t>
  </si>
  <si>
    <t xml:space="preserve">SDLT and fees (% of price)</t>
  </si>
  <si>
    <t xml:space="preserve">Passing rent (a year)</t>
  </si>
  <si>
    <t xml:space="preserve">Quarters to the next review</t>
  </si>
  <si>
    <t xml:space="preserve">Review cycle (quarters)</t>
  </si>
  <si>
    <t xml:space="preserve">CPI assumption a year</t>
  </si>
  <si>
    <t xml:space="preserve">Review collar floor a year</t>
  </si>
  <si>
    <t xml:space="preserve">Review collar cap a year</t>
  </si>
  <si>
    <t xml:space="preserve">Exit quarter</t>
  </si>
  <si>
    <t xml:space="preserve">Exit yield</t>
  </si>
  <si>
    <t xml:space="preserve">Purchaser costs at exit</t>
  </si>
  <si>
    <t xml:space="preserve">Loan to value</t>
  </si>
  <si>
    <t xml:space="preserve">Swap rate</t>
  </si>
  <si>
    <t xml:space="preserve">Margin</t>
  </si>
  <si>
    <t xml:space="preserve">Arrangement fee</t>
  </si>
  <si>
    <t xml:space="preserve">Loan</t>
  </si>
  <si>
    <t xml:space="preserve">All-in rate</t>
  </si>
  <si>
    <t xml:space="preserve">Review uplift (each review)</t>
  </si>
  <si>
    <t xml:space="preserve">Quarter</t>
  </si>
  <si>
    <t xml:space="preserve">Quarter date</t>
  </si>
  <si>
    <t xml:space="preserve">Reviews passed</t>
  </si>
  <si>
    <t xml:space="preserve">Rent (a year)</t>
  </si>
  <si>
    <t xml:space="preserve">Rent received</t>
  </si>
  <si>
    <t xml:space="preserve">Purchase</t>
  </si>
  <si>
    <t xml:space="preserve">Exit value</t>
  </si>
  <si>
    <t xml:space="preserve">Loan drawn</t>
  </si>
  <si>
    <t xml:space="preserve">Interest</t>
  </si>
  <si>
    <t xml:space="preserve">Loan repaid</t>
  </si>
  <si>
    <t xml:space="preserve">Property cash flow</t>
  </si>
  <si>
    <t xml:space="preserve">Equity cash flow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</si>
</sst>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\x"/>
    <numFmt numFmtId="167" formatCode="#,##0"/>
    <numFmt numFmtId="168" formatCode="dd\-mmm\-yy"/>
    <numFmt numFmtId="169" formatCode="0"/>
    <numFmt numFmtId="170" formatCode="#,##0;\(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</row>
    <row r="5" customFormat="false" ht="15" hidden="false" customHeight="false" outlineLevel="0" collapsed="false">
      <c r="A5" s="0" t="s">
        <v>3</v>
      </c>
      <c r="B5" s="1" t="n">
        <f aca="false">Inputs!B6/(Inputs!B4*(1+Inputs!B5))</f>
        <v>0.0601382418318565</v>
      </c>
    </row>
    <row r="6" customFormat="false" ht="15" hidden="false" customHeight="false" outlineLevel="0" collapsed="false">
      <c r="A6" s="0" t="s">
        <v>4</v>
      </c>
      <c r="B6" s="1" t="n">
        <f aca="false">CF!D6*(1+Inputs!B23)/(Inputs!B4*(1+Inputs!B5))</f>
        <v>0.068040900717365</v>
      </c>
    </row>
    <row r="8" customFormat="false" ht="15" hidden="false" customHeight="false" outlineLevel="0" collapsed="false">
      <c r="A8" s="0" t="s">
        <v>5</v>
      </c>
      <c r="B8" s="1" t="n">
        <f aca="false">XIRR(CF!C17:BK17,CF!C4:BK4)</f>
        <v>0.08268438006896</v>
      </c>
    </row>
    <row r="9" customFormat="false" ht="15" hidden="false" customHeight="false" outlineLevel="0" collapsed="false">
      <c r="A9" s="0" t="s">
        <v>6</v>
      </c>
      <c r="B9" s="1" t="n">
        <f aca="false">XIRR(CF!C18:BK18,CF!C4:BK4)</f>
        <v>0.0987390530396509</v>
      </c>
    </row>
    <row r="10" customFormat="false" ht="15" hidden="false" customHeight="false" outlineLevel="0" collapsed="false">
      <c r="A10" s="0" t="s">
        <v>7</v>
      </c>
      <c r="B10" s="2" t="n">
        <f aca="false">SUMIF(CF!C18:BK18,"&gt;0")/-SUMIF(CF!C18:BK18,"&lt;0")</f>
        <v>2.08835403392681</v>
      </c>
    </row>
    <row r="11" customFormat="false" ht="15" hidden="false" customHeight="false" outlineLevel="0" collapsed="false">
      <c r="A11" s="0" t="s">
        <v>8</v>
      </c>
      <c r="B11" s="3" t="n">
        <f aca="false">SUM(CF!C18:BK18)</f>
        <v>3727830.23700611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9</v>
      </c>
    </row>
    <row r="3" customFormat="false" ht="15" hidden="false" customHeight="false" outlineLevel="0" collapsed="false">
      <c r="A3" s="0" t="s">
        <v>10</v>
      </c>
      <c r="B3" s="4" t="n">
        <v>46381</v>
      </c>
    </row>
    <row r="4" customFormat="false" ht="15" hidden="false" customHeight="false" outlineLevel="0" collapsed="false">
      <c r="A4" s="0" t="s">
        <v>11</v>
      </c>
      <c r="B4" s="3" t="n">
        <v>6150000</v>
      </c>
    </row>
    <row r="5" customFormat="false" ht="15" hidden="false" customHeight="false" outlineLevel="0" collapsed="false">
      <c r="A5" s="0" t="s">
        <v>12</v>
      </c>
      <c r="B5" s="1" t="n">
        <v>0.068</v>
      </c>
    </row>
    <row r="6" customFormat="false" ht="15" hidden="false" customHeight="false" outlineLevel="0" collapsed="false">
      <c r="A6" s="0" t="s">
        <v>13</v>
      </c>
      <c r="B6" s="3" t="n">
        <v>395000</v>
      </c>
    </row>
    <row r="7" customFormat="false" ht="15" hidden="false" customHeight="false" outlineLevel="0" collapsed="false">
      <c r="A7" s="0" t="s">
        <v>14</v>
      </c>
      <c r="B7" s="5" t="n">
        <v>6</v>
      </c>
    </row>
    <row r="8" customFormat="false" ht="15" hidden="false" customHeight="false" outlineLevel="0" collapsed="false">
      <c r="A8" s="0" t="s">
        <v>15</v>
      </c>
      <c r="B8" s="5" t="n">
        <v>20</v>
      </c>
    </row>
    <row r="9" customFormat="false" ht="15" hidden="false" customHeight="false" outlineLevel="0" collapsed="false">
      <c r="A9" s="0" t="s">
        <v>16</v>
      </c>
      <c r="B9" s="1" t="n">
        <v>0.025</v>
      </c>
    </row>
    <row r="10" customFormat="false" ht="15" hidden="false" customHeight="false" outlineLevel="0" collapsed="false">
      <c r="A10" s="0" t="s">
        <v>17</v>
      </c>
      <c r="B10" s="1" t="n">
        <v>0.01</v>
      </c>
    </row>
    <row r="11" customFormat="false" ht="15" hidden="false" customHeight="false" outlineLevel="0" collapsed="false">
      <c r="A11" s="0" t="s">
        <v>18</v>
      </c>
      <c r="B11" s="1" t="n">
        <v>0.03</v>
      </c>
    </row>
    <row r="12" customFormat="false" ht="15" hidden="false" customHeight="false" outlineLevel="0" collapsed="false">
      <c r="A12" s="0" t="s">
        <v>19</v>
      </c>
      <c r="B12" s="5" t="n">
        <v>40</v>
      </c>
    </row>
    <row r="13" customFormat="false" ht="15" hidden="false" customHeight="false" outlineLevel="0" collapsed="false">
      <c r="A13" s="0" t="s">
        <v>20</v>
      </c>
      <c r="B13" s="1" t="n">
        <v>0.0625</v>
      </c>
    </row>
    <row r="14" customFormat="false" ht="15" hidden="false" customHeight="false" outlineLevel="0" collapsed="false">
      <c r="A14" s="0" t="s">
        <v>21</v>
      </c>
      <c r="B14" s="1" t="n">
        <v>0.068</v>
      </c>
    </row>
    <row r="16" customFormat="false" ht="15" hidden="false" customHeight="false" outlineLevel="0" collapsed="false">
      <c r="A16" s="0" t="s">
        <v>22</v>
      </c>
      <c r="B16" s="1" t="n">
        <v>0.5</v>
      </c>
    </row>
    <row r="17" customFormat="false" ht="15" hidden="false" customHeight="false" outlineLevel="0" collapsed="false">
      <c r="A17" s="0" t="s">
        <v>23</v>
      </c>
      <c r="B17" s="1" t="n">
        <v>0.0385</v>
      </c>
    </row>
    <row r="18" customFormat="false" ht="15" hidden="false" customHeight="false" outlineLevel="0" collapsed="false">
      <c r="A18" s="0" t="s">
        <v>24</v>
      </c>
      <c r="B18" s="1" t="n">
        <v>0.0215</v>
      </c>
    </row>
    <row r="19" customFormat="false" ht="15" hidden="false" customHeight="false" outlineLevel="0" collapsed="false">
      <c r="A19" s="0" t="s">
        <v>25</v>
      </c>
      <c r="B19" s="1" t="n">
        <v>0.01</v>
      </c>
    </row>
    <row r="21" customFormat="false" ht="15" hidden="false" customHeight="false" outlineLevel="0" collapsed="false">
      <c r="A21" s="0" t="s">
        <v>26</v>
      </c>
      <c r="B21" s="3" t="n">
        <f aca="false">B4*B16</f>
        <v>3075000</v>
      </c>
    </row>
    <row r="22" customFormat="false" ht="15" hidden="false" customHeight="false" outlineLevel="0" collapsed="false">
      <c r="A22" s="0" t="s">
        <v>27</v>
      </c>
      <c r="B22" s="1" t="n">
        <f aca="false">B17+B18</f>
        <v>0.06</v>
      </c>
    </row>
    <row r="23" customFormat="false" ht="15" hidden="false" customHeight="false" outlineLevel="0" collapsed="false">
      <c r="A23" s="0" t="s">
        <v>28</v>
      </c>
      <c r="B23" s="1" t="n">
        <f aca="false">MAX((1+B10)^(B8/4),MIN((1+B11)^(B8/4),(1+B9)^(B8/4)))-1</f>
        <v>0.131408212890624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29</v>
      </c>
      <c r="C3" s="0" t="n">
        <v>0</v>
      </c>
      <c r="D3" s="0" t="n">
        <v>1</v>
      </c>
      <c r="E3" s="0" t="n">
        <v>2</v>
      </c>
      <c r="F3" s="0" t="n">
        <v>3</v>
      </c>
      <c r="G3" s="0" t="n">
        <v>4</v>
      </c>
      <c r="H3" s="0" t="n">
        <v>5</v>
      </c>
      <c r="I3" s="0" t="n">
        <v>6</v>
      </c>
      <c r="J3" s="0" t="n">
        <v>7</v>
      </c>
      <c r="K3" s="0" t="n">
        <v>8</v>
      </c>
      <c r="L3" s="0" t="n">
        <v>9</v>
      </c>
      <c r="M3" s="0" t="n">
        <v>10</v>
      </c>
      <c r="N3" s="0" t="n">
        <v>11</v>
      </c>
      <c r="O3" s="0" t="n">
        <v>12</v>
      </c>
      <c r="P3" s="0" t="n">
        <v>13</v>
      </c>
      <c r="Q3" s="0" t="n">
        <v>14</v>
      </c>
      <c r="R3" s="0" t="n">
        <v>15</v>
      </c>
      <c r="S3" s="0" t="n">
        <v>16</v>
      </c>
      <c r="T3" s="0" t="n">
        <v>17</v>
      </c>
      <c r="U3" s="0" t="n">
        <v>18</v>
      </c>
      <c r="V3" s="0" t="n">
        <v>19</v>
      </c>
      <c r="W3" s="0" t="n">
        <v>20</v>
      </c>
      <c r="X3" s="0" t="n">
        <v>21</v>
      </c>
      <c r="Y3" s="0" t="n">
        <v>22</v>
      </c>
      <c r="Z3" s="0" t="n">
        <v>23</v>
      </c>
      <c r="AA3" s="0" t="n">
        <v>24</v>
      </c>
      <c r="AB3" s="0" t="n">
        <v>25</v>
      </c>
      <c r="AC3" s="0" t="n">
        <v>26</v>
      </c>
      <c r="AD3" s="0" t="n">
        <v>27</v>
      </c>
      <c r="AE3" s="0" t="n">
        <v>28</v>
      </c>
      <c r="AF3" s="0" t="n">
        <v>29</v>
      </c>
      <c r="AG3" s="0" t="n">
        <v>30</v>
      </c>
      <c r="AH3" s="0" t="n">
        <v>31</v>
      </c>
      <c r="AI3" s="0" t="n">
        <v>32</v>
      </c>
      <c r="AJ3" s="0" t="n">
        <v>33</v>
      </c>
      <c r="AK3" s="0" t="n">
        <v>34</v>
      </c>
      <c r="AL3" s="0" t="n">
        <v>35</v>
      </c>
      <c r="AM3" s="0" t="n">
        <v>36</v>
      </c>
      <c r="AN3" s="0" t="n">
        <v>37</v>
      </c>
      <c r="AO3" s="0" t="n">
        <v>38</v>
      </c>
      <c r="AP3" s="0" t="n">
        <v>39</v>
      </c>
      <c r="AQ3" s="0" t="n">
        <v>40</v>
      </c>
      <c r="AR3" s="0" t="n">
        <v>41</v>
      </c>
      <c r="AS3" s="0" t="n">
        <v>42</v>
      </c>
      <c r="AT3" s="0" t="n">
        <v>43</v>
      </c>
      <c r="AU3" s="0" t="n">
        <v>44</v>
      </c>
      <c r="AV3" s="0" t="n">
        <v>45</v>
      </c>
      <c r="AW3" s="0" t="n">
        <v>46</v>
      </c>
      <c r="AX3" s="0" t="n">
        <v>47</v>
      </c>
      <c r="AY3" s="0" t="n">
        <v>48</v>
      </c>
      <c r="AZ3" s="0" t="n">
        <v>49</v>
      </c>
      <c r="BA3" s="0" t="n">
        <v>50</v>
      </c>
      <c r="BB3" s="0" t="n">
        <v>51</v>
      </c>
      <c r="BC3" s="0" t="n">
        <v>52</v>
      </c>
      <c r="BD3" s="0" t="n">
        <v>53</v>
      </c>
      <c r="BE3" s="0" t="n">
        <v>54</v>
      </c>
      <c r="BF3" s="0" t="n">
        <v>55</v>
      </c>
      <c r="BG3" s="0" t="n">
        <v>56</v>
      </c>
      <c r="BH3" s="0" t="n">
        <v>57</v>
      </c>
      <c r="BI3" s="0" t="n">
        <v>58</v>
      </c>
      <c r="BJ3" s="0" t="n">
        <v>59</v>
      </c>
      <c r="BK3" s="0" t="n">
        <v>60</v>
      </c>
    </row>
    <row r="4" customFormat="false" ht="15" hidden="false" customHeight="false" outlineLevel="0" collapsed="false">
      <c r="A4" s="0" t="s">
        <v>30</v>
      </c>
      <c r="C4" s="4" t="n">
        <f aca="false">EDATE(Inputs!$B$3,3*C3)</f>
        <v>46381</v>
      </c>
      <c r="D4" s="4" t="n">
        <f aca="false">EDATE(Inputs!$B$3,3*D3)</f>
        <v>46471</v>
      </c>
      <c r="E4" s="4" t="n">
        <f aca="false">EDATE(Inputs!$B$3,3*E3)</f>
        <v>46563</v>
      </c>
      <c r="F4" s="4" t="n">
        <f aca="false">EDATE(Inputs!$B$3,3*F3)</f>
        <v>46655</v>
      </c>
      <c r="G4" s="4" t="n">
        <f aca="false">EDATE(Inputs!$B$3,3*G3)</f>
        <v>46746</v>
      </c>
      <c r="H4" s="4" t="n">
        <f aca="false">EDATE(Inputs!$B$3,3*H3)</f>
        <v>46837</v>
      </c>
      <c r="I4" s="4" t="n">
        <f aca="false">EDATE(Inputs!$B$3,3*I3)</f>
        <v>46929</v>
      </c>
      <c r="J4" s="4" t="n">
        <f aca="false">EDATE(Inputs!$B$3,3*J3)</f>
        <v>47021</v>
      </c>
      <c r="K4" s="4" t="n">
        <f aca="false">EDATE(Inputs!$B$3,3*K3)</f>
        <v>47112</v>
      </c>
      <c r="L4" s="4" t="n">
        <f aca="false">EDATE(Inputs!$B$3,3*L3)</f>
        <v>47202</v>
      </c>
      <c r="M4" s="4" t="n">
        <f aca="false">EDATE(Inputs!$B$3,3*M3)</f>
        <v>47294</v>
      </c>
      <c r="N4" s="4" t="n">
        <f aca="false">EDATE(Inputs!$B$3,3*N3)</f>
        <v>47386</v>
      </c>
      <c r="O4" s="4" t="n">
        <f aca="false">EDATE(Inputs!$B$3,3*O3)</f>
        <v>47477</v>
      </c>
      <c r="P4" s="4" t="n">
        <f aca="false">EDATE(Inputs!$B$3,3*P3)</f>
        <v>47567</v>
      </c>
      <c r="Q4" s="4" t="n">
        <f aca="false">EDATE(Inputs!$B$3,3*Q3)</f>
        <v>47659</v>
      </c>
      <c r="R4" s="4" t="n">
        <f aca="false">EDATE(Inputs!$B$3,3*R3)</f>
        <v>47751</v>
      </c>
      <c r="S4" s="4" t="n">
        <f aca="false">EDATE(Inputs!$B$3,3*S3)</f>
        <v>47842</v>
      </c>
      <c r="T4" s="4" t="n">
        <f aca="false">EDATE(Inputs!$B$3,3*T3)</f>
        <v>47932</v>
      </c>
      <c r="U4" s="4" t="n">
        <f aca="false">EDATE(Inputs!$B$3,3*U3)</f>
        <v>48024</v>
      </c>
      <c r="V4" s="4" t="n">
        <f aca="false">EDATE(Inputs!$B$3,3*V3)</f>
        <v>48116</v>
      </c>
      <c r="W4" s="4" t="n">
        <f aca="false">EDATE(Inputs!$B$3,3*W3)</f>
        <v>48207</v>
      </c>
      <c r="X4" s="4" t="n">
        <f aca="false">EDATE(Inputs!$B$3,3*X3)</f>
        <v>48298</v>
      </c>
      <c r="Y4" s="4" t="n">
        <f aca="false">EDATE(Inputs!$B$3,3*Y3)</f>
        <v>48390</v>
      </c>
      <c r="Z4" s="4" t="n">
        <f aca="false">EDATE(Inputs!$B$3,3*Z3)</f>
        <v>48482</v>
      </c>
      <c r="AA4" s="4" t="n">
        <f aca="false">EDATE(Inputs!$B$3,3*AA3)</f>
        <v>48573</v>
      </c>
      <c r="AB4" s="4" t="n">
        <f aca="false">EDATE(Inputs!$B$3,3*AB3)</f>
        <v>48663</v>
      </c>
      <c r="AC4" s="4" t="n">
        <f aca="false">EDATE(Inputs!$B$3,3*AC3)</f>
        <v>48755</v>
      </c>
      <c r="AD4" s="4" t="n">
        <f aca="false">EDATE(Inputs!$B$3,3*AD3)</f>
        <v>48847</v>
      </c>
      <c r="AE4" s="4" t="n">
        <f aca="false">EDATE(Inputs!$B$3,3*AE3)</f>
        <v>48938</v>
      </c>
      <c r="AF4" s="4" t="n">
        <f aca="false">EDATE(Inputs!$B$3,3*AF3)</f>
        <v>49028</v>
      </c>
      <c r="AG4" s="4" t="n">
        <f aca="false">EDATE(Inputs!$B$3,3*AG3)</f>
        <v>49120</v>
      </c>
      <c r="AH4" s="4" t="n">
        <f aca="false">EDATE(Inputs!$B$3,3*AH3)</f>
        <v>49212</v>
      </c>
      <c r="AI4" s="4" t="n">
        <f aca="false">EDATE(Inputs!$B$3,3*AI3)</f>
        <v>49303</v>
      </c>
      <c r="AJ4" s="4" t="n">
        <f aca="false">EDATE(Inputs!$B$3,3*AJ3)</f>
        <v>49393</v>
      </c>
      <c r="AK4" s="4" t="n">
        <f aca="false">EDATE(Inputs!$B$3,3*AK3)</f>
        <v>49485</v>
      </c>
      <c r="AL4" s="4" t="n">
        <f aca="false">EDATE(Inputs!$B$3,3*AL3)</f>
        <v>49577</v>
      </c>
      <c r="AM4" s="4" t="n">
        <f aca="false">EDATE(Inputs!$B$3,3*AM3)</f>
        <v>49668</v>
      </c>
      <c r="AN4" s="4" t="n">
        <f aca="false">EDATE(Inputs!$B$3,3*AN3)</f>
        <v>49759</v>
      </c>
      <c r="AO4" s="4" t="n">
        <f aca="false">EDATE(Inputs!$B$3,3*AO3)</f>
        <v>49851</v>
      </c>
      <c r="AP4" s="4" t="n">
        <f aca="false">EDATE(Inputs!$B$3,3*AP3)</f>
        <v>49943</v>
      </c>
      <c r="AQ4" s="4" t="n">
        <f aca="false">EDATE(Inputs!$B$3,3*AQ3)</f>
        <v>50034</v>
      </c>
      <c r="AR4" s="4" t="n">
        <f aca="false">EDATE(Inputs!$B$3,3*AR3)</f>
        <v>50124</v>
      </c>
      <c r="AS4" s="4" t="n">
        <f aca="false">EDATE(Inputs!$B$3,3*AS3)</f>
        <v>50216</v>
      </c>
      <c r="AT4" s="4" t="n">
        <f aca="false">EDATE(Inputs!$B$3,3*AT3)</f>
        <v>50308</v>
      </c>
      <c r="AU4" s="4" t="n">
        <f aca="false">EDATE(Inputs!$B$3,3*AU3)</f>
        <v>50399</v>
      </c>
      <c r="AV4" s="4" t="n">
        <f aca="false">EDATE(Inputs!$B$3,3*AV3)</f>
        <v>50489</v>
      </c>
      <c r="AW4" s="4" t="n">
        <f aca="false">EDATE(Inputs!$B$3,3*AW3)</f>
        <v>50581</v>
      </c>
      <c r="AX4" s="4" t="n">
        <f aca="false">EDATE(Inputs!$B$3,3*AX3)</f>
        <v>50673</v>
      </c>
      <c r="AY4" s="4" t="n">
        <f aca="false">EDATE(Inputs!$B$3,3*AY3)</f>
        <v>50764</v>
      </c>
      <c r="AZ4" s="4" t="n">
        <f aca="false">EDATE(Inputs!$B$3,3*AZ3)</f>
        <v>50854</v>
      </c>
      <c r="BA4" s="4" t="n">
        <f aca="false">EDATE(Inputs!$B$3,3*BA3)</f>
        <v>50946</v>
      </c>
      <c r="BB4" s="4" t="n">
        <f aca="false">EDATE(Inputs!$B$3,3*BB3)</f>
        <v>51038</v>
      </c>
      <c r="BC4" s="4" t="n">
        <f aca="false">EDATE(Inputs!$B$3,3*BC3)</f>
        <v>51129</v>
      </c>
      <c r="BD4" s="4" t="n">
        <f aca="false">EDATE(Inputs!$B$3,3*BD3)</f>
        <v>51220</v>
      </c>
      <c r="BE4" s="4" t="n">
        <f aca="false">EDATE(Inputs!$B$3,3*BE3)</f>
        <v>51312</v>
      </c>
      <c r="BF4" s="4" t="n">
        <f aca="false">EDATE(Inputs!$B$3,3*BF3)</f>
        <v>51404</v>
      </c>
      <c r="BG4" s="4" t="n">
        <f aca="false">EDATE(Inputs!$B$3,3*BG3)</f>
        <v>51495</v>
      </c>
      <c r="BH4" s="4" t="n">
        <f aca="false">EDATE(Inputs!$B$3,3*BH3)</f>
        <v>51585</v>
      </c>
      <c r="BI4" s="4" t="n">
        <f aca="false">EDATE(Inputs!$B$3,3*BI3)</f>
        <v>51677</v>
      </c>
      <c r="BJ4" s="4" t="n">
        <f aca="false">EDATE(Inputs!$B$3,3*BJ3)</f>
        <v>51769</v>
      </c>
      <c r="BK4" s="4" t="n">
        <f aca="false">EDATE(Inputs!$B$3,3*BK3)</f>
        <v>51860</v>
      </c>
    </row>
    <row r="5" customFormat="false" ht="15" hidden="false" customHeight="false" outlineLevel="0" collapsed="false">
      <c r="A5" s="0" t="s">
        <v>31</v>
      </c>
      <c r="C5" s="0" t="n">
        <f aca="false">IF(C3&lt;Inputs!$B$7,0,INT((C3-Inputs!$B$7)/Inputs!$B$8)+1)</f>
        <v>0</v>
      </c>
      <c r="D5" s="0" t="n">
        <f aca="false">IF(D3&lt;Inputs!$B$7,0,INT((D3-Inputs!$B$7)/Inputs!$B$8)+1)</f>
        <v>0</v>
      </c>
      <c r="E5" s="0" t="n">
        <f aca="false">IF(E3&lt;Inputs!$B$7,0,INT((E3-Inputs!$B$7)/Inputs!$B$8)+1)</f>
        <v>0</v>
      </c>
      <c r="F5" s="0" t="n">
        <f aca="false">IF(F3&lt;Inputs!$B$7,0,INT((F3-Inputs!$B$7)/Inputs!$B$8)+1)</f>
        <v>0</v>
      </c>
      <c r="G5" s="0" t="n">
        <f aca="false">IF(G3&lt;Inputs!$B$7,0,INT((G3-Inputs!$B$7)/Inputs!$B$8)+1)</f>
        <v>0</v>
      </c>
      <c r="H5" s="0" t="n">
        <f aca="false">IF(H3&lt;Inputs!$B$7,0,INT((H3-Inputs!$B$7)/Inputs!$B$8)+1)</f>
        <v>0</v>
      </c>
      <c r="I5" s="0" t="n">
        <f aca="false">IF(I3&lt;Inputs!$B$7,0,INT((I3-Inputs!$B$7)/Inputs!$B$8)+1)</f>
        <v>1</v>
      </c>
      <c r="J5" s="0" t="n">
        <f aca="false">IF(J3&lt;Inputs!$B$7,0,INT((J3-Inputs!$B$7)/Inputs!$B$8)+1)</f>
        <v>1</v>
      </c>
      <c r="K5" s="0" t="n">
        <f aca="false">IF(K3&lt;Inputs!$B$7,0,INT((K3-Inputs!$B$7)/Inputs!$B$8)+1)</f>
        <v>1</v>
      </c>
      <c r="L5" s="0" t="n">
        <f aca="false">IF(L3&lt;Inputs!$B$7,0,INT((L3-Inputs!$B$7)/Inputs!$B$8)+1)</f>
        <v>1</v>
      </c>
      <c r="M5" s="0" t="n">
        <f aca="false">IF(M3&lt;Inputs!$B$7,0,INT((M3-Inputs!$B$7)/Inputs!$B$8)+1)</f>
        <v>1</v>
      </c>
      <c r="N5" s="0" t="n">
        <f aca="false">IF(N3&lt;Inputs!$B$7,0,INT((N3-Inputs!$B$7)/Inputs!$B$8)+1)</f>
        <v>1</v>
      </c>
      <c r="O5" s="0" t="n">
        <f aca="false">IF(O3&lt;Inputs!$B$7,0,INT((O3-Inputs!$B$7)/Inputs!$B$8)+1)</f>
        <v>1</v>
      </c>
      <c r="P5" s="0" t="n">
        <f aca="false">IF(P3&lt;Inputs!$B$7,0,INT((P3-Inputs!$B$7)/Inputs!$B$8)+1)</f>
        <v>1</v>
      </c>
      <c r="Q5" s="0" t="n">
        <f aca="false">IF(Q3&lt;Inputs!$B$7,0,INT((Q3-Inputs!$B$7)/Inputs!$B$8)+1)</f>
        <v>1</v>
      </c>
      <c r="R5" s="0" t="n">
        <f aca="false">IF(R3&lt;Inputs!$B$7,0,INT((R3-Inputs!$B$7)/Inputs!$B$8)+1)</f>
        <v>1</v>
      </c>
      <c r="S5" s="0" t="n">
        <f aca="false">IF(S3&lt;Inputs!$B$7,0,INT((S3-Inputs!$B$7)/Inputs!$B$8)+1)</f>
        <v>1</v>
      </c>
      <c r="T5" s="0" t="n">
        <f aca="false">IF(T3&lt;Inputs!$B$7,0,INT((T3-Inputs!$B$7)/Inputs!$B$8)+1)</f>
        <v>1</v>
      </c>
      <c r="U5" s="0" t="n">
        <f aca="false">IF(U3&lt;Inputs!$B$7,0,INT((U3-Inputs!$B$7)/Inputs!$B$8)+1)</f>
        <v>1</v>
      </c>
      <c r="V5" s="0" t="n">
        <f aca="false">IF(V3&lt;Inputs!$B$7,0,INT((V3-Inputs!$B$7)/Inputs!$B$8)+1)</f>
        <v>1</v>
      </c>
      <c r="W5" s="0" t="n">
        <f aca="false">IF(W3&lt;Inputs!$B$7,0,INT((W3-Inputs!$B$7)/Inputs!$B$8)+1)</f>
        <v>1</v>
      </c>
      <c r="X5" s="0" t="n">
        <f aca="false">IF(X3&lt;Inputs!$B$7,0,INT((X3-Inputs!$B$7)/Inputs!$B$8)+1)</f>
        <v>1</v>
      </c>
      <c r="Y5" s="0" t="n">
        <f aca="false">IF(Y3&lt;Inputs!$B$7,0,INT((Y3-Inputs!$B$7)/Inputs!$B$8)+1)</f>
        <v>1</v>
      </c>
      <c r="Z5" s="0" t="n">
        <f aca="false">IF(Z3&lt;Inputs!$B$7,0,INT((Z3-Inputs!$B$7)/Inputs!$B$8)+1)</f>
        <v>1</v>
      </c>
      <c r="AA5" s="0" t="n">
        <f aca="false">IF(AA3&lt;Inputs!$B$7,0,INT((AA3-Inputs!$B$7)/Inputs!$B$8)+1)</f>
        <v>1</v>
      </c>
      <c r="AB5" s="0" t="n">
        <f aca="false">IF(AB3&lt;Inputs!$B$7,0,INT((AB3-Inputs!$B$7)/Inputs!$B$8)+1)</f>
        <v>1</v>
      </c>
      <c r="AC5" s="0" t="n">
        <f aca="false">IF(AC3&lt;Inputs!$B$7,0,INT((AC3-Inputs!$B$7)/Inputs!$B$8)+1)</f>
        <v>2</v>
      </c>
      <c r="AD5" s="0" t="n">
        <f aca="false">IF(AD3&lt;Inputs!$B$7,0,INT((AD3-Inputs!$B$7)/Inputs!$B$8)+1)</f>
        <v>2</v>
      </c>
      <c r="AE5" s="0" t="n">
        <f aca="false">IF(AE3&lt;Inputs!$B$7,0,INT((AE3-Inputs!$B$7)/Inputs!$B$8)+1)</f>
        <v>2</v>
      </c>
      <c r="AF5" s="0" t="n">
        <f aca="false">IF(AF3&lt;Inputs!$B$7,0,INT((AF3-Inputs!$B$7)/Inputs!$B$8)+1)</f>
        <v>2</v>
      </c>
      <c r="AG5" s="0" t="n">
        <f aca="false">IF(AG3&lt;Inputs!$B$7,0,INT((AG3-Inputs!$B$7)/Inputs!$B$8)+1)</f>
        <v>2</v>
      </c>
      <c r="AH5" s="0" t="n">
        <f aca="false">IF(AH3&lt;Inputs!$B$7,0,INT((AH3-Inputs!$B$7)/Inputs!$B$8)+1)</f>
        <v>2</v>
      </c>
      <c r="AI5" s="0" t="n">
        <f aca="false">IF(AI3&lt;Inputs!$B$7,0,INT((AI3-Inputs!$B$7)/Inputs!$B$8)+1)</f>
        <v>2</v>
      </c>
      <c r="AJ5" s="0" t="n">
        <f aca="false">IF(AJ3&lt;Inputs!$B$7,0,INT((AJ3-Inputs!$B$7)/Inputs!$B$8)+1)</f>
        <v>2</v>
      </c>
      <c r="AK5" s="0" t="n">
        <f aca="false">IF(AK3&lt;Inputs!$B$7,0,INT((AK3-Inputs!$B$7)/Inputs!$B$8)+1)</f>
        <v>2</v>
      </c>
      <c r="AL5" s="0" t="n">
        <f aca="false">IF(AL3&lt;Inputs!$B$7,0,INT((AL3-Inputs!$B$7)/Inputs!$B$8)+1)</f>
        <v>2</v>
      </c>
      <c r="AM5" s="0" t="n">
        <f aca="false">IF(AM3&lt;Inputs!$B$7,0,INT((AM3-Inputs!$B$7)/Inputs!$B$8)+1)</f>
        <v>2</v>
      </c>
      <c r="AN5" s="0" t="n">
        <f aca="false">IF(AN3&lt;Inputs!$B$7,0,INT((AN3-Inputs!$B$7)/Inputs!$B$8)+1)</f>
        <v>2</v>
      </c>
      <c r="AO5" s="0" t="n">
        <f aca="false">IF(AO3&lt;Inputs!$B$7,0,INT((AO3-Inputs!$B$7)/Inputs!$B$8)+1)</f>
        <v>2</v>
      </c>
      <c r="AP5" s="0" t="n">
        <f aca="false">IF(AP3&lt;Inputs!$B$7,0,INT((AP3-Inputs!$B$7)/Inputs!$B$8)+1)</f>
        <v>2</v>
      </c>
      <c r="AQ5" s="0" t="n">
        <f aca="false">IF(AQ3&lt;Inputs!$B$7,0,INT((AQ3-Inputs!$B$7)/Inputs!$B$8)+1)</f>
        <v>2</v>
      </c>
      <c r="AR5" s="0" t="n">
        <f aca="false">IF(AR3&lt;Inputs!$B$7,0,INT((AR3-Inputs!$B$7)/Inputs!$B$8)+1)</f>
        <v>2</v>
      </c>
      <c r="AS5" s="0" t="n">
        <f aca="false">IF(AS3&lt;Inputs!$B$7,0,INT((AS3-Inputs!$B$7)/Inputs!$B$8)+1)</f>
        <v>2</v>
      </c>
      <c r="AT5" s="0" t="n">
        <f aca="false">IF(AT3&lt;Inputs!$B$7,0,INT((AT3-Inputs!$B$7)/Inputs!$B$8)+1)</f>
        <v>2</v>
      </c>
      <c r="AU5" s="0" t="n">
        <f aca="false">IF(AU3&lt;Inputs!$B$7,0,INT((AU3-Inputs!$B$7)/Inputs!$B$8)+1)</f>
        <v>2</v>
      </c>
      <c r="AV5" s="0" t="n">
        <f aca="false">IF(AV3&lt;Inputs!$B$7,0,INT((AV3-Inputs!$B$7)/Inputs!$B$8)+1)</f>
        <v>2</v>
      </c>
      <c r="AW5" s="0" t="n">
        <f aca="false">IF(AW3&lt;Inputs!$B$7,0,INT((AW3-Inputs!$B$7)/Inputs!$B$8)+1)</f>
        <v>3</v>
      </c>
      <c r="AX5" s="0" t="n">
        <f aca="false">IF(AX3&lt;Inputs!$B$7,0,INT((AX3-Inputs!$B$7)/Inputs!$B$8)+1)</f>
        <v>3</v>
      </c>
      <c r="AY5" s="0" t="n">
        <f aca="false">IF(AY3&lt;Inputs!$B$7,0,INT((AY3-Inputs!$B$7)/Inputs!$B$8)+1)</f>
        <v>3</v>
      </c>
      <c r="AZ5" s="0" t="n">
        <f aca="false">IF(AZ3&lt;Inputs!$B$7,0,INT((AZ3-Inputs!$B$7)/Inputs!$B$8)+1)</f>
        <v>3</v>
      </c>
      <c r="BA5" s="0" t="n">
        <f aca="false">IF(BA3&lt;Inputs!$B$7,0,INT((BA3-Inputs!$B$7)/Inputs!$B$8)+1)</f>
        <v>3</v>
      </c>
      <c r="BB5" s="0" t="n">
        <f aca="false">IF(BB3&lt;Inputs!$B$7,0,INT((BB3-Inputs!$B$7)/Inputs!$B$8)+1)</f>
        <v>3</v>
      </c>
      <c r="BC5" s="0" t="n">
        <f aca="false">IF(BC3&lt;Inputs!$B$7,0,INT((BC3-Inputs!$B$7)/Inputs!$B$8)+1)</f>
        <v>3</v>
      </c>
      <c r="BD5" s="0" t="n">
        <f aca="false">IF(BD3&lt;Inputs!$B$7,0,INT((BD3-Inputs!$B$7)/Inputs!$B$8)+1)</f>
        <v>3</v>
      </c>
      <c r="BE5" s="0" t="n">
        <f aca="false">IF(BE3&lt;Inputs!$B$7,0,INT((BE3-Inputs!$B$7)/Inputs!$B$8)+1)</f>
        <v>3</v>
      </c>
      <c r="BF5" s="0" t="n">
        <f aca="false">IF(BF3&lt;Inputs!$B$7,0,INT((BF3-Inputs!$B$7)/Inputs!$B$8)+1)</f>
        <v>3</v>
      </c>
      <c r="BG5" s="0" t="n">
        <f aca="false">IF(BG3&lt;Inputs!$B$7,0,INT((BG3-Inputs!$B$7)/Inputs!$B$8)+1)</f>
        <v>3</v>
      </c>
      <c r="BH5" s="0" t="n">
        <f aca="false">IF(BH3&lt;Inputs!$B$7,0,INT((BH3-Inputs!$B$7)/Inputs!$B$8)+1)</f>
        <v>3</v>
      </c>
      <c r="BI5" s="0" t="n">
        <f aca="false">IF(BI3&lt;Inputs!$B$7,0,INT((BI3-Inputs!$B$7)/Inputs!$B$8)+1)</f>
        <v>3</v>
      </c>
      <c r="BJ5" s="0" t="n">
        <f aca="false">IF(BJ3&lt;Inputs!$B$7,0,INT((BJ3-Inputs!$B$7)/Inputs!$B$8)+1)</f>
        <v>3</v>
      </c>
      <c r="BK5" s="0" t="n">
        <f aca="false">IF(BK3&lt;Inputs!$B$7,0,INT((BK3-Inputs!$B$7)/Inputs!$B$8)+1)</f>
        <v>3</v>
      </c>
    </row>
    <row r="6" customFormat="false" ht="15" hidden="false" customHeight="false" outlineLevel="0" collapsed="false">
      <c r="A6" s="0" t="s">
        <v>32</v>
      </c>
      <c r="C6" s="6" t="n">
        <f aca="false">Inputs!$B$6*(1+Inputs!$B$23)^C5</f>
        <v>395000</v>
      </c>
      <c r="D6" s="6" t="n">
        <f aca="false">Inputs!$B$6*(1+Inputs!$B$23)^D5</f>
        <v>395000</v>
      </c>
      <c r="E6" s="6" t="n">
        <f aca="false">Inputs!$B$6*(1+Inputs!$B$23)^E5</f>
        <v>395000</v>
      </c>
      <c r="F6" s="6" t="n">
        <f aca="false">Inputs!$B$6*(1+Inputs!$B$23)^F5</f>
        <v>395000</v>
      </c>
      <c r="G6" s="6" t="n">
        <f aca="false">Inputs!$B$6*(1+Inputs!$B$23)^G5</f>
        <v>395000</v>
      </c>
      <c r="H6" s="6" t="n">
        <f aca="false">Inputs!$B$6*(1+Inputs!$B$23)^H5</f>
        <v>395000</v>
      </c>
      <c r="I6" s="6" t="n">
        <f aca="false">Inputs!$B$6*(1+Inputs!$B$23)^I5</f>
        <v>446906.244091797</v>
      </c>
      <c r="J6" s="6" t="n">
        <f aca="false">Inputs!$B$6*(1+Inputs!$B$23)^J5</f>
        <v>446906.244091797</v>
      </c>
      <c r="K6" s="6" t="n">
        <f aca="false">Inputs!$B$6*(1+Inputs!$B$23)^K5</f>
        <v>446906.244091797</v>
      </c>
      <c r="L6" s="6" t="n">
        <f aca="false">Inputs!$B$6*(1+Inputs!$B$23)^L5</f>
        <v>446906.244091797</v>
      </c>
      <c r="M6" s="6" t="n">
        <f aca="false">Inputs!$B$6*(1+Inputs!$B$23)^M5</f>
        <v>446906.244091797</v>
      </c>
      <c r="N6" s="6" t="n">
        <f aca="false">Inputs!$B$6*(1+Inputs!$B$23)^N5</f>
        <v>446906.244091797</v>
      </c>
      <c r="O6" s="6" t="n">
        <f aca="false">Inputs!$B$6*(1+Inputs!$B$23)^O5</f>
        <v>446906.244091797</v>
      </c>
      <c r="P6" s="6" t="n">
        <f aca="false">Inputs!$B$6*(1+Inputs!$B$23)^P5</f>
        <v>446906.244091797</v>
      </c>
      <c r="Q6" s="6" t="n">
        <f aca="false">Inputs!$B$6*(1+Inputs!$B$23)^Q5</f>
        <v>446906.244091797</v>
      </c>
      <c r="R6" s="6" t="n">
        <f aca="false">Inputs!$B$6*(1+Inputs!$B$23)^R5</f>
        <v>446906.244091797</v>
      </c>
      <c r="S6" s="6" t="n">
        <f aca="false">Inputs!$B$6*(1+Inputs!$B$23)^S5</f>
        <v>446906.244091797</v>
      </c>
      <c r="T6" s="6" t="n">
        <f aca="false">Inputs!$B$6*(1+Inputs!$B$23)^T5</f>
        <v>446906.244091797</v>
      </c>
      <c r="U6" s="6" t="n">
        <f aca="false">Inputs!$B$6*(1+Inputs!$B$23)^U5</f>
        <v>446906.244091797</v>
      </c>
      <c r="V6" s="6" t="n">
        <f aca="false">Inputs!$B$6*(1+Inputs!$B$23)^V5</f>
        <v>446906.244091797</v>
      </c>
      <c r="W6" s="6" t="n">
        <f aca="false">Inputs!$B$6*(1+Inputs!$B$23)^W5</f>
        <v>446906.244091797</v>
      </c>
      <c r="X6" s="6" t="n">
        <f aca="false">Inputs!$B$6*(1+Inputs!$B$23)^X5</f>
        <v>446906.244091797</v>
      </c>
      <c r="Y6" s="6" t="n">
        <f aca="false">Inputs!$B$6*(1+Inputs!$B$23)^Y5</f>
        <v>446906.244091797</v>
      </c>
      <c r="Z6" s="6" t="n">
        <f aca="false">Inputs!$B$6*(1+Inputs!$B$23)^Z5</f>
        <v>446906.244091797</v>
      </c>
      <c r="AA6" s="6" t="n">
        <f aca="false">Inputs!$B$6*(1+Inputs!$B$23)^AA5</f>
        <v>446906.244091797</v>
      </c>
      <c r="AB6" s="6" t="n">
        <f aca="false">Inputs!$B$6*(1+Inputs!$B$23)^AB5</f>
        <v>446906.244091797</v>
      </c>
      <c r="AC6" s="6" t="n">
        <f aca="false">Inputs!$B$6*(1+Inputs!$B$23)^AC5</f>
        <v>505633.394957561</v>
      </c>
      <c r="AD6" s="6" t="n">
        <f aca="false">Inputs!$B$6*(1+Inputs!$B$23)^AD5</f>
        <v>505633.394957561</v>
      </c>
      <c r="AE6" s="6" t="n">
        <f aca="false">Inputs!$B$6*(1+Inputs!$B$23)^AE5</f>
        <v>505633.394957561</v>
      </c>
      <c r="AF6" s="6" t="n">
        <f aca="false">Inputs!$B$6*(1+Inputs!$B$23)^AF5</f>
        <v>505633.394957561</v>
      </c>
      <c r="AG6" s="6" t="n">
        <f aca="false">Inputs!$B$6*(1+Inputs!$B$23)^AG5</f>
        <v>505633.394957561</v>
      </c>
      <c r="AH6" s="6" t="n">
        <f aca="false">Inputs!$B$6*(1+Inputs!$B$23)^AH5</f>
        <v>505633.394957561</v>
      </c>
      <c r="AI6" s="6" t="n">
        <f aca="false">Inputs!$B$6*(1+Inputs!$B$23)^AI5</f>
        <v>505633.394957561</v>
      </c>
      <c r="AJ6" s="6" t="n">
        <f aca="false">Inputs!$B$6*(1+Inputs!$B$23)^AJ5</f>
        <v>505633.394957561</v>
      </c>
      <c r="AK6" s="6" t="n">
        <f aca="false">Inputs!$B$6*(1+Inputs!$B$23)^AK5</f>
        <v>505633.394957561</v>
      </c>
      <c r="AL6" s="6" t="n">
        <f aca="false">Inputs!$B$6*(1+Inputs!$B$23)^AL5</f>
        <v>505633.394957561</v>
      </c>
      <c r="AM6" s="6" t="n">
        <f aca="false">Inputs!$B$6*(1+Inputs!$B$23)^AM5</f>
        <v>505633.394957561</v>
      </c>
      <c r="AN6" s="6" t="n">
        <f aca="false">Inputs!$B$6*(1+Inputs!$B$23)^AN5</f>
        <v>505633.394957561</v>
      </c>
      <c r="AO6" s="6" t="n">
        <f aca="false">Inputs!$B$6*(1+Inputs!$B$23)^AO5</f>
        <v>505633.394957561</v>
      </c>
      <c r="AP6" s="6" t="n">
        <f aca="false">Inputs!$B$6*(1+Inputs!$B$23)^AP5</f>
        <v>505633.394957561</v>
      </c>
      <c r="AQ6" s="6" t="n">
        <f aca="false">Inputs!$B$6*(1+Inputs!$B$23)^AQ5</f>
        <v>505633.394957561</v>
      </c>
      <c r="AR6" s="6" t="n">
        <f aca="false">Inputs!$B$6*(1+Inputs!$B$23)^AR5</f>
        <v>505633.394957561</v>
      </c>
      <c r="AS6" s="6" t="n">
        <f aca="false">Inputs!$B$6*(1+Inputs!$B$23)^AS5</f>
        <v>505633.394957561</v>
      </c>
      <c r="AT6" s="6" t="n">
        <f aca="false">Inputs!$B$6*(1+Inputs!$B$23)^AT5</f>
        <v>505633.394957561</v>
      </c>
      <c r="AU6" s="6" t="n">
        <f aca="false">Inputs!$B$6*(1+Inputs!$B$23)^AU5</f>
        <v>505633.394957561</v>
      </c>
      <c r="AV6" s="6" t="n">
        <f aca="false">Inputs!$B$6*(1+Inputs!$B$23)^AV5</f>
        <v>505633.394957561</v>
      </c>
      <c r="AW6" s="6" t="n">
        <f aca="false">Inputs!$B$6*(1+Inputs!$B$23)^AW5</f>
        <v>572077.775766753</v>
      </c>
      <c r="AX6" s="6" t="n">
        <f aca="false">Inputs!$B$6*(1+Inputs!$B$23)^AX5</f>
        <v>572077.775766753</v>
      </c>
      <c r="AY6" s="6" t="n">
        <f aca="false">Inputs!$B$6*(1+Inputs!$B$23)^AY5</f>
        <v>572077.775766753</v>
      </c>
      <c r="AZ6" s="6" t="n">
        <f aca="false">Inputs!$B$6*(1+Inputs!$B$23)^AZ5</f>
        <v>572077.775766753</v>
      </c>
      <c r="BA6" s="6" t="n">
        <f aca="false">Inputs!$B$6*(1+Inputs!$B$23)^BA5</f>
        <v>572077.775766753</v>
      </c>
      <c r="BB6" s="6" t="n">
        <f aca="false">Inputs!$B$6*(1+Inputs!$B$23)^BB5</f>
        <v>572077.775766753</v>
      </c>
      <c r="BC6" s="6" t="n">
        <f aca="false">Inputs!$B$6*(1+Inputs!$B$23)^BC5</f>
        <v>572077.775766753</v>
      </c>
      <c r="BD6" s="6" t="n">
        <f aca="false">Inputs!$B$6*(1+Inputs!$B$23)^BD5</f>
        <v>572077.775766753</v>
      </c>
      <c r="BE6" s="6" t="n">
        <f aca="false">Inputs!$B$6*(1+Inputs!$B$23)^BE5</f>
        <v>572077.775766753</v>
      </c>
      <c r="BF6" s="6" t="n">
        <f aca="false">Inputs!$B$6*(1+Inputs!$B$23)^BF5</f>
        <v>572077.775766753</v>
      </c>
      <c r="BG6" s="6" t="n">
        <f aca="false">Inputs!$B$6*(1+Inputs!$B$23)^BG5</f>
        <v>572077.775766753</v>
      </c>
      <c r="BH6" s="6" t="n">
        <f aca="false">Inputs!$B$6*(1+Inputs!$B$23)^BH5</f>
        <v>572077.775766753</v>
      </c>
      <c r="BI6" s="6" t="n">
        <f aca="false">Inputs!$B$6*(1+Inputs!$B$23)^BI5</f>
        <v>572077.775766753</v>
      </c>
      <c r="BJ6" s="6" t="n">
        <f aca="false">Inputs!$B$6*(1+Inputs!$B$23)^BJ5</f>
        <v>572077.775766753</v>
      </c>
      <c r="BK6" s="6" t="n">
        <f aca="false">Inputs!$B$6*(1+Inputs!$B$23)^BK5</f>
        <v>572077.775766753</v>
      </c>
    </row>
    <row r="7" customFormat="false" ht="15" hidden="false" customHeight="false" outlineLevel="0" collapsed="false">
      <c r="A7" s="0" t="s">
        <v>33</v>
      </c>
      <c r="C7" s="6" t="n">
        <f aca="false">IF(AND(C3&gt;=0,C3&lt;Inputs!$B$12),C6/4,0)*(C$3&lt;=Inputs!$B$12)</f>
        <v>98750</v>
      </c>
      <c r="D7" s="6" t="n">
        <f aca="false">IF(AND(D3&gt;=0,D3&lt;Inputs!$B$12),D6/4,0)*(D$3&lt;=Inputs!$B$12)</f>
        <v>98750</v>
      </c>
      <c r="E7" s="6" t="n">
        <f aca="false">IF(AND(E3&gt;=0,E3&lt;Inputs!$B$12),E6/4,0)*(E$3&lt;=Inputs!$B$12)</f>
        <v>98750</v>
      </c>
      <c r="F7" s="6" t="n">
        <f aca="false">IF(AND(F3&gt;=0,F3&lt;Inputs!$B$12),F6/4,0)*(F$3&lt;=Inputs!$B$12)</f>
        <v>98750</v>
      </c>
      <c r="G7" s="6" t="n">
        <f aca="false">IF(AND(G3&gt;=0,G3&lt;Inputs!$B$12),G6/4,0)*(G$3&lt;=Inputs!$B$12)</f>
        <v>98750</v>
      </c>
      <c r="H7" s="6" t="n">
        <f aca="false">IF(AND(H3&gt;=0,H3&lt;Inputs!$B$12),H6/4,0)*(H$3&lt;=Inputs!$B$12)</f>
        <v>98750</v>
      </c>
      <c r="I7" s="6" t="n">
        <f aca="false">IF(AND(I3&gt;=0,I3&lt;Inputs!$B$12),I6/4,0)*(I$3&lt;=Inputs!$B$12)</f>
        <v>111726.561022949</v>
      </c>
      <c r="J7" s="6" t="n">
        <f aca="false">IF(AND(J3&gt;=0,J3&lt;Inputs!$B$12),J6/4,0)*(J$3&lt;=Inputs!$B$12)</f>
        <v>111726.561022949</v>
      </c>
      <c r="K7" s="6" t="n">
        <f aca="false">IF(AND(K3&gt;=0,K3&lt;Inputs!$B$12),K6/4,0)*(K$3&lt;=Inputs!$B$12)</f>
        <v>111726.561022949</v>
      </c>
      <c r="L7" s="6" t="n">
        <f aca="false">IF(AND(L3&gt;=0,L3&lt;Inputs!$B$12),L6/4,0)*(L$3&lt;=Inputs!$B$12)</f>
        <v>111726.561022949</v>
      </c>
      <c r="M7" s="6" t="n">
        <f aca="false">IF(AND(M3&gt;=0,M3&lt;Inputs!$B$12),M6/4,0)*(M$3&lt;=Inputs!$B$12)</f>
        <v>111726.561022949</v>
      </c>
      <c r="N7" s="6" t="n">
        <f aca="false">IF(AND(N3&gt;=0,N3&lt;Inputs!$B$12),N6/4,0)*(N$3&lt;=Inputs!$B$12)</f>
        <v>111726.561022949</v>
      </c>
      <c r="O7" s="6" t="n">
        <f aca="false">IF(AND(O3&gt;=0,O3&lt;Inputs!$B$12),O6/4,0)*(O$3&lt;=Inputs!$B$12)</f>
        <v>111726.561022949</v>
      </c>
      <c r="P7" s="6" t="n">
        <f aca="false">IF(AND(P3&gt;=0,P3&lt;Inputs!$B$12),P6/4,0)*(P$3&lt;=Inputs!$B$12)</f>
        <v>111726.561022949</v>
      </c>
      <c r="Q7" s="6" t="n">
        <f aca="false">IF(AND(Q3&gt;=0,Q3&lt;Inputs!$B$12),Q6/4,0)*(Q$3&lt;=Inputs!$B$12)</f>
        <v>111726.561022949</v>
      </c>
      <c r="R7" s="6" t="n">
        <f aca="false">IF(AND(R3&gt;=0,R3&lt;Inputs!$B$12),R6/4,0)*(R$3&lt;=Inputs!$B$12)</f>
        <v>111726.561022949</v>
      </c>
      <c r="S7" s="6" t="n">
        <f aca="false">IF(AND(S3&gt;=0,S3&lt;Inputs!$B$12),S6/4,0)*(S$3&lt;=Inputs!$B$12)</f>
        <v>111726.561022949</v>
      </c>
      <c r="T7" s="6" t="n">
        <f aca="false">IF(AND(T3&gt;=0,T3&lt;Inputs!$B$12),T6/4,0)*(T$3&lt;=Inputs!$B$12)</f>
        <v>111726.561022949</v>
      </c>
      <c r="U7" s="6" t="n">
        <f aca="false">IF(AND(U3&gt;=0,U3&lt;Inputs!$B$12),U6/4,0)*(U$3&lt;=Inputs!$B$12)</f>
        <v>111726.561022949</v>
      </c>
      <c r="V7" s="6" t="n">
        <f aca="false">IF(AND(V3&gt;=0,V3&lt;Inputs!$B$12),V6/4,0)*(V$3&lt;=Inputs!$B$12)</f>
        <v>111726.561022949</v>
      </c>
      <c r="W7" s="6" t="n">
        <f aca="false">IF(AND(W3&gt;=0,W3&lt;Inputs!$B$12),W6/4,0)*(W$3&lt;=Inputs!$B$12)</f>
        <v>111726.561022949</v>
      </c>
      <c r="X7" s="6" t="n">
        <f aca="false">IF(AND(X3&gt;=0,X3&lt;Inputs!$B$12),X6/4,0)*(X$3&lt;=Inputs!$B$12)</f>
        <v>111726.561022949</v>
      </c>
      <c r="Y7" s="6" t="n">
        <f aca="false">IF(AND(Y3&gt;=0,Y3&lt;Inputs!$B$12),Y6/4,0)*(Y$3&lt;=Inputs!$B$12)</f>
        <v>111726.561022949</v>
      </c>
      <c r="Z7" s="6" t="n">
        <f aca="false">IF(AND(Z3&gt;=0,Z3&lt;Inputs!$B$12),Z6/4,0)*(Z$3&lt;=Inputs!$B$12)</f>
        <v>111726.561022949</v>
      </c>
      <c r="AA7" s="6" t="n">
        <f aca="false">IF(AND(AA3&gt;=0,AA3&lt;Inputs!$B$12),AA6/4,0)*(AA$3&lt;=Inputs!$B$12)</f>
        <v>111726.561022949</v>
      </c>
      <c r="AB7" s="6" t="n">
        <f aca="false">IF(AND(AB3&gt;=0,AB3&lt;Inputs!$B$12),AB6/4,0)*(AB$3&lt;=Inputs!$B$12)</f>
        <v>111726.561022949</v>
      </c>
      <c r="AC7" s="6" t="n">
        <f aca="false">IF(AND(AC3&gt;=0,AC3&lt;Inputs!$B$12),AC6/4,0)*(AC$3&lt;=Inputs!$B$12)</f>
        <v>126408.34873939</v>
      </c>
      <c r="AD7" s="6" t="n">
        <f aca="false">IF(AND(AD3&gt;=0,AD3&lt;Inputs!$B$12),AD6/4,0)*(AD$3&lt;=Inputs!$B$12)</f>
        <v>126408.34873939</v>
      </c>
      <c r="AE7" s="6" t="n">
        <f aca="false">IF(AND(AE3&gt;=0,AE3&lt;Inputs!$B$12),AE6/4,0)*(AE$3&lt;=Inputs!$B$12)</f>
        <v>126408.34873939</v>
      </c>
      <c r="AF7" s="6" t="n">
        <f aca="false">IF(AND(AF3&gt;=0,AF3&lt;Inputs!$B$12),AF6/4,0)*(AF$3&lt;=Inputs!$B$12)</f>
        <v>126408.34873939</v>
      </c>
      <c r="AG7" s="6" t="n">
        <f aca="false">IF(AND(AG3&gt;=0,AG3&lt;Inputs!$B$12),AG6/4,0)*(AG$3&lt;=Inputs!$B$12)</f>
        <v>126408.34873939</v>
      </c>
      <c r="AH7" s="6" t="n">
        <f aca="false">IF(AND(AH3&gt;=0,AH3&lt;Inputs!$B$12),AH6/4,0)*(AH$3&lt;=Inputs!$B$12)</f>
        <v>126408.34873939</v>
      </c>
      <c r="AI7" s="6" t="n">
        <f aca="false">IF(AND(AI3&gt;=0,AI3&lt;Inputs!$B$12),AI6/4,0)*(AI$3&lt;=Inputs!$B$12)</f>
        <v>126408.34873939</v>
      </c>
      <c r="AJ7" s="6" t="n">
        <f aca="false">IF(AND(AJ3&gt;=0,AJ3&lt;Inputs!$B$12),AJ6/4,0)*(AJ$3&lt;=Inputs!$B$12)</f>
        <v>126408.34873939</v>
      </c>
      <c r="AK7" s="6" t="n">
        <f aca="false">IF(AND(AK3&gt;=0,AK3&lt;Inputs!$B$12),AK6/4,0)*(AK$3&lt;=Inputs!$B$12)</f>
        <v>126408.34873939</v>
      </c>
      <c r="AL7" s="6" t="n">
        <f aca="false">IF(AND(AL3&gt;=0,AL3&lt;Inputs!$B$12),AL6/4,0)*(AL$3&lt;=Inputs!$B$12)</f>
        <v>126408.34873939</v>
      </c>
      <c r="AM7" s="6" t="n">
        <f aca="false">IF(AND(AM3&gt;=0,AM3&lt;Inputs!$B$12),AM6/4,0)*(AM$3&lt;=Inputs!$B$12)</f>
        <v>126408.34873939</v>
      </c>
      <c r="AN7" s="6" t="n">
        <f aca="false">IF(AND(AN3&gt;=0,AN3&lt;Inputs!$B$12),AN6/4,0)*(AN$3&lt;=Inputs!$B$12)</f>
        <v>126408.34873939</v>
      </c>
      <c r="AO7" s="6" t="n">
        <f aca="false">IF(AND(AO3&gt;=0,AO3&lt;Inputs!$B$12),AO6/4,0)*(AO$3&lt;=Inputs!$B$12)</f>
        <v>126408.34873939</v>
      </c>
      <c r="AP7" s="6" t="n">
        <f aca="false">IF(AND(AP3&gt;=0,AP3&lt;Inputs!$B$12),AP6/4,0)*(AP$3&lt;=Inputs!$B$12)</f>
        <v>126408.34873939</v>
      </c>
      <c r="AQ7" s="6" t="n">
        <f aca="false">IF(AND(AQ3&gt;=0,AQ3&lt;Inputs!$B$12),AQ6/4,0)*(AQ$3&lt;=Inputs!$B$12)</f>
        <v>0</v>
      </c>
      <c r="AR7" s="6" t="n">
        <f aca="false">IF(AND(AR3&gt;=0,AR3&lt;Inputs!$B$12),AR6/4,0)*(AR$3&lt;=Inputs!$B$12)</f>
        <v>0</v>
      </c>
      <c r="AS7" s="6" t="n">
        <f aca="false">IF(AND(AS3&gt;=0,AS3&lt;Inputs!$B$12),AS6/4,0)*(AS$3&lt;=Inputs!$B$12)</f>
        <v>0</v>
      </c>
      <c r="AT7" s="6" t="n">
        <f aca="false">IF(AND(AT3&gt;=0,AT3&lt;Inputs!$B$12),AT6/4,0)*(AT$3&lt;=Inputs!$B$12)</f>
        <v>0</v>
      </c>
      <c r="AU7" s="6" t="n">
        <f aca="false">IF(AND(AU3&gt;=0,AU3&lt;Inputs!$B$12),AU6/4,0)*(AU$3&lt;=Inputs!$B$12)</f>
        <v>0</v>
      </c>
      <c r="AV7" s="6" t="n">
        <f aca="false">IF(AND(AV3&gt;=0,AV3&lt;Inputs!$B$12),AV6/4,0)*(AV$3&lt;=Inputs!$B$12)</f>
        <v>0</v>
      </c>
      <c r="AW7" s="6" t="n">
        <f aca="false">IF(AND(AW3&gt;=0,AW3&lt;Inputs!$B$12),AW6/4,0)*(AW$3&lt;=Inputs!$B$12)</f>
        <v>0</v>
      </c>
      <c r="AX7" s="6" t="n">
        <f aca="false">IF(AND(AX3&gt;=0,AX3&lt;Inputs!$B$12),AX6/4,0)*(AX$3&lt;=Inputs!$B$12)</f>
        <v>0</v>
      </c>
      <c r="AY7" s="6" t="n">
        <f aca="false">IF(AND(AY3&gt;=0,AY3&lt;Inputs!$B$12),AY6/4,0)*(AY$3&lt;=Inputs!$B$12)</f>
        <v>0</v>
      </c>
      <c r="AZ7" s="6" t="n">
        <f aca="false">IF(AND(AZ3&gt;=0,AZ3&lt;Inputs!$B$12),AZ6/4,0)*(AZ$3&lt;=Inputs!$B$12)</f>
        <v>0</v>
      </c>
      <c r="BA7" s="6" t="n">
        <f aca="false">IF(AND(BA3&gt;=0,BA3&lt;Inputs!$B$12),BA6/4,0)*(BA$3&lt;=Inputs!$B$12)</f>
        <v>0</v>
      </c>
      <c r="BB7" s="6" t="n">
        <f aca="false">IF(AND(BB3&gt;=0,BB3&lt;Inputs!$B$12),BB6/4,0)*(BB$3&lt;=Inputs!$B$12)</f>
        <v>0</v>
      </c>
      <c r="BC7" s="6" t="n">
        <f aca="false">IF(AND(BC3&gt;=0,BC3&lt;Inputs!$B$12),BC6/4,0)*(BC$3&lt;=Inputs!$B$12)</f>
        <v>0</v>
      </c>
      <c r="BD7" s="6" t="n">
        <f aca="false">IF(AND(BD3&gt;=0,BD3&lt;Inputs!$B$12),BD6/4,0)*(BD$3&lt;=Inputs!$B$12)</f>
        <v>0</v>
      </c>
      <c r="BE7" s="6" t="n">
        <f aca="false">IF(AND(BE3&gt;=0,BE3&lt;Inputs!$B$12),BE6/4,0)*(BE$3&lt;=Inputs!$B$12)</f>
        <v>0</v>
      </c>
      <c r="BF7" s="6" t="n">
        <f aca="false">IF(AND(BF3&gt;=0,BF3&lt;Inputs!$B$12),BF6/4,0)*(BF$3&lt;=Inputs!$B$12)</f>
        <v>0</v>
      </c>
      <c r="BG7" s="6" t="n">
        <f aca="false">IF(AND(BG3&gt;=0,BG3&lt;Inputs!$B$12),BG6/4,0)*(BG$3&lt;=Inputs!$B$12)</f>
        <v>0</v>
      </c>
      <c r="BH7" s="6" t="n">
        <f aca="false">IF(AND(BH3&gt;=0,BH3&lt;Inputs!$B$12),BH6/4,0)*(BH$3&lt;=Inputs!$B$12)</f>
        <v>0</v>
      </c>
      <c r="BI7" s="6" t="n">
        <f aca="false">IF(AND(BI3&gt;=0,BI3&lt;Inputs!$B$12),BI6/4,0)*(BI$3&lt;=Inputs!$B$12)</f>
        <v>0</v>
      </c>
      <c r="BJ7" s="6" t="n">
        <f aca="false">IF(AND(BJ3&gt;=0,BJ3&lt;Inputs!$B$12),BJ6/4,0)*(BJ$3&lt;=Inputs!$B$12)</f>
        <v>0</v>
      </c>
      <c r="BK7" s="6" t="n">
        <f aca="false">IF(AND(BK3&gt;=0,BK3&lt;Inputs!$B$12),BK6/4,0)*(BK$3&lt;=Inputs!$B$12)</f>
        <v>0</v>
      </c>
    </row>
    <row r="9" customFormat="false" ht="15" hidden="false" customHeight="false" outlineLevel="0" collapsed="false">
      <c r="A9" s="0" t="s">
        <v>34</v>
      </c>
      <c r="C9" s="6" t="n">
        <f aca="false">IF(C3=0,-Inputs!$B$4*(1+Inputs!$B$5),0)</f>
        <v>-6568200</v>
      </c>
      <c r="D9" s="6" t="n">
        <f aca="false">IF(D3=0,-Inputs!$B$4*(1+Inputs!$B$5),0)</f>
        <v>0</v>
      </c>
      <c r="E9" s="6" t="n">
        <f aca="false">IF(E3=0,-Inputs!$B$4*(1+Inputs!$B$5),0)</f>
        <v>0</v>
      </c>
      <c r="F9" s="6" t="n">
        <f aca="false">IF(F3=0,-Inputs!$B$4*(1+Inputs!$B$5),0)</f>
        <v>0</v>
      </c>
      <c r="G9" s="6" t="n">
        <f aca="false">IF(G3=0,-Inputs!$B$4*(1+Inputs!$B$5),0)</f>
        <v>0</v>
      </c>
      <c r="H9" s="6" t="n">
        <f aca="false">IF(H3=0,-Inputs!$B$4*(1+Inputs!$B$5),0)</f>
        <v>0</v>
      </c>
      <c r="I9" s="6" t="n">
        <f aca="false">IF(I3=0,-Inputs!$B$4*(1+Inputs!$B$5),0)</f>
        <v>0</v>
      </c>
      <c r="J9" s="6" t="n">
        <f aca="false">IF(J3=0,-Inputs!$B$4*(1+Inputs!$B$5),0)</f>
        <v>0</v>
      </c>
      <c r="K9" s="6" t="n">
        <f aca="false">IF(K3=0,-Inputs!$B$4*(1+Inputs!$B$5),0)</f>
        <v>0</v>
      </c>
      <c r="L9" s="6" t="n">
        <f aca="false">IF(L3=0,-Inputs!$B$4*(1+Inputs!$B$5),0)</f>
        <v>0</v>
      </c>
      <c r="M9" s="6" t="n">
        <f aca="false">IF(M3=0,-Inputs!$B$4*(1+Inputs!$B$5),0)</f>
        <v>0</v>
      </c>
      <c r="N9" s="6" t="n">
        <f aca="false">IF(N3=0,-Inputs!$B$4*(1+Inputs!$B$5),0)</f>
        <v>0</v>
      </c>
      <c r="O9" s="6" t="n">
        <f aca="false">IF(O3=0,-Inputs!$B$4*(1+Inputs!$B$5),0)</f>
        <v>0</v>
      </c>
      <c r="P9" s="6" t="n">
        <f aca="false">IF(P3=0,-Inputs!$B$4*(1+Inputs!$B$5),0)</f>
        <v>0</v>
      </c>
      <c r="Q9" s="6" t="n">
        <f aca="false">IF(Q3=0,-Inputs!$B$4*(1+Inputs!$B$5),0)</f>
        <v>0</v>
      </c>
      <c r="R9" s="6" t="n">
        <f aca="false">IF(R3=0,-Inputs!$B$4*(1+Inputs!$B$5),0)</f>
        <v>0</v>
      </c>
      <c r="S9" s="6" t="n">
        <f aca="false">IF(S3=0,-Inputs!$B$4*(1+Inputs!$B$5),0)</f>
        <v>0</v>
      </c>
      <c r="T9" s="6" t="n">
        <f aca="false">IF(T3=0,-Inputs!$B$4*(1+Inputs!$B$5),0)</f>
        <v>0</v>
      </c>
      <c r="U9" s="6" t="n">
        <f aca="false">IF(U3=0,-Inputs!$B$4*(1+Inputs!$B$5),0)</f>
        <v>0</v>
      </c>
      <c r="V9" s="6" t="n">
        <f aca="false">IF(V3=0,-Inputs!$B$4*(1+Inputs!$B$5),0)</f>
        <v>0</v>
      </c>
      <c r="W9" s="6" t="n">
        <f aca="false">IF(W3=0,-Inputs!$B$4*(1+Inputs!$B$5),0)</f>
        <v>0</v>
      </c>
      <c r="X9" s="6" t="n">
        <f aca="false">IF(X3=0,-Inputs!$B$4*(1+Inputs!$B$5),0)</f>
        <v>0</v>
      </c>
      <c r="Y9" s="6" t="n">
        <f aca="false">IF(Y3=0,-Inputs!$B$4*(1+Inputs!$B$5),0)</f>
        <v>0</v>
      </c>
      <c r="Z9" s="6" t="n">
        <f aca="false">IF(Z3=0,-Inputs!$B$4*(1+Inputs!$B$5),0)</f>
        <v>0</v>
      </c>
      <c r="AA9" s="6" t="n">
        <f aca="false">IF(AA3=0,-Inputs!$B$4*(1+Inputs!$B$5),0)</f>
        <v>0</v>
      </c>
      <c r="AB9" s="6" t="n">
        <f aca="false">IF(AB3=0,-Inputs!$B$4*(1+Inputs!$B$5),0)</f>
        <v>0</v>
      </c>
      <c r="AC9" s="6" t="n">
        <f aca="false">IF(AC3=0,-Inputs!$B$4*(1+Inputs!$B$5),0)</f>
        <v>0</v>
      </c>
      <c r="AD9" s="6" t="n">
        <f aca="false">IF(AD3=0,-Inputs!$B$4*(1+Inputs!$B$5),0)</f>
        <v>0</v>
      </c>
      <c r="AE9" s="6" t="n">
        <f aca="false">IF(AE3=0,-Inputs!$B$4*(1+Inputs!$B$5),0)</f>
        <v>0</v>
      </c>
      <c r="AF9" s="6" t="n">
        <f aca="false">IF(AF3=0,-Inputs!$B$4*(1+Inputs!$B$5),0)</f>
        <v>0</v>
      </c>
      <c r="AG9" s="6" t="n">
        <f aca="false">IF(AG3=0,-Inputs!$B$4*(1+Inputs!$B$5),0)</f>
        <v>0</v>
      </c>
      <c r="AH9" s="6" t="n">
        <f aca="false">IF(AH3=0,-Inputs!$B$4*(1+Inputs!$B$5),0)</f>
        <v>0</v>
      </c>
      <c r="AI9" s="6" t="n">
        <f aca="false">IF(AI3=0,-Inputs!$B$4*(1+Inputs!$B$5),0)</f>
        <v>0</v>
      </c>
      <c r="AJ9" s="6" t="n">
        <f aca="false">IF(AJ3=0,-Inputs!$B$4*(1+Inputs!$B$5),0)</f>
        <v>0</v>
      </c>
      <c r="AK9" s="6" t="n">
        <f aca="false">IF(AK3=0,-Inputs!$B$4*(1+Inputs!$B$5),0)</f>
        <v>0</v>
      </c>
      <c r="AL9" s="6" t="n">
        <f aca="false">IF(AL3=0,-Inputs!$B$4*(1+Inputs!$B$5),0)</f>
        <v>0</v>
      </c>
      <c r="AM9" s="6" t="n">
        <f aca="false">IF(AM3=0,-Inputs!$B$4*(1+Inputs!$B$5),0)</f>
        <v>0</v>
      </c>
      <c r="AN9" s="6" t="n">
        <f aca="false">IF(AN3=0,-Inputs!$B$4*(1+Inputs!$B$5),0)</f>
        <v>0</v>
      </c>
      <c r="AO9" s="6" t="n">
        <f aca="false">IF(AO3=0,-Inputs!$B$4*(1+Inputs!$B$5),0)</f>
        <v>0</v>
      </c>
      <c r="AP9" s="6" t="n">
        <f aca="false">IF(AP3=0,-Inputs!$B$4*(1+Inputs!$B$5),0)</f>
        <v>0</v>
      </c>
      <c r="AQ9" s="6" t="n">
        <f aca="false">IF(AQ3=0,-Inputs!$B$4*(1+Inputs!$B$5),0)</f>
        <v>0</v>
      </c>
      <c r="AR9" s="6" t="n">
        <f aca="false">IF(AR3=0,-Inputs!$B$4*(1+Inputs!$B$5),0)</f>
        <v>0</v>
      </c>
      <c r="AS9" s="6" t="n">
        <f aca="false">IF(AS3=0,-Inputs!$B$4*(1+Inputs!$B$5),0)</f>
        <v>0</v>
      </c>
      <c r="AT9" s="6" t="n">
        <f aca="false">IF(AT3=0,-Inputs!$B$4*(1+Inputs!$B$5),0)</f>
        <v>0</v>
      </c>
      <c r="AU9" s="6" t="n">
        <f aca="false">IF(AU3=0,-Inputs!$B$4*(1+Inputs!$B$5),0)</f>
        <v>0</v>
      </c>
      <c r="AV9" s="6" t="n">
        <f aca="false">IF(AV3=0,-Inputs!$B$4*(1+Inputs!$B$5),0)</f>
        <v>0</v>
      </c>
      <c r="AW9" s="6" t="n">
        <f aca="false">IF(AW3=0,-Inputs!$B$4*(1+Inputs!$B$5),0)</f>
        <v>0</v>
      </c>
      <c r="AX9" s="6" t="n">
        <f aca="false">IF(AX3=0,-Inputs!$B$4*(1+Inputs!$B$5),0)</f>
        <v>0</v>
      </c>
      <c r="AY9" s="6" t="n">
        <f aca="false">IF(AY3=0,-Inputs!$B$4*(1+Inputs!$B$5),0)</f>
        <v>0</v>
      </c>
      <c r="AZ9" s="6" t="n">
        <f aca="false">IF(AZ3=0,-Inputs!$B$4*(1+Inputs!$B$5),0)</f>
        <v>0</v>
      </c>
      <c r="BA9" s="6" t="n">
        <f aca="false">IF(BA3=0,-Inputs!$B$4*(1+Inputs!$B$5),0)</f>
        <v>0</v>
      </c>
      <c r="BB9" s="6" t="n">
        <f aca="false">IF(BB3=0,-Inputs!$B$4*(1+Inputs!$B$5),0)</f>
        <v>0</v>
      </c>
      <c r="BC9" s="6" t="n">
        <f aca="false">IF(BC3=0,-Inputs!$B$4*(1+Inputs!$B$5),0)</f>
        <v>0</v>
      </c>
      <c r="BD9" s="6" t="n">
        <f aca="false">IF(BD3=0,-Inputs!$B$4*(1+Inputs!$B$5),0)</f>
        <v>0</v>
      </c>
      <c r="BE9" s="6" t="n">
        <f aca="false">IF(BE3=0,-Inputs!$B$4*(1+Inputs!$B$5),0)</f>
        <v>0</v>
      </c>
      <c r="BF9" s="6" t="n">
        <f aca="false">IF(BF3=0,-Inputs!$B$4*(1+Inputs!$B$5),0)</f>
        <v>0</v>
      </c>
      <c r="BG9" s="6" t="n">
        <f aca="false">IF(BG3=0,-Inputs!$B$4*(1+Inputs!$B$5),0)</f>
        <v>0</v>
      </c>
      <c r="BH9" s="6" t="n">
        <f aca="false">IF(BH3=0,-Inputs!$B$4*(1+Inputs!$B$5),0)</f>
        <v>0</v>
      </c>
      <c r="BI9" s="6" t="n">
        <f aca="false">IF(BI3=0,-Inputs!$B$4*(1+Inputs!$B$5),0)</f>
        <v>0</v>
      </c>
      <c r="BJ9" s="6" t="n">
        <f aca="false">IF(BJ3=0,-Inputs!$B$4*(1+Inputs!$B$5),0)</f>
        <v>0</v>
      </c>
      <c r="BK9" s="6" t="n">
        <f aca="false">IF(BK3=0,-Inputs!$B$4*(1+Inputs!$B$5),0)</f>
        <v>0</v>
      </c>
    </row>
    <row r="10" customFormat="false" ht="15" hidden="false" customHeight="false" outlineLevel="0" collapsed="false">
      <c r="A10" s="0" t="s">
        <v>35</v>
      </c>
      <c r="C10" s="6" t="n">
        <f aca="false">IF(C3=Inputs!$B$12,C6/Inputs!$B$13/(1+Inputs!$B$14),0)</f>
        <v>0</v>
      </c>
      <c r="D10" s="6" t="n">
        <f aca="false">IF(D3=Inputs!$B$12,D6/Inputs!$B$13/(1+Inputs!$B$14),0)</f>
        <v>0</v>
      </c>
      <c r="E10" s="6" t="n">
        <f aca="false">IF(E3=Inputs!$B$12,E6/Inputs!$B$13/(1+Inputs!$B$14),0)</f>
        <v>0</v>
      </c>
      <c r="F10" s="6" t="n">
        <f aca="false">IF(F3=Inputs!$B$12,F6/Inputs!$B$13/(1+Inputs!$B$14),0)</f>
        <v>0</v>
      </c>
      <c r="G10" s="6" t="n">
        <f aca="false">IF(G3=Inputs!$B$12,G6/Inputs!$B$13/(1+Inputs!$B$14),0)</f>
        <v>0</v>
      </c>
      <c r="H10" s="6" t="n">
        <f aca="false">IF(H3=Inputs!$B$12,H6/Inputs!$B$13/(1+Inputs!$B$14),0)</f>
        <v>0</v>
      </c>
      <c r="I10" s="6" t="n">
        <f aca="false">IF(I3=Inputs!$B$12,I6/Inputs!$B$13/(1+Inputs!$B$14),0)</f>
        <v>0</v>
      </c>
      <c r="J10" s="6" t="n">
        <f aca="false">IF(J3=Inputs!$B$12,J6/Inputs!$B$13/(1+Inputs!$B$14),0)</f>
        <v>0</v>
      </c>
      <c r="K10" s="6" t="n">
        <f aca="false">IF(K3=Inputs!$B$12,K6/Inputs!$B$13/(1+Inputs!$B$14),0)</f>
        <v>0</v>
      </c>
      <c r="L10" s="6" t="n">
        <f aca="false">IF(L3=Inputs!$B$12,L6/Inputs!$B$13/(1+Inputs!$B$14),0)</f>
        <v>0</v>
      </c>
      <c r="M10" s="6" t="n">
        <f aca="false">IF(M3=Inputs!$B$12,M6/Inputs!$B$13/(1+Inputs!$B$14),0)</f>
        <v>0</v>
      </c>
      <c r="N10" s="6" t="n">
        <f aca="false">IF(N3=Inputs!$B$12,N6/Inputs!$B$13/(1+Inputs!$B$14),0)</f>
        <v>0</v>
      </c>
      <c r="O10" s="6" t="n">
        <f aca="false">IF(O3=Inputs!$B$12,O6/Inputs!$B$13/(1+Inputs!$B$14),0)</f>
        <v>0</v>
      </c>
      <c r="P10" s="6" t="n">
        <f aca="false">IF(P3=Inputs!$B$12,P6/Inputs!$B$13/(1+Inputs!$B$14),0)</f>
        <v>0</v>
      </c>
      <c r="Q10" s="6" t="n">
        <f aca="false">IF(Q3=Inputs!$B$12,Q6/Inputs!$B$13/(1+Inputs!$B$14),0)</f>
        <v>0</v>
      </c>
      <c r="R10" s="6" t="n">
        <f aca="false">IF(R3=Inputs!$B$12,R6/Inputs!$B$13/(1+Inputs!$B$14),0)</f>
        <v>0</v>
      </c>
      <c r="S10" s="6" t="n">
        <f aca="false">IF(S3=Inputs!$B$12,S6/Inputs!$B$13/(1+Inputs!$B$14),0)</f>
        <v>0</v>
      </c>
      <c r="T10" s="6" t="n">
        <f aca="false">IF(T3=Inputs!$B$12,T6/Inputs!$B$13/(1+Inputs!$B$14),0)</f>
        <v>0</v>
      </c>
      <c r="U10" s="6" t="n">
        <f aca="false">IF(U3=Inputs!$B$12,U6/Inputs!$B$13/(1+Inputs!$B$14),0)</f>
        <v>0</v>
      </c>
      <c r="V10" s="6" t="n">
        <f aca="false">IF(V3=Inputs!$B$12,V6/Inputs!$B$13/(1+Inputs!$B$14),0)</f>
        <v>0</v>
      </c>
      <c r="W10" s="6" t="n">
        <f aca="false">IF(W3=Inputs!$B$12,W6/Inputs!$B$13/(1+Inputs!$B$14),0)</f>
        <v>0</v>
      </c>
      <c r="X10" s="6" t="n">
        <f aca="false">IF(X3=Inputs!$B$12,X6/Inputs!$B$13/(1+Inputs!$B$14),0)</f>
        <v>0</v>
      </c>
      <c r="Y10" s="6" t="n">
        <f aca="false">IF(Y3=Inputs!$B$12,Y6/Inputs!$B$13/(1+Inputs!$B$14),0)</f>
        <v>0</v>
      </c>
      <c r="Z10" s="6" t="n">
        <f aca="false">IF(Z3=Inputs!$B$12,Z6/Inputs!$B$13/(1+Inputs!$B$14),0)</f>
        <v>0</v>
      </c>
      <c r="AA10" s="6" t="n">
        <f aca="false">IF(AA3=Inputs!$B$12,AA6/Inputs!$B$13/(1+Inputs!$B$14),0)</f>
        <v>0</v>
      </c>
      <c r="AB10" s="6" t="n">
        <f aca="false">IF(AB3=Inputs!$B$12,AB6/Inputs!$B$13/(1+Inputs!$B$14),0)</f>
        <v>0</v>
      </c>
      <c r="AC10" s="6" t="n">
        <f aca="false">IF(AC3=Inputs!$B$12,AC6/Inputs!$B$13/(1+Inputs!$B$14),0)</f>
        <v>0</v>
      </c>
      <c r="AD10" s="6" t="n">
        <f aca="false">IF(AD3=Inputs!$B$12,AD6/Inputs!$B$13/(1+Inputs!$B$14),0)</f>
        <v>0</v>
      </c>
      <c r="AE10" s="6" t="n">
        <f aca="false">IF(AE3=Inputs!$B$12,AE6/Inputs!$B$13/(1+Inputs!$B$14),0)</f>
        <v>0</v>
      </c>
      <c r="AF10" s="6" t="n">
        <f aca="false">IF(AF3=Inputs!$B$12,AF6/Inputs!$B$13/(1+Inputs!$B$14),0)</f>
        <v>0</v>
      </c>
      <c r="AG10" s="6" t="n">
        <f aca="false">IF(AG3=Inputs!$B$12,AG6/Inputs!$B$13/(1+Inputs!$B$14),0)</f>
        <v>0</v>
      </c>
      <c r="AH10" s="6" t="n">
        <f aca="false">IF(AH3=Inputs!$B$12,AH6/Inputs!$B$13/(1+Inputs!$B$14),0)</f>
        <v>0</v>
      </c>
      <c r="AI10" s="6" t="n">
        <f aca="false">IF(AI3=Inputs!$B$12,AI6/Inputs!$B$13/(1+Inputs!$B$14),0)</f>
        <v>0</v>
      </c>
      <c r="AJ10" s="6" t="n">
        <f aca="false">IF(AJ3=Inputs!$B$12,AJ6/Inputs!$B$13/(1+Inputs!$B$14),0)</f>
        <v>0</v>
      </c>
      <c r="AK10" s="6" t="n">
        <f aca="false">IF(AK3=Inputs!$B$12,AK6/Inputs!$B$13/(1+Inputs!$B$14),0)</f>
        <v>0</v>
      </c>
      <c r="AL10" s="6" t="n">
        <f aca="false">IF(AL3=Inputs!$B$12,AL6/Inputs!$B$13/(1+Inputs!$B$14),0)</f>
        <v>0</v>
      </c>
      <c r="AM10" s="6" t="n">
        <f aca="false">IF(AM3=Inputs!$B$12,AM6/Inputs!$B$13/(1+Inputs!$B$14),0)</f>
        <v>0</v>
      </c>
      <c r="AN10" s="6" t="n">
        <f aca="false">IF(AN3=Inputs!$B$12,AN6/Inputs!$B$13/(1+Inputs!$B$14),0)</f>
        <v>0</v>
      </c>
      <c r="AO10" s="6" t="n">
        <f aca="false">IF(AO3=Inputs!$B$12,AO6/Inputs!$B$13/(1+Inputs!$B$14),0)</f>
        <v>0</v>
      </c>
      <c r="AP10" s="6" t="n">
        <f aca="false">IF(AP3=Inputs!$B$12,AP6/Inputs!$B$13/(1+Inputs!$B$14),0)</f>
        <v>0</v>
      </c>
      <c r="AQ10" s="6" t="n">
        <f aca="false">IF(AQ3=Inputs!$B$12,AQ6/Inputs!$B$13/(1+Inputs!$B$14),0)</f>
        <v>7575032.13419567</v>
      </c>
      <c r="AR10" s="6" t="n">
        <f aca="false">IF(AR3=Inputs!$B$12,AR6/Inputs!$B$13/(1+Inputs!$B$14),0)</f>
        <v>0</v>
      </c>
      <c r="AS10" s="6" t="n">
        <f aca="false">IF(AS3=Inputs!$B$12,AS6/Inputs!$B$13/(1+Inputs!$B$14),0)</f>
        <v>0</v>
      </c>
      <c r="AT10" s="6" t="n">
        <f aca="false">IF(AT3=Inputs!$B$12,AT6/Inputs!$B$13/(1+Inputs!$B$14),0)</f>
        <v>0</v>
      </c>
      <c r="AU10" s="6" t="n">
        <f aca="false">IF(AU3=Inputs!$B$12,AU6/Inputs!$B$13/(1+Inputs!$B$14),0)</f>
        <v>0</v>
      </c>
      <c r="AV10" s="6" t="n">
        <f aca="false">IF(AV3=Inputs!$B$12,AV6/Inputs!$B$13/(1+Inputs!$B$14),0)</f>
        <v>0</v>
      </c>
      <c r="AW10" s="6" t="n">
        <f aca="false">IF(AW3=Inputs!$B$12,AW6/Inputs!$B$13/(1+Inputs!$B$14),0)</f>
        <v>0</v>
      </c>
      <c r="AX10" s="6" t="n">
        <f aca="false">IF(AX3=Inputs!$B$12,AX6/Inputs!$B$13/(1+Inputs!$B$14),0)</f>
        <v>0</v>
      </c>
      <c r="AY10" s="6" t="n">
        <f aca="false">IF(AY3=Inputs!$B$12,AY6/Inputs!$B$13/(1+Inputs!$B$14),0)</f>
        <v>0</v>
      </c>
      <c r="AZ10" s="6" t="n">
        <f aca="false">IF(AZ3=Inputs!$B$12,AZ6/Inputs!$B$13/(1+Inputs!$B$14),0)</f>
        <v>0</v>
      </c>
      <c r="BA10" s="6" t="n">
        <f aca="false">IF(BA3=Inputs!$B$12,BA6/Inputs!$B$13/(1+Inputs!$B$14),0)</f>
        <v>0</v>
      </c>
      <c r="BB10" s="6" t="n">
        <f aca="false">IF(BB3=Inputs!$B$12,BB6/Inputs!$B$13/(1+Inputs!$B$14),0)</f>
        <v>0</v>
      </c>
      <c r="BC10" s="6" t="n">
        <f aca="false">IF(BC3=Inputs!$B$12,BC6/Inputs!$B$13/(1+Inputs!$B$14),0)</f>
        <v>0</v>
      </c>
      <c r="BD10" s="6" t="n">
        <f aca="false">IF(BD3=Inputs!$B$12,BD6/Inputs!$B$13/(1+Inputs!$B$14),0)</f>
        <v>0</v>
      </c>
      <c r="BE10" s="6" t="n">
        <f aca="false">IF(BE3=Inputs!$B$12,BE6/Inputs!$B$13/(1+Inputs!$B$14),0)</f>
        <v>0</v>
      </c>
      <c r="BF10" s="6" t="n">
        <f aca="false">IF(BF3=Inputs!$B$12,BF6/Inputs!$B$13/(1+Inputs!$B$14),0)</f>
        <v>0</v>
      </c>
      <c r="BG10" s="6" t="n">
        <f aca="false">IF(BG3=Inputs!$B$12,BG6/Inputs!$B$13/(1+Inputs!$B$14),0)</f>
        <v>0</v>
      </c>
      <c r="BH10" s="6" t="n">
        <f aca="false">IF(BH3=Inputs!$B$12,BH6/Inputs!$B$13/(1+Inputs!$B$14),0)</f>
        <v>0</v>
      </c>
      <c r="BI10" s="6" t="n">
        <f aca="false">IF(BI3=Inputs!$B$12,BI6/Inputs!$B$13/(1+Inputs!$B$14),0)</f>
        <v>0</v>
      </c>
      <c r="BJ10" s="6" t="n">
        <f aca="false">IF(BJ3=Inputs!$B$12,BJ6/Inputs!$B$13/(1+Inputs!$B$14),0)</f>
        <v>0</v>
      </c>
      <c r="BK10" s="6" t="n">
        <f aca="false">IF(BK3=Inputs!$B$12,BK6/Inputs!$B$13/(1+Inputs!$B$14),0)</f>
        <v>0</v>
      </c>
    </row>
    <row r="12" customFormat="false" ht="15" hidden="false" customHeight="false" outlineLevel="0" collapsed="false">
      <c r="A12" s="0" t="s">
        <v>36</v>
      </c>
      <c r="C12" s="6" t="n">
        <f aca="false">IF(C3=0,Inputs!$B$21,0)</f>
        <v>3075000</v>
      </c>
      <c r="D12" s="6" t="n">
        <f aca="false">IF(D3=0,Inputs!$B$21,0)</f>
        <v>0</v>
      </c>
      <c r="E12" s="6" t="n">
        <f aca="false">IF(E3=0,Inputs!$B$21,0)</f>
        <v>0</v>
      </c>
      <c r="F12" s="6" t="n">
        <f aca="false">IF(F3=0,Inputs!$B$21,0)</f>
        <v>0</v>
      </c>
      <c r="G12" s="6" t="n">
        <f aca="false">IF(G3=0,Inputs!$B$21,0)</f>
        <v>0</v>
      </c>
      <c r="H12" s="6" t="n">
        <f aca="false">IF(H3=0,Inputs!$B$21,0)</f>
        <v>0</v>
      </c>
      <c r="I12" s="6" t="n">
        <f aca="false">IF(I3=0,Inputs!$B$21,0)</f>
        <v>0</v>
      </c>
      <c r="J12" s="6" t="n">
        <f aca="false">IF(J3=0,Inputs!$B$21,0)</f>
        <v>0</v>
      </c>
      <c r="K12" s="6" t="n">
        <f aca="false">IF(K3=0,Inputs!$B$21,0)</f>
        <v>0</v>
      </c>
      <c r="L12" s="6" t="n">
        <f aca="false">IF(L3=0,Inputs!$B$21,0)</f>
        <v>0</v>
      </c>
      <c r="M12" s="6" t="n">
        <f aca="false">IF(M3=0,Inputs!$B$21,0)</f>
        <v>0</v>
      </c>
      <c r="N12" s="6" t="n">
        <f aca="false">IF(N3=0,Inputs!$B$21,0)</f>
        <v>0</v>
      </c>
      <c r="O12" s="6" t="n">
        <f aca="false">IF(O3=0,Inputs!$B$21,0)</f>
        <v>0</v>
      </c>
      <c r="P12" s="6" t="n">
        <f aca="false">IF(P3=0,Inputs!$B$21,0)</f>
        <v>0</v>
      </c>
      <c r="Q12" s="6" t="n">
        <f aca="false">IF(Q3=0,Inputs!$B$21,0)</f>
        <v>0</v>
      </c>
      <c r="R12" s="6" t="n">
        <f aca="false">IF(R3=0,Inputs!$B$21,0)</f>
        <v>0</v>
      </c>
      <c r="S12" s="6" t="n">
        <f aca="false">IF(S3=0,Inputs!$B$21,0)</f>
        <v>0</v>
      </c>
      <c r="T12" s="6" t="n">
        <f aca="false">IF(T3=0,Inputs!$B$21,0)</f>
        <v>0</v>
      </c>
      <c r="U12" s="6" t="n">
        <f aca="false">IF(U3=0,Inputs!$B$21,0)</f>
        <v>0</v>
      </c>
      <c r="V12" s="6" t="n">
        <f aca="false">IF(V3=0,Inputs!$B$21,0)</f>
        <v>0</v>
      </c>
      <c r="W12" s="6" t="n">
        <f aca="false">IF(W3=0,Inputs!$B$21,0)</f>
        <v>0</v>
      </c>
      <c r="X12" s="6" t="n">
        <f aca="false">IF(X3=0,Inputs!$B$21,0)</f>
        <v>0</v>
      </c>
      <c r="Y12" s="6" t="n">
        <f aca="false">IF(Y3=0,Inputs!$B$21,0)</f>
        <v>0</v>
      </c>
      <c r="Z12" s="6" t="n">
        <f aca="false">IF(Z3=0,Inputs!$B$21,0)</f>
        <v>0</v>
      </c>
      <c r="AA12" s="6" t="n">
        <f aca="false">IF(AA3=0,Inputs!$B$21,0)</f>
        <v>0</v>
      </c>
      <c r="AB12" s="6" t="n">
        <f aca="false">IF(AB3=0,Inputs!$B$21,0)</f>
        <v>0</v>
      </c>
      <c r="AC12" s="6" t="n">
        <f aca="false">IF(AC3=0,Inputs!$B$21,0)</f>
        <v>0</v>
      </c>
      <c r="AD12" s="6" t="n">
        <f aca="false">IF(AD3=0,Inputs!$B$21,0)</f>
        <v>0</v>
      </c>
      <c r="AE12" s="6" t="n">
        <f aca="false">IF(AE3=0,Inputs!$B$21,0)</f>
        <v>0</v>
      </c>
      <c r="AF12" s="6" t="n">
        <f aca="false">IF(AF3=0,Inputs!$B$21,0)</f>
        <v>0</v>
      </c>
      <c r="AG12" s="6" t="n">
        <f aca="false">IF(AG3=0,Inputs!$B$21,0)</f>
        <v>0</v>
      </c>
      <c r="AH12" s="6" t="n">
        <f aca="false">IF(AH3=0,Inputs!$B$21,0)</f>
        <v>0</v>
      </c>
      <c r="AI12" s="6" t="n">
        <f aca="false">IF(AI3=0,Inputs!$B$21,0)</f>
        <v>0</v>
      </c>
      <c r="AJ12" s="6" t="n">
        <f aca="false">IF(AJ3=0,Inputs!$B$21,0)</f>
        <v>0</v>
      </c>
      <c r="AK12" s="6" t="n">
        <f aca="false">IF(AK3=0,Inputs!$B$21,0)</f>
        <v>0</v>
      </c>
      <c r="AL12" s="6" t="n">
        <f aca="false">IF(AL3=0,Inputs!$B$21,0)</f>
        <v>0</v>
      </c>
      <c r="AM12" s="6" t="n">
        <f aca="false">IF(AM3=0,Inputs!$B$21,0)</f>
        <v>0</v>
      </c>
      <c r="AN12" s="6" t="n">
        <f aca="false">IF(AN3=0,Inputs!$B$21,0)</f>
        <v>0</v>
      </c>
      <c r="AO12" s="6" t="n">
        <f aca="false">IF(AO3=0,Inputs!$B$21,0)</f>
        <v>0</v>
      </c>
      <c r="AP12" s="6" t="n">
        <f aca="false">IF(AP3=0,Inputs!$B$21,0)</f>
        <v>0</v>
      </c>
      <c r="AQ12" s="6" t="n">
        <f aca="false">IF(AQ3=0,Inputs!$B$21,0)</f>
        <v>0</v>
      </c>
      <c r="AR12" s="6" t="n">
        <f aca="false">IF(AR3=0,Inputs!$B$21,0)</f>
        <v>0</v>
      </c>
      <c r="AS12" s="6" t="n">
        <f aca="false">IF(AS3=0,Inputs!$B$21,0)</f>
        <v>0</v>
      </c>
      <c r="AT12" s="6" t="n">
        <f aca="false">IF(AT3=0,Inputs!$B$21,0)</f>
        <v>0</v>
      </c>
      <c r="AU12" s="6" t="n">
        <f aca="false">IF(AU3=0,Inputs!$B$21,0)</f>
        <v>0</v>
      </c>
      <c r="AV12" s="6" t="n">
        <f aca="false">IF(AV3=0,Inputs!$B$21,0)</f>
        <v>0</v>
      </c>
      <c r="AW12" s="6" t="n">
        <f aca="false">IF(AW3=0,Inputs!$B$21,0)</f>
        <v>0</v>
      </c>
      <c r="AX12" s="6" t="n">
        <f aca="false">IF(AX3=0,Inputs!$B$21,0)</f>
        <v>0</v>
      </c>
      <c r="AY12" s="6" t="n">
        <f aca="false">IF(AY3=0,Inputs!$B$21,0)</f>
        <v>0</v>
      </c>
      <c r="AZ12" s="6" t="n">
        <f aca="false">IF(AZ3=0,Inputs!$B$21,0)</f>
        <v>0</v>
      </c>
      <c r="BA12" s="6" t="n">
        <f aca="false">IF(BA3=0,Inputs!$B$21,0)</f>
        <v>0</v>
      </c>
      <c r="BB12" s="6" t="n">
        <f aca="false">IF(BB3=0,Inputs!$B$21,0)</f>
        <v>0</v>
      </c>
      <c r="BC12" s="6" t="n">
        <f aca="false">IF(BC3=0,Inputs!$B$21,0)</f>
        <v>0</v>
      </c>
      <c r="BD12" s="6" t="n">
        <f aca="false">IF(BD3=0,Inputs!$B$21,0)</f>
        <v>0</v>
      </c>
      <c r="BE12" s="6" t="n">
        <f aca="false">IF(BE3=0,Inputs!$B$21,0)</f>
        <v>0</v>
      </c>
      <c r="BF12" s="6" t="n">
        <f aca="false">IF(BF3=0,Inputs!$B$21,0)</f>
        <v>0</v>
      </c>
      <c r="BG12" s="6" t="n">
        <f aca="false">IF(BG3=0,Inputs!$B$21,0)</f>
        <v>0</v>
      </c>
      <c r="BH12" s="6" t="n">
        <f aca="false">IF(BH3=0,Inputs!$B$21,0)</f>
        <v>0</v>
      </c>
      <c r="BI12" s="6" t="n">
        <f aca="false">IF(BI3=0,Inputs!$B$21,0)</f>
        <v>0</v>
      </c>
      <c r="BJ12" s="6" t="n">
        <f aca="false">IF(BJ3=0,Inputs!$B$21,0)</f>
        <v>0</v>
      </c>
      <c r="BK12" s="6" t="n">
        <f aca="false">IF(BK3=0,Inputs!$B$21,0)</f>
        <v>0</v>
      </c>
    </row>
    <row r="13" customFormat="false" ht="15" hidden="false" customHeight="false" outlineLevel="0" collapsed="false">
      <c r="A13" s="0" t="s">
        <v>37</v>
      </c>
      <c r="C13" s="6" t="n">
        <f aca="false">IF(AND(C3&gt;0,(C$3&lt;=Inputs!$B$12)),-Inputs!$B$21*Inputs!$B$22/4,0)</f>
        <v>0</v>
      </c>
      <c r="D13" s="6" t="n">
        <f aca="false">IF(AND(D3&gt;0,(D$3&lt;=Inputs!$B$12)),-Inputs!$B$21*Inputs!$B$22/4,0)</f>
        <v>-46125</v>
      </c>
      <c r="E13" s="6" t="n">
        <f aca="false">IF(AND(E3&gt;0,(E$3&lt;=Inputs!$B$12)),-Inputs!$B$21*Inputs!$B$22/4,0)</f>
        <v>-46125</v>
      </c>
      <c r="F13" s="6" t="n">
        <f aca="false">IF(AND(F3&gt;0,(F$3&lt;=Inputs!$B$12)),-Inputs!$B$21*Inputs!$B$22/4,0)</f>
        <v>-46125</v>
      </c>
      <c r="G13" s="6" t="n">
        <f aca="false">IF(AND(G3&gt;0,(G$3&lt;=Inputs!$B$12)),-Inputs!$B$21*Inputs!$B$22/4,0)</f>
        <v>-46125</v>
      </c>
      <c r="H13" s="6" t="n">
        <f aca="false">IF(AND(H3&gt;0,(H$3&lt;=Inputs!$B$12)),-Inputs!$B$21*Inputs!$B$22/4,0)</f>
        <v>-46125</v>
      </c>
      <c r="I13" s="6" t="n">
        <f aca="false">IF(AND(I3&gt;0,(I$3&lt;=Inputs!$B$12)),-Inputs!$B$21*Inputs!$B$22/4,0)</f>
        <v>-46125</v>
      </c>
      <c r="J13" s="6" t="n">
        <f aca="false">IF(AND(J3&gt;0,(J$3&lt;=Inputs!$B$12)),-Inputs!$B$21*Inputs!$B$22/4,0)</f>
        <v>-46125</v>
      </c>
      <c r="K13" s="6" t="n">
        <f aca="false">IF(AND(K3&gt;0,(K$3&lt;=Inputs!$B$12)),-Inputs!$B$21*Inputs!$B$22/4,0)</f>
        <v>-46125</v>
      </c>
      <c r="L13" s="6" t="n">
        <f aca="false">IF(AND(L3&gt;0,(L$3&lt;=Inputs!$B$12)),-Inputs!$B$21*Inputs!$B$22/4,0)</f>
        <v>-46125</v>
      </c>
      <c r="M13" s="6" t="n">
        <f aca="false">IF(AND(M3&gt;0,(M$3&lt;=Inputs!$B$12)),-Inputs!$B$21*Inputs!$B$22/4,0)</f>
        <v>-46125</v>
      </c>
      <c r="N13" s="6" t="n">
        <f aca="false">IF(AND(N3&gt;0,(N$3&lt;=Inputs!$B$12)),-Inputs!$B$21*Inputs!$B$22/4,0)</f>
        <v>-46125</v>
      </c>
      <c r="O13" s="6" t="n">
        <f aca="false">IF(AND(O3&gt;0,(O$3&lt;=Inputs!$B$12)),-Inputs!$B$21*Inputs!$B$22/4,0)</f>
        <v>-46125</v>
      </c>
      <c r="P13" s="6" t="n">
        <f aca="false">IF(AND(P3&gt;0,(P$3&lt;=Inputs!$B$12)),-Inputs!$B$21*Inputs!$B$22/4,0)</f>
        <v>-46125</v>
      </c>
      <c r="Q13" s="6" t="n">
        <f aca="false">IF(AND(Q3&gt;0,(Q$3&lt;=Inputs!$B$12)),-Inputs!$B$21*Inputs!$B$22/4,0)</f>
        <v>-46125</v>
      </c>
      <c r="R13" s="6" t="n">
        <f aca="false">IF(AND(R3&gt;0,(R$3&lt;=Inputs!$B$12)),-Inputs!$B$21*Inputs!$B$22/4,0)</f>
        <v>-46125</v>
      </c>
      <c r="S13" s="6" t="n">
        <f aca="false">IF(AND(S3&gt;0,(S$3&lt;=Inputs!$B$12)),-Inputs!$B$21*Inputs!$B$22/4,0)</f>
        <v>-46125</v>
      </c>
      <c r="T13" s="6" t="n">
        <f aca="false">IF(AND(T3&gt;0,(T$3&lt;=Inputs!$B$12)),-Inputs!$B$21*Inputs!$B$22/4,0)</f>
        <v>-46125</v>
      </c>
      <c r="U13" s="6" t="n">
        <f aca="false">IF(AND(U3&gt;0,(U$3&lt;=Inputs!$B$12)),-Inputs!$B$21*Inputs!$B$22/4,0)</f>
        <v>-46125</v>
      </c>
      <c r="V13" s="6" t="n">
        <f aca="false">IF(AND(V3&gt;0,(V$3&lt;=Inputs!$B$12)),-Inputs!$B$21*Inputs!$B$22/4,0)</f>
        <v>-46125</v>
      </c>
      <c r="W13" s="6" t="n">
        <f aca="false">IF(AND(W3&gt;0,(W$3&lt;=Inputs!$B$12)),-Inputs!$B$21*Inputs!$B$22/4,0)</f>
        <v>-46125</v>
      </c>
      <c r="X13" s="6" t="n">
        <f aca="false">IF(AND(X3&gt;0,(X$3&lt;=Inputs!$B$12)),-Inputs!$B$21*Inputs!$B$22/4,0)</f>
        <v>-46125</v>
      </c>
      <c r="Y13" s="6" t="n">
        <f aca="false">IF(AND(Y3&gt;0,(Y$3&lt;=Inputs!$B$12)),-Inputs!$B$21*Inputs!$B$22/4,0)</f>
        <v>-46125</v>
      </c>
      <c r="Z13" s="6" t="n">
        <f aca="false">IF(AND(Z3&gt;0,(Z$3&lt;=Inputs!$B$12)),-Inputs!$B$21*Inputs!$B$22/4,0)</f>
        <v>-46125</v>
      </c>
      <c r="AA13" s="6" t="n">
        <f aca="false">IF(AND(AA3&gt;0,(AA$3&lt;=Inputs!$B$12)),-Inputs!$B$21*Inputs!$B$22/4,0)</f>
        <v>-46125</v>
      </c>
      <c r="AB13" s="6" t="n">
        <f aca="false">IF(AND(AB3&gt;0,(AB$3&lt;=Inputs!$B$12)),-Inputs!$B$21*Inputs!$B$22/4,0)</f>
        <v>-46125</v>
      </c>
      <c r="AC13" s="6" t="n">
        <f aca="false">IF(AND(AC3&gt;0,(AC$3&lt;=Inputs!$B$12)),-Inputs!$B$21*Inputs!$B$22/4,0)</f>
        <v>-46125</v>
      </c>
      <c r="AD13" s="6" t="n">
        <f aca="false">IF(AND(AD3&gt;0,(AD$3&lt;=Inputs!$B$12)),-Inputs!$B$21*Inputs!$B$22/4,0)</f>
        <v>-46125</v>
      </c>
      <c r="AE13" s="6" t="n">
        <f aca="false">IF(AND(AE3&gt;0,(AE$3&lt;=Inputs!$B$12)),-Inputs!$B$21*Inputs!$B$22/4,0)</f>
        <v>-46125</v>
      </c>
      <c r="AF13" s="6" t="n">
        <f aca="false">IF(AND(AF3&gt;0,(AF$3&lt;=Inputs!$B$12)),-Inputs!$B$21*Inputs!$B$22/4,0)</f>
        <v>-46125</v>
      </c>
      <c r="AG13" s="6" t="n">
        <f aca="false">IF(AND(AG3&gt;0,(AG$3&lt;=Inputs!$B$12)),-Inputs!$B$21*Inputs!$B$22/4,0)</f>
        <v>-46125</v>
      </c>
      <c r="AH13" s="6" t="n">
        <f aca="false">IF(AND(AH3&gt;0,(AH$3&lt;=Inputs!$B$12)),-Inputs!$B$21*Inputs!$B$22/4,0)</f>
        <v>-46125</v>
      </c>
      <c r="AI13" s="6" t="n">
        <f aca="false">IF(AND(AI3&gt;0,(AI$3&lt;=Inputs!$B$12)),-Inputs!$B$21*Inputs!$B$22/4,0)</f>
        <v>-46125</v>
      </c>
      <c r="AJ13" s="6" t="n">
        <f aca="false">IF(AND(AJ3&gt;0,(AJ$3&lt;=Inputs!$B$12)),-Inputs!$B$21*Inputs!$B$22/4,0)</f>
        <v>-46125</v>
      </c>
      <c r="AK13" s="6" t="n">
        <f aca="false">IF(AND(AK3&gt;0,(AK$3&lt;=Inputs!$B$12)),-Inputs!$B$21*Inputs!$B$22/4,0)</f>
        <v>-46125</v>
      </c>
      <c r="AL13" s="6" t="n">
        <f aca="false">IF(AND(AL3&gt;0,(AL$3&lt;=Inputs!$B$12)),-Inputs!$B$21*Inputs!$B$22/4,0)</f>
        <v>-46125</v>
      </c>
      <c r="AM13" s="6" t="n">
        <f aca="false">IF(AND(AM3&gt;0,(AM$3&lt;=Inputs!$B$12)),-Inputs!$B$21*Inputs!$B$22/4,0)</f>
        <v>-46125</v>
      </c>
      <c r="AN13" s="6" t="n">
        <f aca="false">IF(AND(AN3&gt;0,(AN$3&lt;=Inputs!$B$12)),-Inputs!$B$21*Inputs!$B$22/4,0)</f>
        <v>-46125</v>
      </c>
      <c r="AO13" s="6" t="n">
        <f aca="false">IF(AND(AO3&gt;0,(AO$3&lt;=Inputs!$B$12)),-Inputs!$B$21*Inputs!$B$22/4,0)</f>
        <v>-46125</v>
      </c>
      <c r="AP13" s="6" t="n">
        <f aca="false">IF(AND(AP3&gt;0,(AP$3&lt;=Inputs!$B$12)),-Inputs!$B$21*Inputs!$B$22/4,0)</f>
        <v>-46125</v>
      </c>
      <c r="AQ13" s="6" t="n">
        <f aca="false">IF(AND(AQ3&gt;0,(AQ$3&lt;=Inputs!$B$12)),-Inputs!$B$21*Inputs!$B$22/4,0)</f>
        <v>-46125</v>
      </c>
      <c r="AR13" s="6" t="n">
        <f aca="false">IF(AND(AR3&gt;0,(AR$3&lt;=Inputs!$B$12)),-Inputs!$B$21*Inputs!$B$22/4,0)</f>
        <v>0</v>
      </c>
      <c r="AS13" s="6" t="n">
        <f aca="false">IF(AND(AS3&gt;0,(AS$3&lt;=Inputs!$B$12)),-Inputs!$B$21*Inputs!$B$22/4,0)</f>
        <v>0</v>
      </c>
      <c r="AT13" s="6" t="n">
        <f aca="false">IF(AND(AT3&gt;0,(AT$3&lt;=Inputs!$B$12)),-Inputs!$B$21*Inputs!$B$22/4,0)</f>
        <v>0</v>
      </c>
      <c r="AU13" s="6" t="n">
        <f aca="false">IF(AND(AU3&gt;0,(AU$3&lt;=Inputs!$B$12)),-Inputs!$B$21*Inputs!$B$22/4,0)</f>
        <v>0</v>
      </c>
      <c r="AV13" s="6" t="n">
        <f aca="false">IF(AND(AV3&gt;0,(AV$3&lt;=Inputs!$B$12)),-Inputs!$B$21*Inputs!$B$22/4,0)</f>
        <v>0</v>
      </c>
      <c r="AW13" s="6" t="n">
        <f aca="false">IF(AND(AW3&gt;0,(AW$3&lt;=Inputs!$B$12)),-Inputs!$B$21*Inputs!$B$22/4,0)</f>
        <v>0</v>
      </c>
      <c r="AX13" s="6" t="n">
        <f aca="false">IF(AND(AX3&gt;0,(AX$3&lt;=Inputs!$B$12)),-Inputs!$B$21*Inputs!$B$22/4,0)</f>
        <v>0</v>
      </c>
      <c r="AY13" s="6" t="n">
        <f aca="false">IF(AND(AY3&gt;0,(AY$3&lt;=Inputs!$B$12)),-Inputs!$B$21*Inputs!$B$22/4,0)</f>
        <v>0</v>
      </c>
      <c r="AZ13" s="6" t="n">
        <f aca="false">IF(AND(AZ3&gt;0,(AZ$3&lt;=Inputs!$B$12)),-Inputs!$B$21*Inputs!$B$22/4,0)</f>
        <v>0</v>
      </c>
      <c r="BA13" s="6" t="n">
        <f aca="false">IF(AND(BA3&gt;0,(BA$3&lt;=Inputs!$B$12)),-Inputs!$B$21*Inputs!$B$22/4,0)</f>
        <v>0</v>
      </c>
      <c r="BB13" s="6" t="n">
        <f aca="false">IF(AND(BB3&gt;0,(BB$3&lt;=Inputs!$B$12)),-Inputs!$B$21*Inputs!$B$22/4,0)</f>
        <v>0</v>
      </c>
      <c r="BC13" s="6" t="n">
        <f aca="false">IF(AND(BC3&gt;0,(BC$3&lt;=Inputs!$B$12)),-Inputs!$B$21*Inputs!$B$22/4,0)</f>
        <v>0</v>
      </c>
      <c r="BD13" s="6" t="n">
        <f aca="false">IF(AND(BD3&gt;0,(BD$3&lt;=Inputs!$B$12)),-Inputs!$B$21*Inputs!$B$22/4,0)</f>
        <v>0</v>
      </c>
      <c r="BE13" s="6" t="n">
        <f aca="false">IF(AND(BE3&gt;0,(BE$3&lt;=Inputs!$B$12)),-Inputs!$B$21*Inputs!$B$22/4,0)</f>
        <v>0</v>
      </c>
      <c r="BF13" s="6" t="n">
        <f aca="false">IF(AND(BF3&gt;0,(BF$3&lt;=Inputs!$B$12)),-Inputs!$B$21*Inputs!$B$22/4,0)</f>
        <v>0</v>
      </c>
      <c r="BG13" s="6" t="n">
        <f aca="false">IF(AND(BG3&gt;0,(BG$3&lt;=Inputs!$B$12)),-Inputs!$B$21*Inputs!$B$22/4,0)</f>
        <v>0</v>
      </c>
      <c r="BH13" s="6" t="n">
        <f aca="false">IF(AND(BH3&gt;0,(BH$3&lt;=Inputs!$B$12)),-Inputs!$B$21*Inputs!$B$22/4,0)</f>
        <v>0</v>
      </c>
      <c r="BI13" s="6" t="n">
        <f aca="false">IF(AND(BI3&gt;0,(BI$3&lt;=Inputs!$B$12)),-Inputs!$B$21*Inputs!$B$22/4,0)</f>
        <v>0</v>
      </c>
      <c r="BJ13" s="6" t="n">
        <f aca="false">IF(AND(BJ3&gt;0,(BJ$3&lt;=Inputs!$B$12)),-Inputs!$B$21*Inputs!$B$22/4,0)</f>
        <v>0</v>
      </c>
      <c r="BK13" s="6" t="n">
        <f aca="false">IF(AND(BK3&gt;0,(BK$3&lt;=Inputs!$B$12)),-Inputs!$B$21*Inputs!$B$22/4,0)</f>
        <v>0</v>
      </c>
    </row>
    <row r="14" customFormat="false" ht="15" hidden="false" customHeight="false" outlineLevel="0" collapsed="false">
      <c r="A14" s="0" t="s">
        <v>25</v>
      </c>
      <c r="C14" s="6" t="n">
        <f aca="false">IF(C3=0,-Inputs!$B$21*Inputs!$B$19,0)</f>
        <v>-30750</v>
      </c>
      <c r="D14" s="6" t="n">
        <f aca="false">IF(D3=0,-Inputs!$B$21*Inputs!$B$19,0)</f>
        <v>0</v>
      </c>
      <c r="E14" s="6" t="n">
        <f aca="false">IF(E3=0,-Inputs!$B$21*Inputs!$B$19,0)</f>
        <v>0</v>
      </c>
      <c r="F14" s="6" t="n">
        <f aca="false">IF(F3=0,-Inputs!$B$21*Inputs!$B$19,0)</f>
        <v>0</v>
      </c>
      <c r="G14" s="6" t="n">
        <f aca="false">IF(G3=0,-Inputs!$B$21*Inputs!$B$19,0)</f>
        <v>0</v>
      </c>
      <c r="H14" s="6" t="n">
        <f aca="false">IF(H3=0,-Inputs!$B$21*Inputs!$B$19,0)</f>
        <v>0</v>
      </c>
      <c r="I14" s="6" t="n">
        <f aca="false">IF(I3=0,-Inputs!$B$21*Inputs!$B$19,0)</f>
        <v>0</v>
      </c>
      <c r="J14" s="6" t="n">
        <f aca="false">IF(J3=0,-Inputs!$B$21*Inputs!$B$19,0)</f>
        <v>0</v>
      </c>
      <c r="K14" s="6" t="n">
        <f aca="false">IF(K3=0,-Inputs!$B$21*Inputs!$B$19,0)</f>
        <v>0</v>
      </c>
      <c r="L14" s="6" t="n">
        <f aca="false">IF(L3=0,-Inputs!$B$21*Inputs!$B$19,0)</f>
        <v>0</v>
      </c>
      <c r="M14" s="6" t="n">
        <f aca="false">IF(M3=0,-Inputs!$B$21*Inputs!$B$19,0)</f>
        <v>0</v>
      </c>
      <c r="N14" s="6" t="n">
        <f aca="false">IF(N3=0,-Inputs!$B$21*Inputs!$B$19,0)</f>
        <v>0</v>
      </c>
      <c r="O14" s="6" t="n">
        <f aca="false">IF(O3=0,-Inputs!$B$21*Inputs!$B$19,0)</f>
        <v>0</v>
      </c>
      <c r="P14" s="6" t="n">
        <f aca="false">IF(P3=0,-Inputs!$B$21*Inputs!$B$19,0)</f>
        <v>0</v>
      </c>
      <c r="Q14" s="6" t="n">
        <f aca="false">IF(Q3=0,-Inputs!$B$21*Inputs!$B$19,0)</f>
        <v>0</v>
      </c>
      <c r="R14" s="6" t="n">
        <f aca="false">IF(R3=0,-Inputs!$B$21*Inputs!$B$19,0)</f>
        <v>0</v>
      </c>
      <c r="S14" s="6" t="n">
        <f aca="false">IF(S3=0,-Inputs!$B$21*Inputs!$B$19,0)</f>
        <v>0</v>
      </c>
      <c r="T14" s="6" t="n">
        <f aca="false">IF(T3=0,-Inputs!$B$21*Inputs!$B$19,0)</f>
        <v>0</v>
      </c>
      <c r="U14" s="6" t="n">
        <f aca="false">IF(U3=0,-Inputs!$B$21*Inputs!$B$19,0)</f>
        <v>0</v>
      </c>
      <c r="V14" s="6" t="n">
        <f aca="false">IF(V3=0,-Inputs!$B$21*Inputs!$B$19,0)</f>
        <v>0</v>
      </c>
      <c r="W14" s="6" t="n">
        <f aca="false">IF(W3=0,-Inputs!$B$21*Inputs!$B$19,0)</f>
        <v>0</v>
      </c>
      <c r="X14" s="6" t="n">
        <f aca="false">IF(X3=0,-Inputs!$B$21*Inputs!$B$19,0)</f>
        <v>0</v>
      </c>
      <c r="Y14" s="6" t="n">
        <f aca="false">IF(Y3=0,-Inputs!$B$21*Inputs!$B$19,0)</f>
        <v>0</v>
      </c>
      <c r="Z14" s="6" t="n">
        <f aca="false">IF(Z3=0,-Inputs!$B$21*Inputs!$B$19,0)</f>
        <v>0</v>
      </c>
      <c r="AA14" s="6" t="n">
        <f aca="false">IF(AA3=0,-Inputs!$B$21*Inputs!$B$19,0)</f>
        <v>0</v>
      </c>
      <c r="AB14" s="6" t="n">
        <f aca="false">IF(AB3=0,-Inputs!$B$21*Inputs!$B$19,0)</f>
        <v>0</v>
      </c>
      <c r="AC14" s="6" t="n">
        <f aca="false">IF(AC3=0,-Inputs!$B$21*Inputs!$B$19,0)</f>
        <v>0</v>
      </c>
      <c r="AD14" s="6" t="n">
        <f aca="false">IF(AD3=0,-Inputs!$B$21*Inputs!$B$19,0)</f>
        <v>0</v>
      </c>
      <c r="AE14" s="6" t="n">
        <f aca="false">IF(AE3=0,-Inputs!$B$21*Inputs!$B$19,0)</f>
        <v>0</v>
      </c>
      <c r="AF14" s="6" t="n">
        <f aca="false">IF(AF3=0,-Inputs!$B$21*Inputs!$B$19,0)</f>
        <v>0</v>
      </c>
      <c r="AG14" s="6" t="n">
        <f aca="false">IF(AG3=0,-Inputs!$B$21*Inputs!$B$19,0)</f>
        <v>0</v>
      </c>
      <c r="AH14" s="6" t="n">
        <f aca="false">IF(AH3=0,-Inputs!$B$21*Inputs!$B$19,0)</f>
        <v>0</v>
      </c>
      <c r="AI14" s="6" t="n">
        <f aca="false">IF(AI3=0,-Inputs!$B$21*Inputs!$B$19,0)</f>
        <v>0</v>
      </c>
      <c r="AJ14" s="6" t="n">
        <f aca="false">IF(AJ3=0,-Inputs!$B$21*Inputs!$B$19,0)</f>
        <v>0</v>
      </c>
      <c r="AK14" s="6" t="n">
        <f aca="false">IF(AK3=0,-Inputs!$B$21*Inputs!$B$19,0)</f>
        <v>0</v>
      </c>
      <c r="AL14" s="6" t="n">
        <f aca="false">IF(AL3=0,-Inputs!$B$21*Inputs!$B$19,0)</f>
        <v>0</v>
      </c>
      <c r="AM14" s="6" t="n">
        <f aca="false">IF(AM3=0,-Inputs!$B$21*Inputs!$B$19,0)</f>
        <v>0</v>
      </c>
      <c r="AN14" s="6" t="n">
        <f aca="false">IF(AN3=0,-Inputs!$B$21*Inputs!$B$19,0)</f>
        <v>0</v>
      </c>
      <c r="AO14" s="6" t="n">
        <f aca="false">IF(AO3=0,-Inputs!$B$21*Inputs!$B$19,0)</f>
        <v>0</v>
      </c>
      <c r="AP14" s="6" t="n">
        <f aca="false">IF(AP3=0,-Inputs!$B$21*Inputs!$B$19,0)</f>
        <v>0</v>
      </c>
      <c r="AQ14" s="6" t="n">
        <f aca="false">IF(AQ3=0,-Inputs!$B$21*Inputs!$B$19,0)</f>
        <v>0</v>
      </c>
      <c r="AR14" s="6" t="n">
        <f aca="false">IF(AR3=0,-Inputs!$B$21*Inputs!$B$19,0)</f>
        <v>0</v>
      </c>
      <c r="AS14" s="6" t="n">
        <f aca="false">IF(AS3=0,-Inputs!$B$21*Inputs!$B$19,0)</f>
        <v>0</v>
      </c>
      <c r="AT14" s="6" t="n">
        <f aca="false">IF(AT3=0,-Inputs!$B$21*Inputs!$B$19,0)</f>
        <v>0</v>
      </c>
      <c r="AU14" s="6" t="n">
        <f aca="false">IF(AU3=0,-Inputs!$B$21*Inputs!$B$19,0)</f>
        <v>0</v>
      </c>
      <c r="AV14" s="6" t="n">
        <f aca="false">IF(AV3=0,-Inputs!$B$21*Inputs!$B$19,0)</f>
        <v>0</v>
      </c>
      <c r="AW14" s="6" t="n">
        <f aca="false">IF(AW3=0,-Inputs!$B$21*Inputs!$B$19,0)</f>
        <v>0</v>
      </c>
      <c r="AX14" s="6" t="n">
        <f aca="false">IF(AX3=0,-Inputs!$B$21*Inputs!$B$19,0)</f>
        <v>0</v>
      </c>
      <c r="AY14" s="6" t="n">
        <f aca="false">IF(AY3=0,-Inputs!$B$21*Inputs!$B$19,0)</f>
        <v>0</v>
      </c>
      <c r="AZ14" s="6" t="n">
        <f aca="false">IF(AZ3=0,-Inputs!$B$21*Inputs!$B$19,0)</f>
        <v>0</v>
      </c>
      <c r="BA14" s="6" t="n">
        <f aca="false">IF(BA3=0,-Inputs!$B$21*Inputs!$B$19,0)</f>
        <v>0</v>
      </c>
      <c r="BB14" s="6" t="n">
        <f aca="false">IF(BB3=0,-Inputs!$B$21*Inputs!$B$19,0)</f>
        <v>0</v>
      </c>
      <c r="BC14" s="6" t="n">
        <f aca="false">IF(BC3=0,-Inputs!$B$21*Inputs!$B$19,0)</f>
        <v>0</v>
      </c>
      <c r="BD14" s="6" t="n">
        <f aca="false">IF(BD3=0,-Inputs!$B$21*Inputs!$B$19,0)</f>
        <v>0</v>
      </c>
      <c r="BE14" s="6" t="n">
        <f aca="false">IF(BE3=0,-Inputs!$B$21*Inputs!$B$19,0)</f>
        <v>0</v>
      </c>
      <c r="BF14" s="6" t="n">
        <f aca="false">IF(BF3=0,-Inputs!$B$21*Inputs!$B$19,0)</f>
        <v>0</v>
      </c>
      <c r="BG14" s="6" t="n">
        <f aca="false">IF(BG3=0,-Inputs!$B$21*Inputs!$B$19,0)</f>
        <v>0</v>
      </c>
      <c r="BH14" s="6" t="n">
        <f aca="false">IF(BH3=0,-Inputs!$B$21*Inputs!$B$19,0)</f>
        <v>0</v>
      </c>
      <c r="BI14" s="6" t="n">
        <f aca="false">IF(BI3=0,-Inputs!$B$21*Inputs!$B$19,0)</f>
        <v>0</v>
      </c>
      <c r="BJ14" s="6" t="n">
        <f aca="false">IF(BJ3=0,-Inputs!$B$21*Inputs!$B$19,0)</f>
        <v>0</v>
      </c>
      <c r="BK14" s="6" t="n">
        <f aca="false">IF(BK3=0,-Inputs!$B$21*Inputs!$B$19,0)</f>
        <v>0</v>
      </c>
    </row>
    <row r="15" customFormat="false" ht="15" hidden="false" customHeight="false" outlineLevel="0" collapsed="false">
      <c r="A15" s="0" t="s">
        <v>38</v>
      </c>
      <c r="C15" s="6" t="n">
        <f aca="false">IF(C3=Inputs!$B$12,-Inputs!$B$21,0)</f>
        <v>0</v>
      </c>
      <c r="D15" s="6" t="n">
        <f aca="false">IF(D3=Inputs!$B$12,-Inputs!$B$21,0)</f>
        <v>0</v>
      </c>
      <c r="E15" s="6" t="n">
        <f aca="false">IF(E3=Inputs!$B$12,-Inputs!$B$21,0)</f>
        <v>0</v>
      </c>
      <c r="F15" s="6" t="n">
        <f aca="false">IF(F3=Inputs!$B$12,-Inputs!$B$21,0)</f>
        <v>0</v>
      </c>
      <c r="G15" s="6" t="n">
        <f aca="false">IF(G3=Inputs!$B$12,-Inputs!$B$21,0)</f>
        <v>0</v>
      </c>
      <c r="H15" s="6" t="n">
        <f aca="false">IF(H3=Inputs!$B$12,-Inputs!$B$21,0)</f>
        <v>0</v>
      </c>
      <c r="I15" s="6" t="n">
        <f aca="false">IF(I3=Inputs!$B$12,-Inputs!$B$21,0)</f>
        <v>0</v>
      </c>
      <c r="J15" s="6" t="n">
        <f aca="false">IF(J3=Inputs!$B$12,-Inputs!$B$21,0)</f>
        <v>0</v>
      </c>
      <c r="K15" s="6" t="n">
        <f aca="false">IF(K3=Inputs!$B$12,-Inputs!$B$21,0)</f>
        <v>0</v>
      </c>
      <c r="L15" s="6" t="n">
        <f aca="false">IF(L3=Inputs!$B$12,-Inputs!$B$21,0)</f>
        <v>0</v>
      </c>
      <c r="M15" s="6" t="n">
        <f aca="false">IF(M3=Inputs!$B$12,-Inputs!$B$21,0)</f>
        <v>0</v>
      </c>
      <c r="N15" s="6" t="n">
        <f aca="false">IF(N3=Inputs!$B$12,-Inputs!$B$21,0)</f>
        <v>0</v>
      </c>
      <c r="O15" s="6" t="n">
        <f aca="false">IF(O3=Inputs!$B$12,-Inputs!$B$21,0)</f>
        <v>0</v>
      </c>
      <c r="P15" s="6" t="n">
        <f aca="false">IF(P3=Inputs!$B$12,-Inputs!$B$21,0)</f>
        <v>0</v>
      </c>
      <c r="Q15" s="6" t="n">
        <f aca="false">IF(Q3=Inputs!$B$12,-Inputs!$B$21,0)</f>
        <v>0</v>
      </c>
      <c r="R15" s="6" t="n">
        <f aca="false">IF(R3=Inputs!$B$12,-Inputs!$B$21,0)</f>
        <v>0</v>
      </c>
      <c r="S15" s="6" t="n">
        <f aca="false">IF(S3=Inputs!$B$12,-Inputs!$B$21,0)</f>
        <v>0</v>
      </c>
      <c r="T15" s="6" t="n">
        <f aca="false">IF(T3=Inputs!$B$12,-Inputs!$B$21,0)</f>
        <v>0</v>
      </c>
      <c r="U15" s="6" t="n">
        <f aca="false">IF(U3=Inputs!$B$12,-Inputs!$B$21,0)</f>
        <v>0</v>
      </c>
      <c r="V15" s="6" t="n">
        <f aca="false">IF(V3=Inputs!$B$12,-Inputs!$B$21,0)</f>
        <v>0</v>
      </c>
      <c r="W15" s="6" t="n">
        <f aca="false">IF(W3=Inputs!$B$12,-Inputs!$B$21,0)</f>
        <v>0</v>
      </c>
      <c r="X15" s="6" t="n">
        <f aca="false">IF(X3=Inputs!$B$12,-Inputs!$B$21,0)</f>
        <v>0</v>
      </c>
      <c r="Y15" s="6" t="n">
        <f aca="false">IF(Y3=Inputs!$B$12,-Inputs!$B$21,0)</f>
        <v>0</v>
      </c>
      <c r="Z15" s="6" t="n">
        <f aca="false">IF(Z3=Inputs!$B$12,-Inputs!$B$21,0)</f>
        <v>0</v>
      </c>
      <c r="AA15" s="6" t="n">
        <f aca="false">IF(AA3=Inputs!$B$12,-Inputs!$B$21,0)</f>
        <v>0</v>
      </c>
      <c r="AB15" s="6" t="n">
        <f aca="false">IF(AB3=Inputs!$B$12,-Inputs!$B$21,0)</f>
        <v>0</v>
      </c>
      <c r="AC15" s="6" t="n">
        <f aca="false">IF(AC3=Inputs!$B$12,-Inputs!$B$21,0)</f>
        <v>0</v>
      </c>
      <c r="AD15" s="6" t="n">
        <f aca="false">IF(AD3=Inputs!$B$12,-Inputs!$B$21,0)</f>
        <v>0</v>
      </c>
      <c r="AE15" s="6" t="n">
        <f aca="false">IF(AE3=Inputs!$B$12,-Inputs!$B$21,0)</f>
        <v>0</v>
      </c>
      <c r="AF15" s="6" t="n">
        <f aca="false">IF(AF3=Inputs!$B$12,-Inputs!$B$21,0)</f>
        <v>0</v>
      </c>
      <c r="AG15" s="6" t="n">
        <f aca="false">IF(AG3=Inputs!$B$12,-Inputs!$B$21,0)</f>
        <v>0</v>
      </c>
      <c r="AH15" s="6" t="n">
        <f aca="false">IF(AH3=Inputs!$B$12,-Inputs!$B$21,0)</f>
        <v>0</v>
      </c>
      <c r="AI15" s="6" t="n">
        <f aca="false">IF(AI3=Inputs!$B$12,-Inputs!$B$21,0)</f>
        <v>0</v>
      </c>
      <c r="AJ15" s="6" t="n">
        <f aca="false">IF(AJ3=Inputs!$B$12,-Inputs!$B$21,0)</f>
        <v>0</v>
      </c>
      <c r="AK15" s="6" t="n">
        <f aca="false">IF(AK3=Inputs!$B$12,-Inputs!$B$21,0)</f>
        <v>0</v>
      </c>
      <c r="AL15" s="6" t="n">
        <f aca="false">IF(AL3=Inputs!$B$12,-Inputs!$B$21,0)</f>
        <v>0</v>
      </c>
      <c r="AM15" s="6" t="n">
        <f aca="false">IF(AM3=Inputs!$B$12,-Inputs!$B$21,0)</f>
        <v>0</v>
      </c>
      <c r="AN15" s="6" t="n">
        <f aca="false">IF(AN3=Inputs!$B$12,-Inputs!$B$21,0)</f>
        <v>0</v>
      </c>
      <c r="AO15" s="6" t="n">
        <f aca="false">IF(AO3=Inputs!$B$12,-Inputs!$B$21,0)</f>
        <v>0</v>
      </c>
      <c r="AP15" s="6" t="n">
        <f aca="false">IF(AP3=Inputs!$B$12,-Inputs!$B$21,0)</f>
        <v>0</v>
      </c>
      <c r="AQ15" s="6" t="n">
        <f aca="false">IF(AQ3=Inputs!$B$12,-Inputs!$B$21,0)</f>
        <v>-3075000</v>
      </c>
      <c r="AR15" s="6" t="n">
        <f aca="false">IF(AR3=Inputs!$B$12,-Inputs!$B$21,0)</f>
        <v>0</v>
      </c>
      <c r="AS15" s="6" t="n">
        <f aca="false">IF(AS3=Inputs!$B$12,-Inputs!$B$21,0)</f>
        <v>0</v>
      </c>
      <c r="AT15" s="6" t="n">
        <f aca="false">IF(AT3=Inputs!$B$12,-Inputs!$B$21,0)</f>
        <v>0</v>
      </c>
      <c r="AU15" s="6" t="n">
        <f aca="false">IF(AU3=Inputs!$B$12,-Inputs!$B$21,0)</f>
        <v>0</v>
      </c>
      <c r="AV15" s="6" t="n">
        <f aca="false">IF(AV3=Inputs!$B$12,-Inputs!$B$21,0)</f>
        <v>0</v>
      </c>
      <c r="AW15" s="6" t="n">
        <f aca="false">IF(AW3=Inputs!$B$12,-Inputs!$B$21,0)</f>
        <v>0</v>
      </c>
      <c r="AX15" s="6" t="n">
        <f aca="false">IF(AX3=Inputs!$B$12,-Inputs!$B$21,0)</f>
        <v>0</v>
      </c>
      <c r="AY15" s="6" t="n">
        <f aca="false">IF(AY3=Inputs!$B$12,-Inputs!$B$21,0)</f>
        <v>0</v>
      </c>
      <c r="AZ15" s="6" t="n">
        <f aca="false">IF(AZ3=Inputs!$B$12,-Inputs!$B$21,0)</f>
        <v>0</v>
      </c>
      <c r="BA15" s="6" t="n">
        <f aca="false">IF(BA3=Inputs!$B$12,-Inputs!$B$21,0)</f>
        <v>0</v>
      </c>
      <c r="BB15" s="6" t="n">
        <f aca="false">IF(BB3=Inputs!$B$12,-Inputs!$B$21,0)</f>
        <v>0</v>
      </c>
      <c r="BC15" s="6" t="n">
        <f aca="false">IF(BC3=Inputs!$B$12,-Inputs!$B$21,0)</f>
        <v>0</v>
      </c>
      <c r="BD15" s="6" t="n">
        <f aca="false">IF(BD3=Inputs!$B$12,-Inputs!$B$21,0)</f>
        <v>0</v>
      </c>
      <c r="BE15" s="6" t="n">
        <f aca="false">IF(BE3=Inputs!$B$12,-Inputs!$B$21,0)</f>
        <v>0</v>
      </c>
      <c r="BF15" s="6" t="n">
        <f aca="false">IF(BF3=Inputs!$B$12,-Inputs!$B$21,0)</f>
        <v>0</v>
      </c>
      <c r="BG15" s="6" t="n">
        <f aca="false">IF(BG3=Inputs!$B$12,-Inputs!$B$21,0)</f>
        <v>0</v>
      </c>
      <c r="BH15" s="6" t="n">
        <f aca="false">IF(BH3=Inputs!$B$12,-Inputs!$B$21,0)</f>
        <v>0</v>
      </c>
      <c r="BI15" s="6" t="n">
        <f aca="false">IF(BI3=Inputs!$B$12,-Inputs!$B$21,0)</f>
        <v>0</v>
      </c>
      <c r="BJ15" s="6" t="n">
        <f aca="false">IF(BJ3=Inputs!$B$12,-Inputs!$B$21,0)</f>
        <v>0</v>
      </c>
      <c r="BK15" s="6" t="n">
        <f aca="false">IF(BK3=Inputs!$B$12,-Inputs!$B$21,0)</f>
        <v>0</v>
      </c>
    </row>
    <row r="17" customFormat="false" ht="15" hidden="false" customHeight="false" outlineLevel="0" collapsed="false">
      <c r="A17" s="0" t="s">
        <v>39</v>
      </c>
      <c r="C17" s="6" t="n">
        <f aca="false">(C$3&lt;=Inputs!$B$12)*(C7+C9+C10)</f>
        <v>-6469450</v>
      </c>
      <c r="D17" s="6" t="n">
        <f aca="false">(D$3&lt;=Inputs!$B$12)*(D7+D9+D10)</f>
        <v>98750</v>
      </c>
      <c r="E17" s="6" t="n">
        <f aca="false">(E$3&lt;=Inputs!$B$12)*(E7+E9+E10)</f>
        <v>98750</v>
      </c>
      <c r="F17" s="6" t="n">
        <f aca="false">(F$3&lt;=Inputs!$B$12)*(F7+F9+F10)</f>
        <v>98750</v>
      </c>
      <c r="G17" s="6" t="n">
        <f aca="false">(G$3&lt;=Inputs!$B$12)*(G7+G9+G10)</f>
        <v>98750</v>
      </c>
      <c r="H17" s="6" t="n">
        <f aca="false">(H$3&lt;=Inputs!$B$12)*(H7+H9+H10)</f>
        <v>98750</v>
      </c>
      <c r="I17" s="6" t="n">
        <f aca="false">(I$3&lt;=Inputs!$B$12)*(I7+I9+I10)</f>
        <v>111726.561022949</v>
      </c>
      <c r="J17" s="6" t="n">
        <f aca="false">(J$3&lt;=Inputs!$B$12)*(J7+J9+J10)</f>
        <v>111726.561022949</v>
      </c>
      <c r="K17" s="6" t="n">
        <f aca="false">(K$3&lt;=Inputs!$B$12)*(K7+K9+K10)</f>
        <v>111726.561022949</v>
      </c>
      <c r="L17" s="6" t="n">
        <f aca="false">(L$3&lt;=Inputs!$B$12)*(L7+L9+L10)</f>
        <v>111726.561022949</v>
      </c>
      <c r="M17" s="6" t="n">
        <f aca="false">(M$3&lt;=Inputs!$B$12)*(M7+M9+M10)</f>
        <v>111726.561022949</v>
      </c>
      <c r="N17" s="6" t="n">
        <f aca="false">(N$3&lt;=Inputs!$B$12)*(N7+N9+N10)</f>
        <v>111726.561022949</v>
      </c>
      <c r="O17" s="6" t="n">
        <f aca="false">(O$3&lt;=Inputs!$B$12)*(O7+O9+O10)</f>
        <v>111726.561022949</v>
      </c>
      <c r="P17" s="6" t="n">
        <f aca="false">(P$3&lt;=Inputs!$B$12)*(P7+P9+P10)</f>
        <v>111726.561022949</v>
      </c>
      <c r="Q17" s="6" t="n">
        <f aca="false">(Q$3&lt;=Inputs!$B$12)*(Q7+Q9+Q10)</f>
        <v>111726.561022949</v>
      </c>
      <c r="R17" s="6" t="n">
        <f aca="false">(R$3&lt;=Inputs!$B$12)*(R7+R9+R10)</f>
        <v>111726.561022949</v>
      </c>
      <c r="S17" s="6" t="n">
        <f aca="false">(S$3&lt;=Inputs!$B$12)*(S7+S9+S10)</f>
        <v>111726.561022949</v>
      </c>
      <c r="T17" s="6" t="n">
        <f aca="false">(T$3&lt;=Inputs!$B$12)*(T7+T9+T10)</f>
        <v>111726.561022949</v>
      </c>
      <c r="U17" s="6" t="n">
        <f aca="false">(U$3&lt;=Inputs!$B$12)*(U7+U9+U10)</f>
        <v>111726.561022949</v>
      </c>
      <c r="V17" s="6" t="n">
        <f aca="false">(V$3&lt;=Inputs!$B$12)*(V7+V9+V10)</f>
        <v>111726.561022949</v>
      </c>
      <c r="W17" s="6" t="n">
        <f aca="false">(W$3&lt;=Inputs!$B$12)*(W7+W9+W10)</f>
        <v>111726.561022949</v>
      </c>
      <c r="X17" s="6" t="n">
        <f aca="false">(X$3&lt;=Inputs!$B$12)*(X7+X9+X10)</f>
        <v>111726.561022949</v>
      </c>
      <c r="Y17" s="6" t="n">
        <f aca="false">(Y$3&lt;=Inputs!$B$12)*(Y7+Y9+Y10)</f>
        <v>111726.561022949</v>
      </c>
      <c r="Z17" s="6" t="n">
        <f aca="false">(Z$3&lt;=Inputs!$B$12)*(Z7+Z9+Z10)</f>
        <v>111726.561022949</v>
      </c>
      <c r="AA17" s="6" t="n">
        <f aca="false">(AA$3&lt;=Inputs!$B$12)*(AA7+AA9+AA10)</f>
        <v>111726.561022949</v>
      </c>
      <c r="AB17" s="6" t="n">
        <f aca="false">(AB$3&lt;=Inputs!$B$12)*(AB7+AB9+AB10)</f>
        <v>111726.561022949</v>
      </c>
      <c r="AC17" s="6" t="n">
        <f aca="false">(AC$3&lt;=Inputs!$B$12)*(AC7+AC9+AC10)</f>
        <v>126408.34873939</v>
      </c>
      <c r="AD17" s="6" t="n">
        <f aca="false">(AD$3&lt;=Inputs!$B$12)*(AD7+AD9+AD10)</f>
        <v>126408.34873939</v>
      </c>
      <c r="AE17" s="6" t="n">
        <f aca="false">(AE$3&lt;=Inputs!$B$12)*(AE7+AE9+AE10)</f>
        <v>126408.34873939</v>
      </c>
      <c r="AF17" s="6" t="n">
        <f aca="false">(AF$3&lt;=Inputs!$B$12)*(AF7+AF9+AF10)</f>
        <v>126408.34873939</v>
      </c>
      <c r="AG17" s="6" t="n">
        <f aca="false">(AG$3&lt;=Inputs!$B$12)*(AG7+AG9+AG10)</f>
        <v>126408.34873939</v>
      </c>
      <c r="AH17" s="6" t="n">
        <f aca="false">(AH$3&lt;=Inputs!$B$12)*(AH7+AH9+AH10)</f>
        <v>126408.34873939</v>
      </c>
      <c r="AI17" s="6" t="n">
        <f aca="false">(AI$3&lt;=Inputs!$B$12)*(AI7+AI9+AI10)</f>
        <v>126408.34873939</v>
      </c>
      <c r="AJ17" s="6" t="n">
        <f aca="false">(AJ$3&lt;=Inputs!$B$12)*(AJ7+AJ9+AJ10)</f>
        <v>126408.34873939</v>
      </c>
      <c r="AK17" s="6" t="n">
        <f aca="false">(AK$3&lt;=Inputs!$B$12)*(AK7+AK9+AK10)</f>
        <v>126408.34873939</v>
      </c>
      <c r="AL17" s="6" t="n">
        <f aca="false">(AL$3&lt;=Inputs!$B$12)*(AL7+AL9+AL10)</f>
        <v>126408.34873939</v>
      </c>
      <c r="AM17" s="6" t="n">
        <f aca="false">(AM$3&lt;=Inputs!$B$12)*(AM7+AM9+AM10)</f>
        <v>126408.34873939</v>
      </c>
      <c r="AN17" s="6" t="n">
        <f aca="false">(AN$3&lt;=Inputs!$B$12)*(AN7+AN9+AN10)</f>
        <v>126408.34873939</v>
      </c>
      <c r="AO17" s="6" t="n">
        <f aca="false">(AO$3&lt;=Inputs!$B$12)*(AO7+AO9+AO10)</f>
        <v>126408.34873939</v>
      </c>
      <c r="AP17" s="6" t="n">
        <f aca="false">(AP$3&lt;=Inputs!$B$12)*(AP7+AP9+AP10)</f>
        <v>126408.34873939</v>
      </c>
      <c r="AQ17" s="6" t="n">
        <f aca="false">(AQ$3&lt;=Inputs!$B$12)*(AQ7+AQ9+AQ10)</f>
        <v>7575032.13419567</v>
      </c>
      <c r="AR17" s="6" t="n">
        <f aca="false">(AR$3&lt;=Inputs!$B$12)*(AR7+AR9+AR10)</f>
        <v>0</v>
      </c>
      <c r="AS17" s="6" t="n">
        <f aca="false">(AS$3&lt;=Inputs!$B$12)*(AS7+AS9+AS10)</f>
        <v>0</v>
      </c>
      <c r="AT17" s="6" t="n">
        <f aca="false">(AT$3&lt;=Inputs!$B$12)*(AT7+AT9+AT10)</f>
        <v>0</v>
      </c>
      <c r="AU17" s="6" t="n">
        <f aca="false">(AU$3&lt;=Inputs!$B$12)*(AU7+AU9+AU10)</f>
        <v>0</v>
      </c>
      <c r="AV17" s="6" t="n">
        <f aca="false">(AV$3&lt;=Inputs!$B$12)*(AV7+AV9+AV10)</f>
        <v>0</v>
      </c>
      <c r="AW17" s="6" t="n">
        <f aca="false">(AW$3&lt;=Inputs!$B$12)*(AW7+AW9+AW10)</f>
        <v>0</v>
      </c>
      <c r="AX17" s="6" t="n">
        <f aca="false">(AX$3&lt;=Inputs!$B$12)*(AX7+AX9+AX10)</f>
        <v>0</v>
      </c>
      <c r="AY17" s="6" t="n">
        <f aca="false">(AY$3&lt;=Inputs!$B$12)*(AY7+AY9+AY10)</f>
        <v>0</v>
      </c>
      <c r="AZ17" s="6" t="n">
        <f aca="false">(AZ$3&lt;=Inputs!$B$12)*(AZ7+AZ9+AZ10)</f>
        <v>0</v>
      </c>
      <c r="BA17" s="6" t="n">
        <f aca="false">(BA$3&lt;=Inputs!$B$12)*(BA7+BA9+BA10)</f>
        <v>0</v>
      </c>
      <c r="BB17" s="6" t="n">
        <f aca="false">(BB$3&lt;=Inputs!$B$12)*(BB7+BB9+BB10)</f>
        <v>0</v>
      </c>
      <c r="BC17" s="6" t="n">
        <f aca="false">(BC$3&lt;=Inputs!$B$12)*(BC7+BC9+BC10)</f>
        <v>0</v>
      </c>
      <c r="BD17" s="6" t="n">
        <f aca="false">(BD$3&lt;=Inputs!$B$12)*(BD7+BD9+BD10)</f>
        <v>0</v>
      </c>
      <c r="BE17" s="6" t="n">
        <f aca="false">(BE$3&lt;=Inputs!$B$12)*(BE7+BE9+BE10)</f>
        <v>0</v>
      </c>
      <c r="BF17" s="6" t="n">
        <f aca="false">(BF$3&lt;=Inputs!$B$12)*(BF7+BF9+BF10)</f>
        <v>0</v>
      </c>
      <c r="BG17" s="6" t="n">
        <f aca="false">(BG$3&lt;=Inputs!$B$12)*(BG7+BG9+BG10)</f>
        <v>0</v>
      </c>
      <c r="BH17" s="6" t="n">
        <f aca="false">(BH$3&lt;=Inputs!$B$12)*(BH7+BH9+BH10)</f>
        <v>0</v>
      </c>
      <c r="BI17" s="6" t="n">
        <f aca="false">(BI$3&lt;=Inputs!$B$12)*(BI7+BI9+BI10)</f>
        <v>0</v>
      </c>
      <c r="BJ17" s="6" t="n">
        <f aca="false">(BJ$3&lt;=Inputs!$B$12)*(BJ7+BJ9+BJ10)</f>
        <v>0</v>
      </c>
      <c r="BK17" s="6" t="n">
        <f aca="false">(BK$3&lt;=Inputs!$B$12)*(BK7+BK9+BK10)</f>
        <v>0</v>
      </c>
    </row>
    <row r="18" customFormat="false" ht="15" hidden="false" customHeight="false" outlineLevel="0" collapsed="false">
      <c r="A18" s="0" t="s">
        <v>40</v>
      </c>
      <c r="C18" s="6" t="n">
        <f aca="false">(C$3&lt;=Inputs!$B$12)*(C17+C12+C13+C14+C15)</f>
        <v>-3425200</v>
      </c>
      <c r="D18" s="6" t="n">
        <f aca="false">(D$3&lt;=Inputs!$B$12)*(D17+D12+D13+D14+D15)</f>
        <v>52625</v>
      </c>
      <c r="E18" s="6" t="n">
        <f aca="false">(E$3&lt;=Inputs!$B$12)*(E17+E12+E13+E14+E15)</f>
        <v>52625</v>
      </c>
      <c r="F18" s="6" t="n">
        <f aca="false">(F$3&lt;=Inputs!$B$12)*(F17+F12+F13+F14+F15)</f>
        <v>52625</v>
      </c>
      <c r="G18" s="6" t="n">
        <f aca="false">(G$3&lt;=Inputs!$B$12)*(G17+G12+G13+G14+G15)</f>
        <v>52625</v>
      </c>
      <c r="H18" s="6" t="n">
        <f aca="false">(H$3&lt;=Inputs!$B$12)*(H17+H12+H13+H14+H15)</f>
        <v>52625</v>
      </c>
      <c r="I18" s="6" t="n">
        <f aca="false">(I$3&lt;=Inputs!$B$12)*(I17+I12+I13+I14+I15)</f>
        <v>65601.5610229492</v>
      </c>
      <c r="J18" s="6" t="n">
        <f aca="false">(J$3&lt;=Inputs!$B$12)*(J17+J12+J13+J14+J15)</f>
        <v>65601.5610229492</v>
      </c>
      <c r="K18" s="6" t="n">
        <f aca="false">(K$3&lt;=Inputs!$B$12)*(K17+K12+K13+K14+K15)</f>
        <v>65601.5610229492</v>
      </c>
      <c r="L18" s="6" t="n">
        <f aca="false">(L$3&lt;=Inputs!$B$12)*(L17+L12+L13+L14+L15)</f>
        <v>65601.5610229492</v>
      </c>
      <c r="M18" s="6" t="n">
        <f aca="false">(M$3&lt;=Inputs!$B$12)*(M17+M12+M13+M14+M15)</f>
        <v>65601.5610229492</v>
      </c>
      <c r="N18" s="6" t="n">
        <f aca="false">(N$3&lt;=Inputs!$B$12)*(N17+N12+N13+N14+N15)</f>
        <v>65601.5610229492</v>
      </c>
      <c r="O18" s="6" t="n">
        <f aca="false">(O$3&lt;=Inputs!$B$12)*(O17+O12+O13+O14+O15)</f>
        <v>65601.5610229492</v>
      </c>
      <c r="P18" s="6" t="n">
        <f aca="false">(P$3&lt;=Inputs!$B$12)*(P17+P12+P13+P14+P15)</f>
        <v>65601.5610229492</v>
      </c>
      <c r="Q18" s="6" t="n">
        <f aca="false">(Q$3&lt;=Inputs!$B$12)*(Q17+Q12+Q13+Q14+Q15)</f>
        <v>65601.5610229492</v>
      </c>
      <c r="R18" s="6" t="n">
        <f aca="false">(R$3&lt;=Inputs!$B$12)*(R17+R12+R13+R14+R15)</f>
        <v>65601.5610229492</v>
      </c>
      <c r="S18" s="6" t="n">
        <f aca="false">(S$3&lt;=Inputs!$B$12)*(S17+S12+S13+S14+S15)</f>
        <v>65601.5610229492</v>
      </c>
      <c r="T18" s="6" t="n">
        <f aca="false">(T$3&lt;=Inputs!$B$12)*(T17+T12+T13+T14+T15)</f>
        <v>65601.5610229492</v>
      </c>
      <c r="U18" s="6" t="n">
        <f aca="false">(U$3&lt;=Inputs!$B$12)*(U17+U12+U13+U14+U15)</f>
        <v>65601.5610229492</v>
      </c>
      <c r="V18" s="6" t="n">
        <f aca="false">(V$3&lt;=Inputs!$B$12)*(V17+V12+V13+V14+V15)</f>
        <v>65601.5610229492</v>
      </c>
      <c r="W18" s="6" t="n">
        <f aca="false">(W$3&lt;=Inputs!$B$12)*(W17+W12+W13+W14+W15)</f>
        <v>65601.5610229492</v>
      </c>
      <c r="X18" s="6" t="n">
        <f aca="false">(X$3&lt;=Inputs!$B$12)*(X17+X12+X13+X14+X15)</f>
        <v>65601.5610229492</v>
      </c>
      <c r="Y18" s="6" t="n">
        <f aca="false">(Y$3&lt;=Inputs!$B$12)*(Y17+Y12+Y13+Y14+Y15)</f>
        <v>65601.5610229492</v>
      </c>
      <c r="Z18" s="6" t="n">
        <f aca="false">(Z$3&lt;=Inputs!$B$12)*(Z17+Z12+Z13+Z14+Z15)</f>
        <v>65601.5610229492</v>
      </c>
      <c r="AA18" s="6" t="n">
        <f aca="false">(AA$3&lt;=Inputs!$B$12)*(AA17+AA12+AA13+AA14+AA15)</f>
        <v>65601.5610229492</v>
      </c>
      <c r="AB18" s="6" t="n">
        <f aca="false">(AB$3&lt;=Inputs!$B$12)*(AB17+AB12+AB13+AB14+AB15)</f>
        <v>65601.5610229492</v>
      </c>
      <c r="AC18" s="6" t="n">
        <f aca="false">(AC$3&lt;=Inputs!$B$12)*(AC17+AC12+AC13+AC14+AC15)</f>
        <v>80283.3487393902</v>
      </c>
      <c r="AD18" s="6" t="n">
        <f aca="false">(AD$3&lt;=Inputs!$B$12)*(AD17+AD12+AD13+AD14+AD15)</f>
        <v>80283.3487393902</v>
      </c>
      <c r="AE18" s="6" t="n">
        <f aca="false">(AE$3&lt;=Inputs!$B$12)*(AE17+AE12+AE13+AE14+AE15)</f>
        <v>80283.3487393902</v>
      </c>
      <c r="AF18" s="6" t="n">
        <f aca="false">(AF$3&lt;=Inputs!$B$12)*(AF17+AF12+AF13+AF14+AF15)</f>
        <v>80283.3487393902</v>
      </c>
      <c r="AG18" s="6" t="n">
        <f aca="false">(AG$3&lt;=Inputs!$B$12)*(AG17+AG12+AG13+AG14+AG15)</f>
        <v>80283.3487393902</v>
      </c>
      <c r="AH18" s="6" t="n">
        <f aca="false">(AH$3&lt;=Inputs!$B$12)*(AH17+AH12+AH13+AH14+AH15)</f>
        <v>80283.3487393902</v>
      </c>
      <c r="AI18" s="6" t="n">
        <f aca="false">(AI$3&lt;=Inputs!$B$12)*(AI17+AI12+AI13+AI14+AI15)</f>
        <v>80283.3487393902</v>
      </c>
      <c r="AJ18" s="6" t="n">
        <f aca="false">(AJ$3&lt;=Inputs!$B$12)*(AJ17+AJ12+AJ13+AJ14+AJ15)</f>
        <v>80283.3487393902</v>
      </c>
      <c r="AK18" s="6" t="n">
        <f aca="false">(AK$3&lt;=Inputs!$B$12)*(AK17+AK12+AK13+AK14+AK15)</f>
        <v>80283.3487393902</v>
      </c>
      <c r="AL18" s="6" t="n">
        <f aca="false">(AL$3&lt;=Inputs!$B$12)*(AL17+AL12+AL13+AL14+AL15)</f>
        <v>80283.3487393902</v>
      </c>
      <c r="AM18" s="6" t="n">
        <f aca="false">(AM$3&lt;=Inputs!$B$12)*(AM17+AM12+AM13+AM14+AM15)</f>
        <v>80283.3487393902</v>
      </c>
      <c r="AN18" s="6" t="n">
        <f aca="false">(AN$3&lt;=Inputs!$B$12)*(AN17+AN12+AN13+AN14+AN15)</f>
        <v>80283.3487393902</v>
      </c>
      <c r="AO18" s="6" t="n">
        <f aca="false">(AO$3&lt;=Inputs!$B$12)*(AO17+AO12+AO13+AO14+AO15)</f>
        <v>80283.3487393902</v>
      </c>
      <c r="AP18" s="6" t="n">
        <f aca="false">(AP$3&lt;=Inputs!$B$12)*(AP17+AP12+AP13+AP14+AP15)</f>
        <v>80283.3487393902</v>
      </c>
      <c r="AQ18" s="6" t="n">
        <f aca="false">(AQ$3&lt;=Inputs!$B$12)*(AQ17+AQ12+AQ13+AQ14+AQ15)</f>
        <v>4453907.13419567</v>
      </c>
      <c r="AR18" s="6" t="n">
        <f aca="false">(AR$3&lt;=Inputs!$B$12)*(AR17+AR12+AR13+AR14+AR15)</f>
        <v>0</v>
      </c>
      <c r="AS18" s="6" t="n">
        <f aca="false">(AS$3&lt;=Inputs!$B$12)*(AS17+AS12+AS13+AS14+AS15)</f>
        <v>0</v>
      </c>
      <c r="AT18" s="6" t="n">
        <f aca="false">(AT$3&lt;=Inputs!$B$12)*(AT17+AT12+AT13+AT14+AT15)</f>
        <v>0</v>
      </c>
      <c r="AU18" s="6" t="n">
        <f aca="false">(AU$3&lt;=Inputs!$B$12)*(AU17+AU12+AU13+AU14+AU15)</f>
        <v>0</v>
      </c>
      <c r="AV18" s="6" t="n">
        <f aca="false">(AV$3&lt;=Inputs!$B$12)*(AV17+AV12+AV13+AV14+AV15)</f>
        <v>0</v>
      </c>
      <c r="AW18" s="6" t="n">
        <f aca="false">(AW$3&lt;=Inputs!$B$12)*(AW17+AW12+AW13+AW14+AW15)</f>
        <v>0</v>
      </c>
      <c r="AX18" s="6" t="n">
        <f aca="false">(AX$3&lt;=Inputs!$B$12)*(AX17+AX12+AX13+AX14+AX15)</f>
        <v>0</v>
      </c>
      <c r="AY18" s="6" t="n">
        <f aca="false">(AY$3&lt;=Inputs!$B$12)*(AY17+AY12+AY13+AY14+AY15)</f>
        <v>0</v>
      </c>
      <c r="AZ18" s="6" t="n">
        <f aca="false">(AZ$3&lt;=Inputs!$B$12)*(AZ17+AZ12+AZ13+AZ14+AZ15)</f>
        <v>0</v>
      </c>
      <c r="BA18" s="6" t="n">
        <f aca="false">(BA$3&lt;=Inputs!$B$12)*(BA17+BA12+BA13+BA14+BA15)</f>
        <v>0</v>
      </c>
      <c r="BB18" s="6" t="n">
        <f aca="false">(BB$3&lt;=Inputs!$B$12)*(BB17+BB12+BB13+BB14+BB15)</f>
        <v>0</v>
      </c>
      <c r="BC18" s="6" t="n">
        <f aca="false">(BC$3&lt;=Inputs!$B$12)*(BC17+BC12+BC13+BC14+BC15)</f>
        <v>0</v>
      </c>
      <c r="BD18" s="6" t="n">
        <f aca="false">(BD$3&lt;=Inputs!$B$12)*(BD17+BD12+BD13+BD14+BD15)</f>
        <v>0</v>
      </c>
      <c r="BE18" s="6" t="n">
        <f aca="false">(BE$3&lt;=Inputs!$B$12)*(BE17+BE12+BE13+BE14+BE15)</f>
        <v>0</v>
      </c>
      <c r="BF18" s="6" t="n">
        <f aca="false">(BF$3&lt;=Inputs!$B$12)*(BF17+BF12+BF13+BF14+BF15)</f>
        <v>0</v>
      </c>
      <c r="BG18" s="6" t="n">
        <f aca="false">(BG$3&lt;=Inputs!$B$12)*(BG17+BG12+BG13+BG14+BG15)</f>
        <v>0</v>
      </c>
      <c r="BH18" s="6" t="n">
        <f aca="false">(BH$3&lt;=Inputs!$B$12)*(BH17+BH12+BH13+BH14+BH15)</f>
        <v>0</v>
      </c>
      <c r="BI18" s="6" t="n">
        <f aca="false">(BI$3&lt;=Inputs!$B$12)*(BI17+BI12+BI13+BI14+BI15)</f>
        <v>0</v>
      </c>
      <c r="BJ18" s="6" t="n">
        <f aca="false">(BJ$3&lt;=Inputs!$B$12)*(BJ17+BJ12+BJ13+BJ14+BJ15)</f>
        <v>0</v>
      </c>
      <c r="BK18" s="6" t="n">
        <f aca="false">(BK$3&lt;=Inputs!$B$12)*(BK17+BK12+BK13+BK14+BK15)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2026-10-19T19:16:39Z</dcterms:created>
  <dc:creator>openpyxl</dc:creator>
  <dc:description/>
  <dc:language>en-US</dc:language>
  <cp:lastModifiedBy/>
  <dcterms:modified xsi:type="dcterms:W3CDTF">2026-10-19T19:16:39Z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