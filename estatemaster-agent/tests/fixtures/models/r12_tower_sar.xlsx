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nthly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<sst xmlns="http://schemas.openxmlformats.org/spreadsheetml/2006/main" count="28" uniqueCount="28">
  <si>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KAFD TOWER 7 – MIXED-USE DEVELOPMENT (SAR) – MONTHLY</t>
  </si>
  <si>
    <t xml:space="preserve">Project start date</t>
  </si>
  <si>
    <t xml:space="preserve">Construction (months)</t>
  </si>
  <si>
    <t xml:space="preserve">Land (SAR)</t>
  </si>
  <si>
    <t xml:space="preserve">Construction cost (SAR)</t>
  </si>
  <si>
    <t xml:space="preserve">Office NLA (sqm)</t>
  </si>
  <si>
    <t xml:space="preserve">Office rent (SAR/sqm/yr)</t>
  </si>
  <si>
    <t xml:space="preserve">Retail GLA (sqm)</t>
  </si>
  <si>
    <t xml:space="preserve">Retail rent (SAR/sqm/yr)</t>
  </si>
  <si>
    <t xml:space="preserve">Lease-up after completion (months)</t>
  </si>
  <si>
    <t xml:space="preserve">Exit yield</t>
  </si>
  <si>
    <t xml:space="preserve">Sale month after completion</t>
  </si>
  <si>
    <t xml:space="preserve">Discount rate</t>
  </si>
  <si>
    <t xml:space="preserve">Month</t>
  </si>
  <si>
    <t xml:space="preserve">Date</t>
  </si>
  <si>
    <t xml:space="preserve">Land</t>
  </si>
  <si>
    <t xml:space="preserve">Construction</t>
  </si>
  <si>
    <t xml:space="preserve">Office rent</t>
  </si>
  <si>
    <t xml:space="preserve">Retail rent</t>
  </si>
  <si>
    <t xml:space="preserve">Sale</t>
  </si>
  <si>
    <t xml:space="preserve">Net cash flow</t>
  </si>
  <si>
    <t xml:space="preserve">Project IRR (XIRR)</t>
  </si>
  <si>
    <t xml:space="preserve">NPV (XNPV)</t>
  </si>
  <si>
    <t xml:space="preserve">Net profit</t>
  </si>
  <si>
    <t xml:space="preserve">Total development cost</t>
  </si>
  <si>
    <t xml:space="preserve">Profit on cost</t>
  </si>
  <si>
    <t xml:space="preserve">Gross development value</t>
  </si>
  <si>
    <t xml:space="preserve">Completion 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</si>
</sst>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"/>
    <numFmt numFmtId="167" formatCode="#,##0"/>
    <numFmt numFmtId="168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46388</v>
      </c>
    </row>
    <row r="4" customFormat="false" ht="15" hidden="false" customHeight="false" outlineLevel="0" collapsed="false">
      <c r="A4" s="0" t="s">
        <v>2</v>
      </c>
      <c r="B4" s="2" t="n">
        <v>30</v>
      </c>
    </row>
    <row r="5" customFormat="false" ht="15" hidden="false" customHeight="false" outlineLevel="0" collapsed="false">
      <c r="A5" s="0" t="s">
        <v>3</v>
      </c>
      <c r="B5" s="3" t="n">
        <v>310000000</v>
      </c>
    </row>
    <row r="6" customFormat="false" ht="15" hidden="false" customHeight="false" outlineLevel="0" collapsed="false">
      <c r="A6" s="0" t="s">
        <v>4</v>
      </c>
      <c r="B6" s="3" t="n">
        <v>880000000</v>
      </c>
    </row>
    <row r="7" customFormat="false" ht="15" hidden="false" customHeight="false" outlineLevel="0" collapsed="false">
      <c r="A7" s="0" t="s">
        <v>5</v>
      </c>
      <c r="B7" s="3" t="n">
        <v>42000</v>
      </c>
    </row>
    <row r="8" customFormat="false" ht="15" hidden="false" customHeight="false" outlineLevel="0" collapsed="false">
      <c r="A8" s="0" t="s">
        <v>6</v>
      </c>
      <c r="B8" s="3" t="n">
        <v>2300</v>
      </c>
    </row>
    <row r="9" customFormat="false" ht="15" hidden="false" customHeight="false" outlineLevel="0" collapsed="false">
      <c r="A9" s="0" t="s">
        <v>7</v>
      </c>
      <c r="B9" s="3" t="n">
        <v>6500</v>
      </c>
    </row>
    <row r="10" customFormat="false" ht="15" hidden="false" customHeight="false" outlineLevel="0" collapsed="false">
      <c r="A10" s="0" t="s">
        <v>8</v>
      </c>
      <c r="B10" s="3" t="n">
        <v>3100</v>
      </c>
    </row>
    <row r="11" customFormat="false" ht="15" hidden="false" customHeight="false" outlineLevel="0" collapsed="false">
      <c r="A11" s="0" t="s">
        <v>9</v>
      </c>
      <c r="B11" s="2" t="n">
        <v>18</v>
      </c>
    </row>
    <row r="12" customFormat="false" ht="15" hidden="false" customHeight="false" outlineLevel="0" collapsed="false">
      <c r="A12" s="0" t="s">
        <v>10</v>
      </c>
      <c r="B12" s="4" t="n">
        <v>0.075</v>
      </c>
    </row>
    <row r="13" customFormat="false" ht="15" hidden="false" customHeight="false" outlineLevel="0" collapsed="false">
      <c r="A13" s="0" t="s">
        <v>11</v>
      </c>
      <c r="B13" s="2" t="n">
        <v>24</v>
      </c>
    </row>
    <row r="14" customFormat="false" ht="15" hidden="false" customHeight="false" outlineLevel="0" collapsed="false">
      <c r="A14" s="0" t="s">
        <v>12</v>
      </c>
      <c r="B14" s="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</row>
    <row r="4" customFormat="false" ht="15" hidden="false" customHeight="false" outlineLevel="0" collapsed="false">
      <c r="A4" s="0" t="s">
        <v>14</v>
      </c>
      <c r="B4" s="1" t="n">
        <f aca="false">EDATE(Inputs!$B$3,B$3)</f>
        <v>46388</v>
      </c>
      <c r="C4" s="1" t="n">
        <f aca="false">EDATE(Inputs!$B$3,C$3)</f>
        <v>46419</v>
      </c>
      <c r="D4" s="1" t="n">
        <f aca="false">EDATE(Inputs!$B$3,D$3)</f>
        <v>46447</v>
      </c>
      <c r="E4" s="1" t="n">
        <f aca="false">EDATE(Inputs!$B$3,E$3)</f>
        <v>46478</v>
      </c>
      <c r="F4" s="1" t="n">
        <f aca="false">EDATE(Inputs!$B$3,F$3)</f>
        <v>46508</v>
      </c>
      <c r="G4" s="1" t="n">
        <f aca="false">EDATE(Inputs!$B$3,G$3)</f>
        <v>46539</v>
      </c>
      <c r="H4" s="1" t="n">
        <f aca="false">EDATE(Inputs!$B$3,H$3)</f>
        <v>46569</v>
      </c>
      <c r="I4" s="1" t="n">
        <f aca="false">EDATE(Inputs!$B$3,I$3)</f>
        <v>46600</v>
      </c>
      <c r="J4" s="1" t="n">
        <f aca="false">EDATE(Inputs!$B$3,J$3)</f>
        <v>46631</v>
      </c>
      <c r="K4" s="1" t="n">
        <f aca="false">EDATE(Inputs!$B$3,K$3)</f>
        <v>46661</v>
      </c>
      <c r="L4" s="1" t="n">
        <f aca="false">EDATE(Inputs!$B$3,L$3)</f>
        <v>46692</v>
      </c>
      <c r="M4" s="1" t="n">
        <f aca="false">EDATE(Inputs!$B$3,M$3)</f>
        <v>46722</v>
      </c>
      <c r="N4" s="1" t="n">
        <f aca="false">EDATE(Inputs!$B$3,N$3)</f>
        <v>46753</v>
      </c>
      <c r="O4" s="1" t="n">
        <f aca="false">EDATE(Inputs!$B$3,O$3)</f>
        <v>46784</v>
      </c>
      <c r="P4" s="1" t="n">
        <f aca="false">EDATE(Inputs!$B$3,P$3)</f>
        <v>46813</v>
      </c>
      <c r="Q4" s="1" t="n">
        <f aca="false">EDATE(Inputs!$B$3,Q$3)</f>
        <v>46844</v>
      </c>
      <c r="R4" s="1" t="n">
        <f aca="false">EDATE(Inputs!$B$3,R$3)</f>
        <v>46874</v>
      </c>
      <c r="S4" s="1" t="n">
        <f aca="false">EDATE(Inputs!$B$3,S$3)</f>
        <v>46905</v>
      </c>
      <c r="T4" s="1" t="n">
        <f aca="false">EDATE(Inputs!$B$3,T$3)</f>
        <v>46935</v>
      </c>
      <c r="U4" s="1" t="n">
        <f aca="false">EDATE(Inputs!$B$3,U$3)</f>
        <v>46966</v>
      </c>
      <c r="V4" s="1" t="n">
        <f aca="false">EDATE(Inputs!$B$3,V$3)</f>
        <v>46997</v>
      </c>
      <c r="W4" s="1" t="n">
        <f aca="false">EDATE(Inputs!$B$3,W$3)</f>
        <v>47027</v>
      </c>
      <c r="X4" s="1" t="n">
        <f aca="false">EDATE(Inputs!$B$3,X$3)</f>
        <v>47058</v>
      </c>
      <c r="Y4" s="1" t="n">
        <f aca="false">EDATE(Inputs!$B$3,Y$3)</f>
        <v>47088</v>
      </c>
      <c r="Z4" s="1" t="n">
        <f aca="false">EDATE(Inputs!$B$3,Z$3)</f>
        <v>47119</v>
      </c>
      <c r="AA4" s="1" t="n">
        <f aca="false">EDATE(Inputs!$B$3,AA$3)</f>
        <v>47150</v>
      </c>
      <c r="AB4" s="1" t="n">
        <f aca="false">EDATE(Inputs!$B$3,AB$3)</f>
        <v>47178</v>
      </c>
      <c r="AC4" s="1" t="n">
        <f aca="false">EDATE(Inputs!$B$3,AC$3)</f>
        <v>47209</v>
      </c>
      <c r="AD4" s="1" t="n">
        <f aca="false">EDATE(Inputs!$B$3,AD$3)</f>
        <v>47239</v>
      </c>
      <c r="AE4" s="1" t="n">
        <f aca="false">EDATE(Inputs!$B$3,AE$3)</f>
        <v>47270</v>
      </c>
      <c r="AF4" s="1" t="n">
        <f aca="false">EDATE(Inputs!$B$3,AF$3)</f>
        <v>47300</v>
      </c>
      <c r="AG4" s="1" t="n">
        <f aca="false">EDATE(Inputs!$B$3,AG$3)</f>
        <v>47331</v>
      </c>
      <c r="AH4" s="1" t="n">
        <f aca="false">EDATE(Inputs!$B$3,AH$3)</f>
        <v>47362</v>
      </c>
      <c r="AI4" s="1" t="n">
        <f aca="false">EDATE(Inputs!$B$3,AI$3)</f>
        <v>47392</v>
      </c>
      <c r="AJ4" s="1" t="n">
        <f aca="false">EDATE(Inputs!$B$3,AJ$3)</f>
        <v>47423</v>
      </c>
      <c r="AK4" s="1" t="n">
        <f aca="false">EDATE(Inputs!$B$3,AK$3)</f>
        <v>47453</v>
      </c>
      <c r="AL4" s="1" t="n">
        <f aca="false">EDATE(Inputs!$B$3,AL$3)</f>
        <v>47484</v>
      </c>
      <c r="AM4" s="1" t="n">
        <f aca="false">EDATE(Inputs!$B$3,AM$3)</f>
        <v>47515</v>
      </c>
      <c r="AN4" s="1" t="n">
        <f aca="false">EDATE(Inputs!$B$3,AN$3)</f>
        <v>47543</v>
      </c>
      <c r="AO4" s="1" t="n">
        <f aca="false">EDATE(Inputs!$B$3,AO$3)</f>
        <v>47574</v>
      </c>
      <c r="AP4" s="1" t="n">
        <f aca="false">EDATE(Inputs!$B$3,AP$3)</f>
        <v>47604</v>
      </c>
      <c r="AQ4" s="1" t="n">
        <f aca="false">EDATE(Inputs!$B$3,AQ$3)</f>
        <v>47635</v>
      </c>
      <c r="AR4" s="1" t="n">
        <f aca="false">EDATE(Inputs!$B$3,AR$3)</f>
        <v>47665</v>
      </c>
      <c r="AS4" s="1" t="n">
        <f aca="false">EDATE(Inputs!$B$3,AS$3)</f>
        <v>47696</v>
      </c>
      <c r="AT4" s="1" t="n">
        <f aca="false">EDATE(Inputs!$B$3,AT$3)</f>
        <v>47727</v>
      </c>
      <c r="AU4" s="1" t="n">
        <f aca="false">EDATE(Inputs!$B$3,AU$3)</f>
        <v>47757</v>
      </c>
      <c r="AV4" s="1" t="n">
        <f aca="false">EDATE(Inputs!$B$3,AV$3)</f>
        <v>47788</v>
      </c>
      <c r="AW4" s="1" t="n">
        <f aca="false">EDATE(Inputs!$B$3,AW$3)</f>
        <v>47818</v>
      </c>
      <c r="AX4" s="1" t="n">
        <f aca="false">EDATE(Inputs!$B$3,AX$3)</f>
        <v>47849</v>
      </c>
      <c r="AY4" s="1" t="n">
        <f aca="false">EDATE(Inputs!$B$3,AY$3)</f>
        <v>47880</v>
      </c>
      <c r="AZ4" s="1" t="n">
        <f aca="false">EDATE(Inputs!$B$3,AZ$3)</f>
        <v>47908</v>
      </c>
      <c r="BA4" s="1" t="n">
        <f aca="false">EDATE(Inputs!$B$3,BA$3)</f>
        <v>47939</v>
      </c>
      <c r="BB4" s="1" t="n">
        <f aca="false">EDATE(Inputs!$B$3,BB$3)</f>
        <v>47969</v>
      </c>
      <c r="BC4" s="1" t="n">
        <f aca="false">EDATE(Inputs!$B$3,BC$3)</f>
        <v>48000</v>
      </c>
      <c r="BD4" s="1" t="n">
        <f aca="false">EDATE(Inputs!$B$3,BD$3)</f>
        <v>48030</v>
      </c>
      <c r="BE4" s="1" t="n">
        <f aca="false">EDATE(Inputs!$B$3,BE$3)</f>
        <v>48061</v>
      </c>
      <c r="BF4" s="1" t="n">
        <f aca="false">EDATE(Inputs!$B$3,BF$3)</f>
        <v>48092</v>
      </c>
      <c r="BG4" s="1" t="n">
        <f aca="false">EDATE(Inputs!$B$3,BG$3)</f>
        <v>48122</v>
      </c>
      <c r="BH4" s="1" t="n">
        <f aca="false">EDATE(Inputs!$B$3,BH$3)</f>
        <v>48153</v>
      </c>
      <c r="BI4" s="1" t="n">
        <f aca="false">EDATE(Inputs!$B$3,BI$3)</f>
        <v>48183</v>
      </c>
      <c r="BJ4" s="1" t="n">
        <f aca="false">EDATE(Inputs!$B$3,BJ$3)</f>
        <v>48214</v>
      </c>
      <c r="BK4" s="1" t="n">
        <f aca="false">EDATE(Inputs!$B$3,BK$3)</f>
        <v>48245</v>
      </c>
      <c r="BL4" s="1" t="n">
        <f aca="false">EDATE(Inputs!$B$3,BL$3)</f>
        <v>48274</v>
      </c>
      <c r="BM4" s="1" t="n">
        <f aca="false">EDATE(Inputs!$B$3,BM$3)</f>
        <v>48305</v>
      </c>
      <c r="BN4" s="1" t="n">
        <f aca="false">EDATE(Inputs!$B$3,BN$3)</f>
        <v>48335</v>
      </c>
      <c r="BO4" s="1" t="n">
        <f aca="false">EDATE(Inputs!$B$3,BO$3)</f>
        <v>48366</v>
      </c>
      <c r="BP4" s="1" t="n">
        <f aca="false">EDATE(Inputs!$B$3,BP$3)</f>
        <v>48396</v>
      </c>
      <c r="BQ4" s="1" t="n">
        <f aca="false">EDATE(Inputs!$B$3,BQ$3)</f>
        <v>48427</v>
      </c>
      <c r="BR4" s="1" t="n">
        <f aca="false">EDATE(Inputs!$B$3,BR$3)</f>
        <v>48458</v>
      </c>
      <c r="BS4" s="1" t="n">
        <f aca="false">EDATE(Inputs!$B$3,BS$3)</f>
        <v>48488</v>
      </c>
      <c r="BT4" s="1" t="n">
        <f aca="false">EDATE(Inputs!$B$3,BT$3)</f>
        <v>48519</v>
      </c>
      <c r="BU4" s="1" t="n">
        <f aca="false">EDATE(Inputs!$B$3,BU$3)</f>
        <v>48549</v>
      </c>
      <c r="BV4" s="1" t="n">
        <f aca="false">EDATE(Inputs!$B$3,BV$3)</f>
        <v>48580</v>
      </c>
      <c r="BW4" s="1" t="n">
        <f aca="false">EDATE(Inputs!$B$3,BW$3)</f>
        <v>48611</v>
      </c>
      <c r="BX4" s="1" t="n">
        <f aca="false">EDATE(Inputs!$B$3,BX$3)</f>
        <v>48639</v>
      </c>
      <c r="BY4" s="1" t="n">
        <f aca="false">EDATE(Inputs!$B$3,BY$3)</f>
        <v>48670</v>
      </c>
      <c r="BZ4" s="1" t="n">
        <f aca="false">EDATE(Inputs!$B$3,BZ$3)</f>
        <v>48700</v>
      </c>
      <c r="CA4" s="1" t="n">
        <f aca="false">EDATE(Inputs!$B$3,CA$3)</f>
        <v>48731</v>
      </c>
      <c r="CB4" s="1" t="n">
        <f aca="false">EDATE(Inputs!$B$3,CB$3)</f>
        <v>48761</v>
      </c>
    </row>
    <row r="5" customFormat="false" ht="15" hidden="false" customHeight="false" outlineLevel="0" collapsed="false">
      <c r="A5" s="0" t="s">
        <v>15</v>
      </c>
      <c r="B5" s="0" t="n">
        <f aca="false">IF(B$3=0,-Inputs!$B$5,0)</f>
        <v>-310000000</v>
      </c>
      <c r="C5" s="0" t="n">
        <f aca="false">IF(C$3=0,-Inputs!$B$5,0)</f>
        <v>0</v>
      </c>
      <c r="D5" s="0" t="n">
        <f aca="false">IF(D$3=0,-Inputs!$B$5,0)</f>
        <v>0</v>
      </c>
      <c r="E5" s="0" t="n">
        <f aca="false">IF(E$3=0,-Inputs!$B$5,0)</f>
        <v>0</v>
      </c>
      <c r="F5" s="0" t="n">
        <f aca="false">IF(F$3=0,-Inputs!$B$5,0)</f>
        <v>0</v>
      </c>
      <c r="G5" s="0" t="n">
        <f aca="false">IF(G$3=0,-Inputs!$B$5,0)</f>
        <v>0</v>
      </c>
      <c r="H5" s="0" t="n">
        <f aca="false">IF(H$3=0,-Inputs!$B$5,0)</f>
        <v>0</v>
      </c>
      <c r="I5" s="0" t="n">
        <f aca="false">IF(I$3=0,-Inputs!$B$5,0)</f>
        <v>0</v>
      </c>
      <c r="J5" s="0" t="n">
        <f aca="false">IF(J$3=0,-Inputs!$B$5,0)</f>
        <v>0</v>
      </c>
      <c r="K5" s="0" t="n">
        <f aca="false">IF(K$3=0,-Inputs!$B$5,0)</f>
        <v>0</v>
      </c>
      <c r="L5" s="0" t="n">
        <f aca="false">IF(L$3=0,-Inputs!$B$5,0)</f>
        <v>0</v>
      </c>
      <c r="M5" s="0" t="n">
        <f aca="false">IF(M$3=0,-Inputs!$B$5,0)</f>
        <v>0</v>
      </c>
      <c r="N5" s="0" t="n">
        <f aca="false">IF(N$3=0,-Inputs!$B$5,0)</f>
        <v>0</v>
      </c>
      <c r="O5" s="0" t="n">
        <f aca="false">IF(O$3=0,-Inputs!$B$5,0)</f>
        <v>0</v>
      </c>
      <c r="P5" s="0" t="n">
        <f aca="false">IF(P$3=0,-Inputs!$B$5,0)</f>
        <v>0</v>
      </c>
      <c r="Q5" s="0" t="n">
        <f aca="false">IF(Q$3=0,-Inputs!$B$5,0)</f>
        <v>0</v>
      </c>
      <c r="R5" s="0" t="n">
        <f aca="false">IF(R$3=0,-Inputs!$B$5,0)</f>
        <v>0</v>
      </c>
      <c r="S5" s="0" t="n">
        <f aca="false">IF(S$3=0,-Inputs!$B$5,0)</f>
        <v>0</v>
      </c>
      <c r="T5" s="0" t="n">
        <f aca="false">IF(T$3=0,-Inputs!$B$5,0)</f>
        <v>0</v>
      </c>
      <c r="U5" s="0" t="n">
        <f aca="false">IF(U$3=0,-Inputs!$B$5,0)</f>
        <v>0</v>
      </c>
      <c r="V5" s="0" t="n">
        <f aca="false">IF(V$3=0,-Inputs!$B$5,0)</f>
        <v>0</v>
      </c>
      <c r="W5" s="0" t="n">
        <f aca="false">IF(W$3=0,-Inputs!$B$5,0)</f>
        <v>0</v>
      </c>
      <c r="X5" s="0" t="n">
        <f aca="false">IF(X$3=0,-Inputs!$B$5,0)</f>
        <v>0</v>
      </c>
      <c r="Y5" s="0" t="n">
        <f aca="false">IF(Y$3=0,-Inputs!$B$5,0)</f>
        <v>0</v>
      </c>
      <c r="Z5" s="0" t="n">
        <f aca="false">IF(Z$3=0,-Inputs!$B$5,0)</f>
        <v>0</v>
      </c>
      <c r="AA5" s="0" t="n">
        <f aca="false">IF(AA$3=0,-Inputs!$B$5,0)</f>
        <v>0</v>
      </c>
      <c r="AB5" s="0" t="n">
        <f aca="false">IF(AB$3=0,-Inputs!$B$5,0)</f>
        <v>0</v>
      </c>
      <c r="AC5" s="0" t="n">
        <f aca="false">IF(AC$3=0,-Inputs!$B$5,0)</f>
        <v>0</v>
      </c>
      <c r="AD5" s="0" t="n">
        <f aca="false">IF(AD$3=0,-Inputs!$B$5,0)</f>
        <v>0</v>
      </c>
      <c r="AE5" s="0" t="n">
        <f aca="false">IF(AE$3=0,-Inputs!$B$5,0)</f>
        <v>0</v>
      </c>
      <c r="AF5" s="0" t="n">
        <f aca="false">IF(AF$3=0,-Inputs!$B$5,0)</f>
        <v>0</v>
      </c>
      <c r="AG5" s="0" t="n">
        <f aca="false">IF(AG$3=0,-Inputs!$B$5,0)</f>
        <v>0</v>
      </c>
      <c r="AH5" s="0" t="n">
        <f aca="false">IF(AH$3=0,-Inputs!$B$5,0)</f>
        <v>0</v>
      </c>
      <c r="AI5" s="0" t="n">
        <f aca="false">IF(AI$3=0,-Inputs!$B$5,0)</f>
        <v>0</v>
      </c>
      <c r="AJ5" s="0" t="n">
        <f aca="false">IF(AJ$3=0,-Inputs!$B$5,0)</f>
        <v>0</v>
      </c>
      <c r="AK5" s="0" t="n">
        <f aca="false">IF(AK$3=0,-Inputs!$B$5,0)</f>
        <v>0</v>
      </c>
      <c r="AL5" s="0" t="n">
        <f aca="false">IF(AL$3=0,-Inputs!$B$5,0)</f>
        <v>0</v>
      </c>
      <c r="AM5" s="0" t="n">
        <f aca="false">IF(AM$3=0,-Inputs!$B$5,0)</f>
        <v>0</v>
      </c>
      <c r="AN5" s="0" t="n">
        <f aca="false">IF(AN$3=0,-Inputs!$B$5,0)</f>
        <v>0</v>
      </c>
      <c r="AO5" s="0" t="n">
        <f aca="false">IF(AO$3=0,-Inputs!$B$5,0)</f>
        <v>0</v>
      </c>
      <c r="AP5" s="0" t="n">
        <f aca="false">IF(AP$3=0,-Inputs!$B$5,0)</f>
        <v>0</v>
      </c>
      <c r="AQ5" s="0" t="n">
        <f aca="false">IF(AQ$3=0,-Inputs!$B$5,0)</f>
        <v>0</v>
      </c>
      <c r="AR5" s="0" t="n">
        <f aca="false">IF(AR$3=0,-Inputs!$B$5,0)</f>
        <v>0</v>
      </c>
      <c r="AS5" s="0" t="n">
        <f aca="false">IF(AS$3=0,-Inputs!$B$5,0)</f>
        <v>0</v>
      </c>
      <c r="AT5" s="0" t="n">
        <f aca="false">IF(AT$3=0,-Inputs!$B$5,0)</f>
        <v>0</v>
      </c>
      <c r="AU5" s="0" t="n">
        <f aca="false">IF(AU$3=0,-Inputs!$B$5,0)</f>
        <v>0</v>
      </c>
      <c r="AV5" s="0" t="n">
        <f aca="false">IF(AV$3=0,-Inputs!$B$5,0)</f>
        <v>0</v>
      </c>
      <c r="AW5" s="0" t="n">
        <f aca="false">IF(AW$3=0,-Inputs!$B$5,0)</f>
        <v>0</v>
      </c>
      <c r="AX5" s="0" t="n">
        <f aca="false">IF(AX$3=0,-Inputs!$B$5,0)</f>
        <v>0</v>
      </c>
      <c r="AY5" s="0" t="n">
        <f aca="false">IF(AY$3=0,-Inputs!$B$5,0)</f>
        <v>0</v>
      </c>
      <c r="AZ5" s="0" t="n">
        <f aca="false">IF(AZ$3=0,-Inputs!$B$5,0)</f>
        <v>0</v>
      </c>
      <c r="BA5" s="0" t="n">
        <f aca="false">IF(BA$3=0,-Inputs!$B$5,0)</f>
        <v>0</v>
      </c>
      <c r="BB5" s="0" t="n">
        <f aca="false">IF(BB$3=0,-Inputs!$B$5,0)</f>
        <v>0</v>
      </c>
      <c r="BC5" s="0" t="n">
        <f aca="false">IF(BC$3=0,-Inputs!$B$5,0)</f>
        <v>0</v>
      </c>
      <c r="BD5" s="0" t="n">
        <f aca="false">IF(BD$3=0,-Inputs!$B$5,0)</f>
        <v>0</v>
      </c>
      <c r="BE5" s="0" t="n">
        <f aca="false">IF(BE$3=0,-Inputs!$B$5,0)</f>
        <v>0</v>
      </c>
      <c r="BF5" s="0" t="n">
        <f aca="false">IF(BF$3=0,-Inputs!$B$5,0)</f>
        <v>0</v>
      </c>
      <c r="BG5" s="0" t="n">
        <f aca="false">IF(BG$3=0,-Inputs!$B$5,0)</f>
        <v>0</v>
      </c>
      <c r="BH5" s="0" t="n">
        <f aca="false">IF(BH$3=0,-Inputs!$B$5,0)</f>
        <v>0</v>
      </c>
      <c r="BI5" s="0" t="n">
        <f aca="false">IF(BI$3=0,-Inputs!$B$5,0)</f>
        <v>0</v>
      </c>
      <c r="BJ5" s="0" t="n">
        <f aca="false">IF(BJ$3=0,-Inputs!$B$5,0)</f>
        <v>0</v>
      </c>
      <c r="BK5" s="0" t="n">
        <f aca="false">IF(BK$3=0,-Inputs!$B$5,0)</f>
        <v>0</v>
      </c>
      <c r="BL5" s="0" t="n">
        <f aca="false">IF(BL$3=0,-Inputs!$B$5,0)</f>
        <v>0</v>
      </c>
      <c r="BM5" s="0" t="n">
        <f aca="false">IF(BM$3=0,-Inputs!$B$5,0)</f>
        <v>0</v>
      </c>
      <c r="BN5" s="0" t="n">
        <f aca="false">IF(BN$3=0,-Inputs!$B$5,0)</f>
        <v>0</v>
      </c>
      <c r="BO5" s="0" t="n">
        <f aca="false">IF(BO$3=0,-Inputs!$B$5,0)</f>
        <v>0</v>
      </c>
      <c r="BP5" s="0" t="n">
        <f aca="false">IF(BP$3=0,-Inputs!$B$5,0)</f>
        <v>0</v>
      </c>
      <c r="BQ5" s="0" t="n">
        <f aca="false">IF(BQ$3=0,-Inputs!$B$5,0)</f>
        <v>0</v>
      </c>
      <c r="BR5" s="0" t="n">
        <f aca="false">IF(BR$3=0,-Inputs!$B$5,0)</f>
        <v>0</v>
      </c>
      <c r="BS5" s="0" t="n">
        <f aca="false">IF(BS$3=0,-Inputs!$B$5,0)</f>
        <v>0</v>
      </c>
      <c r="BT5" s="0" t="n">
        <f aca="false">IF(BT$3=0,-Inputs!$B$5,0)</f>
        <v>0</v>
      </c>
      <c r="BU5" s="0" t="n">
        <f aca="false">IF(BU$3=0,-Inputs!$B$5,0)</f>
        <v>0</v>
      </c>
      <c r="BV5" s="0" t="n">
        <f aca="false">IF(BV$3=0,-Inputs!$B$5,0)</f>
        <v>0</v>
      </c>
      <c r="BW5" s="0" t="n">
        <f aca="false">IF(BW$3=0,-Inputs!$B$5,0)</f>
        <v>0</v>
      </c>
      <c r="BX5" s="0" t="n">
        <f aca="false">IF(BX$3=0,-Inputs!$B$5,0)</f>
        <v>0</v>
      </c>
      <c r="BY5" s="0" t="n">
        <f aca="false">IF(BY$3=0,-Inputs!$B$5,0)</f>
        <v>0</v>
      </c>
      <c r="BZ5" s="0" t="n">
        <f aca="false">IF(BZ$3=0,-Inputs!$B$5,0)</f>
        <v>0</v>
      </c>
      <c r="CA5" s="0" t="n">
        <f aca="false">IF(CA$3=0,-Inputs!$B$5,0)</f>
        <v>0</v>
      </c>
      <c r="CB5" s="0" t="n">
        <f aca="false">IF(CB$3=0,-Inputs!$B$5,0)</f>
        <v>0</v>
      </c>
    </row>
    <row r="6" customFormat="false" ht="15" hidden="false" customHeight="false" outlineLevel="0" collapsed="false">
      <c r="A6" s="0" t="s">
        <v>16</v>
      </c>
      <c r="B6" s="0" t="n">
        <f aca="false">IF(AND(B$3&gt;=1,B$3&lt;=Inputs!$B$4),-Inputs!$B$6/Inputs!$B$4,0)</f>
        <v>0</v>
      </c>
      <c r="C6" s="0" t="n">
        <f aca="false">IF(AND(C$3&gt;=1,C$3&lt;=Inputs!$B$4),-Inputs!$B$6/Inputs!$B$4,0)</f>
        <v>-29333333.3333333</v>
      </c>
      <c r="D6" s="0" t="n">
        <f aca="false">IF(AND(D$3&gt;=1,D$3&lt;=Inputs!$B$4),-Inputs!$B$6/Inputs!$B$4,0)</f>
        <v>-29333333.3333333</v>
      </c>
      <c r="E6" s="0" t="n">
        <f aca="false">IF(AND(E$3&gt;=1,E$3&lt;=Inputs!$B$4),-Inputs!$B$6/Inputs!$B$4,0)</f>
        <v>-29333333.3333333</v>
      </c>
      <c r="F6" s="0" t="n">
        <f aca="false">IF(AND(F$3&gt;=1,F$3&lt;=Inputs!$B$4),-Inputs!$B$6/Inputs!$B$4,0)</f>
        <v>-29333333.3333333</v>
      </c>
      <c r="G6" s="0" t="n">
        <f aca="false">IF(AND(G$3&gt;=1,G$3&lt;=Inputs!$B$4),-Inputs!$B$6/Inputs!$B$4,0)</f>
        <v>-29333333.3333333</v>
      </c>
      <c r="H6" s="0" t="n">
        <f aca="false">IF(AND(H$3&gt;=1,H$3&lt;=Inputs!$B$4),-Inputs!$B$6/Inputs!$B$4,0)</f>
        <v>-29333333.3333333</v>
      </c>
      <c r="I6" s="0" t="n">
        <f aca="false">IF(AND(I$3&gt;=1,I$3&lt;=Inputs!$B$4),-Inputs!$B$6/Inputs!$B$4,0)</f>
        <v>-29333333.3333333</v>
      </c>
      <c r="J6" s="0" t="n">
        <f aca="false">IF(AND(J$3&gt;=1,J$3&lt;=Inputs!$B$4),-Inputs!$B$6/Inputs!$B$4,0)</f>
        <v>-29333333.3333333</v>
      </c>
      <c r="K6" s="0" t="n">
        <f aca="false">IF(AND(K$3&gt;=1,K$3&lt;=Inputs!$B$4),-Inputs!$B$6/Inputs!$B$4,0)</f>
        <v>-29333333.3333333</v>
      </c>
      <c r="L6" s="0" t="n">
        <f aca="false">IF(AND(L$3&gt;=1,L$3&lt;=Inputs!$B$4),-Inputs!$B$6/Inputs!$B$4,0)</f>
        <v>-29333333.3333333</v>
      </c>
      <c r="M6" s="0" t="n">
        <f aca="false">IF(AND(M$3&gt;=1,M$3&lt;=Inputs!$B$4),-Inputs!$B$6/Inputs!$B$4,0)</f>
        <v>-29333333.3333333</v>
      </c>
      <c r="N6" s="0" t="n">
        <f aca="false">IF(AND(N$3&gt;=1,N$3&lt;=Inputs!$B$4),-Inputs!$B$6/Inputs!$B$4,0)</f>
        <v>-29333333.3333333</v>
      </c>
      <c r="O6" s="0" t="n">
        <f aca="false">IF(AND(O$3&gt;=1,O$3&lt;=Inputs!$B$4),-Inputs!$B$6/Inputs!$B$4,0)</f>
        <v>-29333333.3333333</v>
      </c>
      <c r="P6" s="0" t="n">
        <f aca="false">IF(AND(P$3&gt;=1,P$3&lt;=Inputs!$B$4),-Inputs!$B$6/Inputs!$B$4,0)</f>
        <v>-29333333.3333333</v>
      </c>
      <c r="Q6" s="0" t="n">
        <f aca="false">IF(AND(Q$3&gt;=1,Q$3&lt;=Inputs!$B$4),-Inputs!$B$6/Inputs!$B$4,0)</f>
        <v>-29333333.3333333</v>
      </c>
      <c r="R6" s="0" t="n">
        <f aca="false">IF(AND(R$3&gt;=1,R$3&lt;=Inputs!$B$4),-Inputs!$B$6/Inputs!$B$4,0)</f>
        <v>-29333333.3333333</v>
      </c>
      <c r="S6" s="0" t="n">
        <f aca="false">IF(AND(S$3&gt;=1,S$3&lt;=Inputs!$B$4),-Inputs!$B$6/Inputs!$B$4,0)</f>
        <v>-29333333.3333333</v>
      </c>
      <c r="T6" s="0" t="n">
        <f aca="false">IF(AND(T$3&gt;=1,T$3&lt;=Inputs!$B$4),-Inputs!$B$6/Inputs!$B$4,0)</f>
        <v>-29333333.3333333</v>
      </c>
      <c r="U6" s="0" t="n">
        <f aca="false">IF(AND(U$3&gt;=1,U$3&lt;=Inputs!$B$4),-Inputs!$B$6/Inputs!$B$4,0)</f>
        <v>-29333333.3333333</v>
      </c>
      <c r="V6" s="0" t="n">
        <f aca="false">IF(AND(V$3&gt;=1,V$3&lt;=Inputs!$B$4),-Inputs!$B$6/Inputs!$B$4,0)</f>
        <v>-29333333.3333333</v>
      </c>
      <c r="W6" s="0" t="n">
        <f aca="false">IF(AND(W$3&gt;=1,W$3&lt;=Inputs!$B$4),-Inputs!$B$6/Inputs!$B$4,0)</f>
        <v>-29333333.3333333</v>
      </c>
      <c r="X6" s="0" t="n">
        <f aca="false">IF(AND(X$3&gt;=1,X$3&lt;=Inputs!$B$4),-Inputs!$B$6/Inputs!$B$4,0)</f>
        <v>-29333333.3333333</v>
      </c>
      <c r="Y6" s="0" t="n">
        <f aca="false">IF(AND(Y$3&gt;=1,Y$3&lt;=Inputs!$B$4),-Inputs!$B$6/Inputs!$B$4,0)</f>
        <v>-29333333.3333333</v>
      </c>
      <c r="Z6" s="0" t="n">
        <f aca="false">IF(AND(Z$3&gt;=1,Z$3&lt;=Inputs!$B$4),-Inputs!$B$6/Inputs!$B$4,0)</f>
        <v>-29333333.3333333</v>
      </c>
      <c r="AA6" s="0" t="n">
        <f aca="false">IF(AND(AA$3&gt;=1,AA$3&lt;=Inputs!$B$4),-Inputs!$B$6/Inputs!$B$4,0)</f>
        <v>-29333333.3333333</v>
      </c>
      <c r="AB6" s="0" t="n">
        <f aca="false">IF(AND(AB$3&gt;=1,AB$3&lt;=Inputs!$B$4),-Inputs!$B$6/Inputs!$B$4,0)</f>
        <v>-29333333.3333333</v>
      </c>
      <c r="AC6" s="0" t="n">
        <f aca="false">IF(AND(AC$3&gt;=1,AC$3&lt;=Inputs!$B$4),-Inputs!$B$6/Inputs!$B$4,0)</f>
        <v>-29333333.3333333</v>
      </c>
      <c r="AD6" s="0" t="n">
        <f aca="false">IF(AND(AD$3&gt;=1,AD$3&lt;=Inputs!$B$4),-Inputs!$B$6/Inputs!$B$4,0)</f>
        <v>-29333333.3333333</v>
      </c>
      <c r="AE6" s="0" t="n">
        <f aca="false">IF(AND(AE$3&gt;=1,AE$3&lt;=Inputs!$B$4),-Inputs!$B$6/Inputs!$B$4,0)</f>
        <v>-29333333.3333333</v>
      </c>
      <c r="AF6" s="0" t="n">
        <f aca="false">IF(AND(AF$3&gt;=1,AF$3&lt;=Inputs!$B$4),-Inputs!$B$6/Inputs!$B$4,0)</f>
        <v>-29333333.3333333</v>
      </c>
      <c r="AG6" s="0" t="n">
        <f aca="false">IF(AND(AG$3&gt;=1,AG$3&lt;=Inputs!$B$4),-Inputs!$B$6/Inputs!$B$4,0)</f>
        <v>0</v>
      </c>
      <c r="AH6" s="0" t="n">
        <f aca="false">IF(AND(AH$3&gt;=1,AH$3&lt;=Inputs!$B$4),-Inputs!$B$6/Inputs!$B$4,0)</f>
        <v>0</v>
      </c>
      <c r="AI6" s="0" t="n">
        <f aca="false">IF(AND(AI$3&gt;=1,AI$3&lt;=Inputs!$B$4),-Inputs!$B$6/Inputs!$B$4,0)</f>
        <v>0</v>
      </c>
      <c r="AJ6" s="0" t="n">
        <f aca="false">IF(AND(AJ$3&gt;=1,AJ$3&lt;=Inputs!$B$4),-Inputs!$B$6/Inputs!$B$4,0)</f>
        <v>0</v>
      </c>
      <c r="AK6" s="0" t="n">
        <f aca="false">IF(AND(AK$3&gt;=1,AK$3&lt;=Inputs!$B$4),-Inputs!$B$6/Inputs!$B$4,0)</f>
        <v>0</v>
      </c>
      <c r="AL6" s="0" t="n">
        <f aca="false">IF(AND(AL$3&gt;=1,AL$3&lt;=Inputs!$B$4),-Inputs!$B$6/Inputs!$B$4,0)</f>
        <v>0</v>
      </c>
      <c r="AM6" s="0" t="n">
        <f aca="false">IF(AND(AM$3&gt;=1,AM$3&lt;=Inputs!$B$4),-Inputs!$B$6/Inputs!$B$4,0)</f>
        <v>0</v>
      </c>
      <c r="AN6" s="0" t="n">
        <f aca="false">IF(AND(AN$3&gt;=1,AN$3&lt;=Inputs!$B$4),-Inputs!$B$6/Inputs!$B$4,0)</f>
        <v>0</v>
      </c>
      <c r="AO6" s="0" t="n">
        <f aca="false">IF(AND(AO$3&gt;=1,AO$3&lt;=Inputs!$B$4),-Inputs!$B$6/Inputs!$B$4,0)</f>
        <v>0</v>
      </c>
      <c r="AP6" s="0" t="n">
        <f aca="false">IF(AND(AP$3&gt;=1,AP$3&lt;=Inputs!$B$4),-Inputs!$B$6/Inputs!$B$4,0)</f>
        <v>0</v>
      </c>
      <c r="AQ6" s="0" t="n">
        <f aca="false">IF(AND(AQ$3&gt;=1,AQ$3&lt;=Inputs!$B$4),-Inputs!$B$6/Inputs!$B$4,0)</f>
        <v>0</v>
      </c>
      <c r="AR6" s="0" t="n">
        <f aca="false">IF(AND(AR$3&gt;=1,AR$3&lt;=Inputs!$B$4),-Inputs!$B$6/Inputs!$B$4,0)</f>
        <v>0</v>
      </c>
      <c r="AS6" s="0" t="n">
        <f aca="false">IF(AND(AS$3&gt;=1,AS$3&lt;=Inputs!$B$4),-Inputs!$B$6/Inputs!$B$4,0)</f>
        <v>0</v>
      </c>
      <c r="AT6" s="0" t="n">
        <f aca="false">IF(AND(AT$3&gt;=1,AT$3&lt;=Inputs!$B$4),-Inputs!$B$6/Inputs!$B$4,0)</f>
        <v>0</v>
      </c>
      <c r="AU6" s="0" t="n">
        <f aca="false">IF(AND(AU$3&gt;=1,AU$3&lt;=Inputs!$B$4),-Inputs!$B$6/Inputs!$B$4,0)</f>
        <v>0</v>
      </c>
      <c r="AV6" s="0" t="n">
        <f aca="false">IF(AND(AV$3&gt;=1,AV$3&lt;=Inputs!$B$4),-Inputs!$B$6/Inputs!$B$4,0)</f>
        <v>0</v>
      </c>
      <c r="AW6" s="0" t="n">
        <f aca="false">IF(AND(AW$3&gt;=1,AW$3&lt;=Inputs!$B$4),-Inputs!$B$6/Inputs!$B$4,0)</f>
        <v>0</v>
      </c>
      <c r="AX6" s="0" t="n">
        <f aca="false">IF(AND(AX$3&gt;=1,AX$3&lt;=Inputs!$B$4),-Inputs!$B$6/Inputs!$B$4,0)</f>
        <v>0</v>
      </c>
      <c r="AY6" s="0" t="n">
        <f aca="false">IF(AND(AY$3&gt;=1,AY$3&lt;=Inputs!$B$4),-Inputs!$B$6/Inputs!$B$4,0)</f>
        <v>0</v>
      </c>
      <c r="AZ6" s="0" t="n">
        <f aca="false">IF(AND(AZ$3&gt;=1,AZ$3&lt;=Inputs!$B$4),-Inputs!$B$6/Inputs!$B$4,0)</f>
        <v>0</v>
      </c>
      <c r="BA6" s="0" t="n">
        <f aca="false">IF(AND(BA$3&gt;=1,BA$3&lt;=Inputs!$B$4),-Inputs!$B$6/Inputs!$B$4,0)</f>
        <v>0</v>
      </c>
      <c r="BB6" s="0" t="n">
        <f aca="false">IF(AND(BB$3&gt;=1,BB$3&lt;=Inputs!$B$4),-Inputs!$B$6/Inputs!$B$4,0)</f>
        <v>0</v>
      </c>
      <c r="BC6" s="0" t="n">
        <f aca="false">IF(AND(BC$3&gt;=1,BC$3&lt;=Inputs!$B$4),-Inputs!$B$6/Inputs!$B$4,0)</f>
        <v>0</v>
      </c>
      <c r="BD6" s="0" t="n">
        <f aca="false">IF(AND(BD$3&gt;=1,BD$3&lt;=Inputs!$B$4),-Inputs!$B$6/Inputs!$B$4,0)</f>
        <v>0</v>
      </c>
      <c r="BE6" s="0" t="n">
        <f aca="false">IF(AND(BE$3&gt;=1,BE$3&lt;=Inputs!$B$4),-Inputs!$B$6/Inputs!$B$4,0)</f>
        <v>0</v>
      </c>
      <c r="BF6" s="0" t="n">
        <f aca="false">IF(AND(BF$3&gt;=1,BF$3&lt;=Inputs!$B$4),-Inputs!$B$6/Inputs!$B$4,0)</f>
        <v>0</v>
      </c>
      <c r="BG6" s="0" t="n">
        <f aca="false">IF(AND(BG$3&gt;=1,BG$3&lt;=Inputs!$B$4),-Inputs!$B$6/Inputs!$B$4,0)</f>
        <v>0</v>
      </c>
      <c r="BH6" s="0" t="n">
        <f aca="false">IF(AND(BH$3&gt;=1,BH$3&lt;=Inputs!$B$4),-Inputs!$B$6/Inputs!$B$4,0)</f>
        <v>0</v>
      </c>
      <c r="BI6" s="0" t="n">
        <f aca="false">IF(AND(BI$3&gt;=1,BI$3&lt;=Inputs!$B$4),-Inputs!$B$6/Inputs!$B$4,0)</f>
        <v>0</v>
      </c>
      <c r="BJ6" s="0" t="n">
        <f aca="false">IF(AND(BJ$3&gt;=1,BJ$3&lt;=Inputs!$B$4),-Inputs!$B$6/Inputs!$B$4,0)</f>
        <v>0</v>
      </c>
      <c r="BK6" s="0" t="n">
        <f aca="false">IF(AND(BK$3&gt;=1,BK$3&lt;=Inputs!$B$4),-Inputs!$B$6/Inputs!$B$4,0)</f>
        <v>0</v>
      </c>
      <c r="BL6" s="0" t="n">
        <f aca="false">IF(AND(BL$3&gt;=1,BL$3&lt;=Inputs!$B$4),-Inputs!$B$6/Inputs!$B$4,0)</f>
        <v>0</v>
      </c>
      <c r="BM6" s="0" t="n">
        <f aca="false">IF(AND(BM$3&gt;=1,BM$3&lt;=Inputs!$B$4),-Inputs!$B$6/Inputs!$B$4,0)</f>
        <v>0</v>
      </c>
      <c r="BN6" s="0" t="n">
        <f aca="false">IF(AND(BN$3&gt;=1,BN$3&lt;=Inputs!$B$4),-Inputs!$B$6/Inputs!$B$4,0)</f>
        <v>0</v>
      </c>
      <c r="BO6" s="0" t="n">
        <f aca="false">IF(AND(BO$3&gt;=1,BO$3&lt;=Inputs!$B$4),-Inputs!$B$6/Inputs!$B$4,0)</f>
        <v>0</v>
      </c>
      <c r="BP6" s="0" t="n">
        <f aca="false">IF(AND(BP$3&gt;=1,BP$3&lt;=Inputs!$B$4),-Inputs!$B$6/Inputs!$B$4,0)</f>
        <v>0</v>
      </c>
      <c r="BQ6" s="0" t="n">
        <f aca="false">IF(AND(BQ$3&gt;=1,BQ$3&lt;=Inputs!$B$4),-Inputs!$B$6/Inputs!$B$4,0)</f>
        <v>0</v>
      </c>
      <c r="BR6" s="0" t="n">
        <f aca="false">IF(AND(BR$3&gt;=1,BR$3&lt;=Inputs!$B$4),-Inputs!$B$6/Inputs!$B$4,0)</f>
        <v>0</v>
      </c>
      <c r="BS6" s="0" t="n">
        <f aca="false">IF(AND(BS$3&gt;=1,BS$3&lt;=Inputs!$B$4),-Inputs!$B$6/Inputs!$B$4,0)</f>
        <v>0</v>
      </c>
      <c r="BT6" s="0" t="n">
        <f aca="false">IF(AND(BT$3&gt;=1,BT$3&lt;=Inputs!$B$4),-Inputs!$B$6/Inputs!$B$4,0)</f>
        <v>0</v>
      </c>
      <c r="BU6" s="0" t="n">
        <f aca="false">IF(AND(BU$3&gt;=1,BU$3&lt;=Inputs!$B$4),-Inputs!$B$6/Inputs!$B$4,0)</f>
        <v>0</v>
      </c>
      <c r="BV6" s="0" t="n">
        <f aca="false">IF(AND(BV$3&gt;=1,BV$3&lt;=Inputs!$B$4),-Inputs!$B$6/Inputs!$B$4,0)</f>
        <v>0</v>
      </c>
      <c r="BW6" s="0" t="n">
        <f aca="false">IF(AND(BW$3&gt;=1,BW$3&lt;=Inputs!$B$4),-Inputs!$B$6/Inputs!$B$4,0)</f>
        <v>0</v>
      </c>
      <c r="BX6" s="0" t="n">
        <f aca="false">IF(AND(BX$3&gt;=1,BX$3&lt;=Inputs!$B$4),-Inputs!$B$6/Inputs!$B$4,0)</f>
        <v>0</v>
      </c>
      <c r="BY6" s="0" t="n">
        <f aca="false">IF(AND(BY$3&gt;=1,BY$3&lt;=Inputs!$B$4),-Inputs!$B$6/Inputs!$B$4,0)</f>
        <v>0</v>
      </c>
      <c r="BZ6" s="0" t="n">
        <f aca="false">IF(AND(BZ$3&gt;=1,BZ$3&lt;=Inputs!$B$4),-Inputs!$B$6/Inputs!$B$4,0)</f>
        <v>0</v>
      </c>
      <c r="CA6" s="0" t="n">
        <f aca="false">IF(AND(CA$3&gt;=1,CA$3&lt;=Inputs!$B$4),-Inputs!$B$6/Inputs!$B$4,0)</f>
        <v>0</v>
      </c>
      <c r="CB6" s="0" t="n">
        <f aca="false">IF(AND(CB$3&gt;=1,CB$3&lt;=Inputs!$B$4),-Inputs!$B$6/Inputs!$B$4,0)</f>
        <v>0</v>
      </c>
    </row>
    <row r="7" customFormat="false" ht="15" hidden="false" customHeight="false" outlineLevel="0" collapsed="false">
      <c r="A7" s="0" t="s">
        <v>17</v>
      </c>
      <c r="B7" s="0" t="n">
        <f aca="false">(B$3&gt;Inputs!$B$4)*(B$3&lt;=Inputs!$B$4+Inputs!$B$13)*Inputs!$B$7*Inputs!$B$8/12*MIN(1,MAX(0,(B$3-Inputs!$B$4)/Inputs!$B$11))</f>
        <v>0</v>
      </c>
      <c r="C7" s="0" t="n">
        <f aca="false">(C$3&gt;Inputs!$B$4)*(C$3&lt;=Inputs!$B$4+Inputs!$B$13)*Inputs!$B$7*Inputs!$B$8/12*MIN(1,MAX(0,(C$3-Inputs!$B$4)/Inputs!$B$11))</f>
        <v>0</v>
      </c>
      <c r="D7" s="0" t="n">
        <f aca="false">(D$3&gt;Inputs!$B$4)*(D$3&lt;=Inputs!$B$4+Inputs!$B$13)*Inputs!$B$7*Inputs!$B$8/12*MIN(1,MAX(0,(D$3-Inputs!$B$4)/Inputs!$B$11))</f>
        <v>0</v>
      </c>
      <c r="E7" s="0" t="n">
        <f aca="false">(E$3&gt;Inputs!$B$4)*(E$3&lt;=Inputs!$B$4+Inputs!$B$13)*Inputs!$B$7*Inputs!$B$8/12*MIN(1,MAX(0,(E$3-Inputs!$B$4)/Inputs!$B$11))</f>
        <v>0</v>
      </c>
      <c r="F7" s="0" t="n">
        <f aca="false">(F$3&gt;Inputs!$B$4)*(F$3&lt;=Inputs!$B$4+Inputs!$B$13)*Inputs!$B$7*Inputs!$B$8/12*MIN(1,MAX(0,(F$3-Inputs!$B$4)/Inputs!$B$11))</f>
        <v>0</v>
      </c>
      <c r="G7" s="0" t="n">
        <f aca="false">(G$3&gt;Inputs!$B$4)*(G$3&lt;=Inputs!$B$4+Inputs!$B$13)*Inputs!$B$7*Inputs!$B$8/12*MIN(1,MAX(0,(G$3-Inputs!$B$4)/Inputs!$B$11))</f>
        <v>0</v>
      </c>
      <c r="H7" s="0" t="n">
        <f aca="false">(H$3&gt;Inputs!$B$4)*(H$3&lt;=Inputs!$B$4+Inputs!$B$13)*Inputs!$B$7*Inputs!$B$8/12*MIN(1,MAX(0,(H$3-Inputs!$B$4)/Inputs!$B$11))</f>
        <v>0</v>
      </c>
      <c r="I7" s="0" t="n">
        <f aca="false">(I$3&gt;Inputs!$B$4)*(I$3&lt;=Inputs!$B$4+Inputs!$B$13)*Inputs!$B$7*Inputs!$B$8/12*MIN(1,MAX(0,(I$3-Inputs!$B$4)/Inputs!$B$11))</f>
        <v>0</v>
      </c>
      <c r="J7" s="0" t="n">
        <f aca="false">(J$3&gt;Inputs!$B$4)*(J$3&lt;=Inputs!$B$4+Inputs!$B$13)*Inputs!$B$7*Inputs!$B$8/12*MIN(1,MAX(0,(J$3-Inputs!$B$4)/Inputs!$B$11))</f>
        <v>0</v>
      </c>
      <c r="K7" s="0" t="n">
        <f aca="false">(K$3&gt;Inputs!$B$4)*(K$3&lt;=Inputs!$B$4+Inputs!$B$13)*Inputs!$B$7*Inputs!$B$8/12*MIN(1,MAX(0,(K$3-Inputs!$B$4)/Inputs!$B$11))</f>
        <v>0</v>
      </c>
      <c r="L7" s="0" t="n">
        <f aca="false">(L$3&gt;Inputs!$B$4)*(L$3&lt;=Inputs!$B$4+Inputs!$B$13)*Inputs!$B$7*Inputs!$B$8/12*MIN(1,MAX(0,(L$3-Inputs!$B$4)/Inputs!$B$11))</f>
        <v>0</v>
      </c>
      <c r="M7" s="0" t="n">
        <f aca="false">(M$3&gt;Inputs!$B$4)*(M$3&lt;=Inputs!$B$4+Inputs!$B$13)*Inputs!$B$7*Inputs!$B$8/12*MIN(1,MAX(0,(M$3-Inputs!$B$4)/Inputs!$B$11))</f>
        <v>0</v>
      </c>
      <c r="N7" s="0" t="n">
        <f aca="false">(N$3&gt;Inputs!$B$4)*(N$3&lt;=Inputs!$B$4+Inputs!$B$13)*Inputs!$B$7*Inputs!$B$8/12*MIN(1,MAX(0,(N$3-Inputs!$B$4)/Inputs!$B$11))</f>
        <v>0</v>
      </c>
      <c r="O7" s="0" t="n">
        <f aca="false">(O$3&gt;Inputs!$B$4)*(O$3&lt;=Inputs!$B$4+Inputs!$B$13)*Inputs!$B$7*Inputs!$B$8/12*MIN(1,MAX(0,(O$3-Inputs!$B$4)/Inputs!$B$11))</f>
        <v>0</v>
      </c>
      <c r="P7" s="0" t="n">
        <f aca="false">(P$3&gt;Inputs!$B$4)*(P$3&lt;=Inputs!$B$4+Inputs!$B$13)*Inputs!$B$7*Inputs!$B$8/12*MIN(1,MAX(0,(P$3-Inputs!$B$4)/Inputs!$B$11))</f>
        <v>0</v>
      </c>
      <c r="Q7" s="0" t="n">
        <f aca="false">(Q$3&gt;Inputs!$B$4)*(Q$3&lt;=Inputs!$B$4+Inputs!$B$13)*Inputs!$B$7*Inputs!$B$8/12*MIN(1,MAX(0,(Q$3-Inputs!$B$4)/Inputs!$B$11))</f>
        <v>0</v>
      </c>
      <c r="R7" s="0" t="n">
        <f aca="false">(R$3&gt;Inputs!$B$4)*(R$3&lt;=Inputs!$B$4+Inputs!$B$13)*Inputs!$B$7*Inputs!$B$8/12*MIN(1,MAX(0,(R$3-Inputs!$B$4)/Inputs!$B$11))</f>
        <v>0</v>
      </c>
      <c r="S7" s="0" t="n">
        <f aca="false">(S$3&gt;Inputs!$B$4)*(S$3&lt;=Inputs!$B$4+Inputs!$B$13)*Inputs!$B$7*Inputs!$B$8/12*MIN(1,MAX(0,(S$3-Inputs!$B$4)/Inputs!$B$11))</f>
        <v>0</v>
      </c>
      <c r="T7" s="0" t="n">
        <f aca="false">(T$3&gt;Inputs!$B$4)*(T$3&lt;=Inputs!$B$4+Inputs!$B$13)*Inputs!$B$7*Inputs!$B$8/12*MIN(1,MAX(0,(T$3-Inputs!$B$4)/Inputs!$B$11))</f>
        <v>0</v>
      </c>
      <c r="U7" s="0" t="n">
        <f aca="false">(U$3&gt;Inputs!$B$4)*(U$3&lt;=Inputs!$B$4+Inputs!$B$13)*Inputs!$B$7*Inputs!$B$8/12*MIN(1,MAX(0,(U$3-Inputs!$B$4)/Inputs!$B$11))</f>
        <v>0</v>
      </c>
      <c r="V7" s="0" t="n">
        <f aca="false">(V$3&gt;Inputs!$B$4)*(V$3&lt;=Inputs!$B$4+Inputs!$B$13)*Inputs!$B$7*Inputs!$B$8/12*MIN(1,MAX(0,(V$3-Inputs!$B$4)/Inputs!$B$11))</f>
        <v>0</v>
      </c>
      <c r="W7" s="0" t="n">
        <f aca="false">(W$3&gt;Inputs!$B$4)*(W$3&lt;=Inputs!$B$4+Inputs!$B$13)*Inputs!$B$7*Inputs!$B$8/12*MIN(1,MAX(0,(W$3-Inputs!$B$4)/Inputs!$B$11))</f>
        <v>0</v>
      </c>
      <c r="X7" s="0" t="n">
        <f aca="false">(X$3&gt;Inputs!$B$4)*(X$3&lt;=Inputs!$B$4+Inputs!$B$13)*Inputs!$B$7*Inputs!$B$8/12*MIN(1,MAX(0,(X$3-Inputs!$B$4)/Inputs!$B$11))</f>
        <v>0</v>
      </c>
      <c r="Y7" s="0" t="n">
        <f aca="false">(Y$3&gt;Inputs!$B$4)*(Y$3&lt;=Inputs!$B$4+Inputs!$B$13)*Inputs!$B$7*Inputs!$B$8/12*MIN(1,MAX(0,(Y$3-Inputs!$B$4)/Inputs!$B$11))</f>
        <v>0</v>
      </c>
      <c r="Z7" s="0" t="n">
        <f aca="false">(Z$3&gt;Inputs!$B$4)*(Z$3&lt;=Inputs!$B$4+Inputs!$B$13)*Inputs!$B$7*Inputs!$B$8/12*MIN(1,MAX(0,(Z$3-Inputs!$B$4)/Inputs!$B$11))</f>
        <v>0</v>
      </c>
      <c r="AA7" s="0" t="n">
        <f aca="false">(AA$3&gt;Inputs!$B$4)*(AA$3&lt;=Inputs!$B$4+Inputs!$B$13)*Inputs!$B$7*Inputs!$B$8/12*MIN(1,MAX(0,(AA$3-Inputs!$B$4)/Inputs!$B$11))</f>
        <v>0</v>
      </c>
      <c r="AB7" s="0" t="n">
        <f aca="false">(AB$3&gt;Inputs!$B$4)*(AB$3&lt;=Inputs!$B$4+Inputs!$B$13)*Inputs!$B$7*Inputs!$B$8/12*MIN(1,MAX(0,(AB$3-Inputs!$B$4)/Inputs!$B$11))</f>
        <v>0</v>
      </c>
      <c r="AC7" s="0" t="n">
        <f aca="false">(AC$3&gt;Inputs!$B$4)*(AC$3&lt;=Inputs!$B$4+Inputs!$B$13)*Inputs!$B$7*Inputs!$B$8/12*MIN(1,MAX(0,(AC$3-Inputs!$B$4)/Inputs!$B$11))</f>
        <v>0</v>
      </c>
      <c r="AD7" s="0" t="n">
        <f aca="false">(AD$3&gt;Inputs!$B$4)*(AD$3&lt;=Inputs!$B$4+Inputs!$B$13)*Inputs!$B$7*Inputs!$B$8/12*MIN(1,MAX(0,(AD$3-Inputs!$B$4)/Inputs!$B$11))</f>
        <v>0</v>
      </c>
      <c r="AE7" s="0" t="n">
        <f aca="false">(AE$3&gt;Inputs!$B$4)*(AE$3&lt;=Inputs!$B$4+Inputs!$B$13)*Inputs!$B$7*Inputs!$B$8/12*MIN(1,MAX(0,(AE$3-Inputs!$B$4)/Inputs!$B$11))</f>
        <v>0</v>
      </c>
      <c r="AF7" s="0" t="n">
        <f aca="false">(AF$3&gt;Inputs!$B$4)*(AF$3&lt;=Inputs!$B$4+Inputs!$B$13)*Inputs!$B$7*Inputs!$B$8/12*MIN(1,MAX(0,(AF$3-Inputs!$B$4)/Inputs!$B$11))</f>
        <v>0</v>
      </c>
      <c r="AG7" s="0" t="n">
        <f aca="false">(AG$3&gt;Inputs!$B$4)*(AG$3&lt;=Inputs!$B$4+Inputs!$B$13)*Inputs!$B$7*Inputs!$B$8/12*MIN(1,MAX(0,(AG$3-Inputs!$B$4)/Inputs!$B$11))</f>
        <v>447222.222222222</v>
      </c>
      <c r="AH7" s="0" t="n">
        <f aca="false">(AH$3&gt;Inputs!$B$4)*(AH$3&lt;=Inputs!$B$4+Inputs!$B$13)*Inputs!$B$7*Inputs!$B$8/12*MIN(1,MAX(0,(AH$3-Inputs!$B$4)/Inputs!$B$11))</f>
        <v>894444.444444444</v>
      </c>
      <c r="AI7" s="0" t="n">
        <f aca="false">(AI$3&gt;Inputs!$B$4)*(AI$3&lt;=Inputs!$B$4+Inputs!$B$13)*Inputs!$B$7*Inputs!$B$8/12*MIN(1,MAX(0,(AI$3-Inputs!$B$4)/Inputs!$B$11))</f>
        <v>1341666.66666667</v>
      </c>
      <c r="AJ7" s="0" t="n">
        <f aca="false">(AJ$3&gt;Inputs!$B$4)*(AJ$3&lt;=Inputs!$B$4+Inputs!$B$13)*Inputs!$B$7*Inputs!$B$8/12*MIN(1,MAX(0,(AJ$3-Inputs!$B$4)/Inputs!$B$11))</f>
        <v>1788888.88888889</v>
      </c>
      <c r="AK7" s="0" t="n">
        <f aca="false">(AK$3&gt;Inputs!$B$4)*(AK$3&lt;=Inputs!$B$4+Inputs!$B$13)*Inputs!$B$7*Inputs!$B$8/12*MIN(1,MAX(0,(AK$3-Inputs!$B$4)/Inputs!$B$11))</f>
        <v>2236111.11111111</v>
      </c>
      <c r="AL7" s="0" t="n">
        <f aca="false">(AL$3&gt;Inputs!$B$4)*(AL$3&lt;=Inputs!$B$4+Inputs!$B$13)*Inputs!$B$7*Inputs!$B$8/12*MIN(1,MAX(0,(AL$3-Inputs!$B$4)/Inputs!$B$11))</f>
        <v>2683333.33333333</v>
      </c>
      <c r="AM7" s="0" t="n">
        <f aca="false">(AM$3&gt;Inputs!$B$4)*(AM$3&lt;=Inputs!$B$4+Inputs!$B$13)*Inputs!$B$7*Inputs!$B$8/12*MIN(1,MAX(0,(AM$3-Inputs!$B$4)/Inputs!$B$11))</f>
        <v>3130555.55555556</v>
      </c>
      <c r="AN7" s="0" t="n">
        <f aca="false">(AN$3&gt;Inputs!$B$4)*(AN$3&lt;=Inputs!$B$4+Inputs!$B$13)*Inputs!$B$7*Inputs!$B$8/12*MIN(1,MAX(0,(AN$3-Inputs!$B$4)/Inputs!$B$11))</f>
        <v>3577777.77777778</v>
      </c>
      <c r="AO7" s="0" t="n">
        <f aca="false">(AO$3&gt;Inputs!$B$4)*(AO$3&lt;=Inputs!$B$4+Inputs!$B$13)*Inputs!$B$7*Inputs!$B$8/12*MIN(1,MAX(0,(AO$3-Inputs!$B$4)/Inputs!$B$11))</f>
        <v>4025000</v>
      </c>
      <c r="AP7" s="0" t="n">
        <f aca="false">(AP$3&gt;Inputs!$B$4)*(AP$3&lt;=Inputs!$B$4+Inputs!$B$13)*Inputs!$B$7*Inputs!$B$8/12*MIN(1,MAX(0,(AP$3-Inputs!$B$4)/Inputs!$B$11))</f>
        <v>4472222.22222222</v>
      </c>
      <c r="AQ7" s="0" t="n">
        <f aca="false">(AQ$3&gt;Inputs!$B$4)*(AQ$3&lt;=Inputs!$B$4+Inputs!$B$13)*Inputs!$B$7*Inputs!$B$8/12*MIN(1,MAX(0,(AQ$3-Inputs!$B$4)/Inputs!$B$11))</f>
        <v>4919444.44444445</v>
      </c>
      <c r="AR7" s="0" t="n">
        <f aca="false">(AR$3&gt;Inputs!$B$4)*(AR$3&lt;=Inputs!$B$4+Inputs!$B$13)*Inputs!$B$7*Inputs!$B$8/12*MIN(1,MAX(0,(AR$3-Inputs!$B$4)/Inputs!$B$11))</f>
        <v>5366666.66666667</v>
      </c>
      <c r="AS7" s="0" t="n">
        <f aca="false">(AS$3&gt;Inputs!$B$4)*(AS$3&lt;=Inputs!$B$4+Inputs!$B$13)*Inputs!$B$7*Inputs!$B$8/12*MIN(1,MAX(0,(AS$3-Inputs!$B$4)/Inputs!$B$11))</f>
        <v>5813888.88888889</v>
      </c>
      <c r="AT7" s="0" t="n">
        <f aca="false">(AT$3&gt;Inputs!$B$4)*(AT$3&lt;=Inputs!$B$4+Inputs!$B$13)*Inputs!$B$7*Inputs!$B$8/12*MIN(1,MAX(0,(AT$3-Inputs!$B$4)/Inputs!$B$11))</f>
        <v>6261111.11111111</v>
      </c>
      <c r="AU7" s="0" t="n">
        <f aca="false">(AU$3&gt;Inputs!$B$4)*(AU$3&lt;=Inputs!$B$4+Inputs!$B$13)*Inputs!$B$7*Inputs!$B$8/12*MIN(1,MAX(0,(AU$3-Inputs!$B$4)/Inputs!$B$11))</f>
        <v>6708333.33333333</v>
      </c>
      <c r="AV7" s="0" t="n">
        <f aca="false">(AV$3&gt;Inputs!$B$4)*(AV$3&lt;=Inputs!$B$4+Inputs!$B$13)*Inputs!$B$7*Inputs!$B$8/12*MIN(1,MAX(0,(AV$3-Inputs!$B$4)/Inputs!$B$11))</f>
        <v>7155555.55555556</v>
      </c>
      <c r="AW7" s="0" t="n">
        <f aca="false">(AW$3&gt;Inputs!$B$4)*(AW$3&lt;=Inputs!$B$4+Inputs!$B$13)*Inputs!$B$7*Inputs!$B$8/12*MIN(1,MAX(0,(AW$3-Inputs!$B$4)/Inputs!$B$11))</f>
        <v>7602777.77777778</v>
      </c>
      <c r="AX7" s="0" t="n">
        <f aca="false">(AX$3&gt;Inputs!$B$4)*(AX$3&lt;=Inputs!$B$4+Inputs!$B$13)*Inputs!$B$7*Inputs!$B$8/12*MIN(1,MAX(0,(AX$3-Inputs!$B$4)/Inputs!$B$11))</f>
        <v>8050000</v>
      </c>
      <c r="AY7" s="0" t="n">
        <f aca="false">(AY$3&gt;Inputs!$B$4)*(AY$3&lt;=Inputs!$B$4+Inputs!$B$13)*Inputs!$B$7*Inputs!$B$8/12*MIN(1,MAX(0,(AY$3-Inputs!$B$4)/Inputs!$B$11))</f>
        <v>8050000</v>
      </c>
      <c r="AZ7" s="0" t="n">
        <f aca="false">(AZ$3&gt;Inputs!$B$4)*(AZ$3&lt;=Inputs!$B$4+Inputs!$B$13)*Inputs!$B$7*Inputs!$B$8/12*MIN(1,MAX(0,(AZ$3-Inputs!$B$4)/Inputs!$B$11))</f>
        <v>8050000</v>
      </c>
      <c r="BA7" s="0" t="n">
        <f aca="false">(BA$3&gt;Inputs!$B$4)*(BA$3&lt;=Inputs!$B$4+Inputs!$B$13)*Inputs!$B$7*Inputs!$B$8/12*MIN(1,MAX(0,(BA$3-Inputs!$B$4)/Inputs!$B$11))</f>
        <v>8050000</v>
      </c>
      <c r="BB7" s="0" t="n">
        <f aca="false">(BB$3&gt;Inputs!$B$4)*(BB$3&lt;=Inputs!$B$4+Inputs!$B$13)*Inputs!$B$7*Inputs!$B$8/12*MIN(1,MAX(0,(BB$3-Inputs!$B$4)/Inputs!$B$11))</f>
        <v>8050000</v>
      </c>
      <c r="BC7" s="0" t="n">
        <f aca="false">(BC$3&gt;Inputs!$B$4)*(BC$3&lt;=Inputs!$B$4+Inputs!$B$13)*Inputs!$B$7*Inputs!$B$8/12*MIN(1,MAX(0,(BC$3-Inputs!$B$4)/Inputs!$B$11))</f>
        <v>8050000</v>
      </c>
      <c r="BD7" s="0" t="n">
        <f aca="false">(BD$3&gt;Inputs!$B$4)*(BD$3&lt;=Inputs!$B$4+Inputs!$B$13)*Inputs!$B$7*Inputs!$B$8/12*MIN(1,MAX(0,(BD$3-Inputs!$B$4)/Inputs!$B$11))</f>
        <v>8050000</v>
      </c>
      <c r="BE7" s="0" t="n">
        <f aca="false">(BE$3&gt;Inputs!$B$4)*(BE$3&lt;=Inputs!$B$4+Inputs!$B$13)*Inputs!$B$7*Inputs!$B$8/12*MIN(1,MAX(0,(BE$3-Inputs!$B$4)/Inputs!$B$11))</f>
        <v>0</v>
      </c>
      <c r="BF7" s="0" t="n">
        <f aca="false">(BF$3&gt;Inputs!$B$4)*(BF$3&lt;=Inputs!$B$4+Inputs!$B$13)*Inputs!$B$7*Inputs!$B$8/12*MIN(1,MAX(0,(BF$3-Inputs!$B$4)/Inputs!$B$11))</f>
        <v>0</v>
      </c>
      <c r="BG7" s="0" t="n">
        <f aca="false">(BG$3&gt;Inputs!$B$4)*(BG$3&lt;=Inputs!$B$4+Inputs!$B$13)*Inputs!$B$7*Inputs!$B$8/12*MIN(1,MAX(0,(BG$3-Inputs!$B$4)/Inputs!$B$11))</f>
        <v>0</v>
      </c>
      <c r="BH7" s="0" t="n">
        <f aca="false">(BH$3&gt;Inputs!$B$4)*(BH$3&lt;=Inputs!$B$4+Inputs!$B$13)*Inputs!$B$7*Inputs!$B$8/12*MIN(1,MAX(0,(BH$3-Inputs!$B$4)/Inputs!$B$11))</f>
        <v>0</v>
      </c>
      <c r="BI7" s="0" t="n">
        <f aca="false">(BI$3&gt;Inputs!$B$4)*(BI$3&lt;=Inputs!$B$4+Inputs!$B$13)*Inputs!$B$7*Inputs!$B$8/12*MIN(1,MAX(0,(BI$3-Inputs!$B$4)/Inputs!$B$11))</f>
        <v>0</v>
      </c>
      <c r="BJ7" s="0" t="n">
        <f aca="false">(BJ$3&gt;Inputs!$B$4)*(BJ$3&lt;=Inputs!$B$4+Inputs!$B$13)*Inputs!$B$7*Inputs!$B$8/12*MIN(1,MAX(0,(BJ$3-Inputs!$B$4)/Inputs!$B$11))</f>
        <v>0</v>
      </c>
      <c r="BK7" s="0" t="n">
        <f aca="false">(BK$3&gt;Inputs!$B$4)*(BK$3&lt;=Inputs!$B$4+Inputs!$B$13)*Inputs!$B$7*Inputs!$B$8/12*MIN(1,MAX(0,(BK$3-Inputs!$B$4)/Inputs!$B$11))</f>
        <v>0</v>
      </c>
      <c r="BL7" s="0" t="n">
        <f aca="false">(BL$3&gt;Inputs!$B$4)*(BL$3&lt;=Inputs!$B$4+Inputs!$B$13)*Inputs!$B$7*Inputs!$B$8/12*MIN(1,MAX(0,(BL$3-Inputs!$B$4)/Inputs!$B$11))</f>
        <v>0</v>
      </c>
      <c r="BM7" s="0" t="n">
        <f aca="false">(BM$3&gt;Inputs!$B$4)*(BM$3&lt;=Inputs!$B$4+Inputs!$B$13)*Inputs!$B$7*Inputs!$B$8/12*MIN(1,MAX(0,(BM$3-Inputs!$B$4)/Inputs!$B$11))</f>
        <v>0</v>
      </c>
      <c r="BN7" s="0" t="n">
        <f aca="false">(BN$3&gt;Inputs!$B$4)*(BN$3&lt;=Inputs!$B$4+Inputs!$B$13)*Inputs!$B$7*Inputs!$B$8/12*MIN(1,MAX(0,(BN$3-Inputs!$B$4)/Inputs!$B$11))</f>
        <v>0</v>
      </c>
      <c r="BO7" s="0" t="n">
        <f aca="false">(BO$3&gt;Inputs!$B$4)*(BO$3&lt;=Inputs!$B$4+Inputs!$B$13)*Inputs!$B$7*Inputs!$B$8/12*MIN(1,MAX(0,(BO$3-Inputs!$B$4)/Inputs!$B$11))</f>
        <v>0</v>
      </c>
      <c r="BP7" s="0" t="n">
        <f aca="false">(BP$3&gt;Inputs!$B$4)*(BP$3&lt;=Inputs!$B$4+Inputs!$B$13)*Inputs!$B$7*Inputs!$B$8/12*MIN(1,MAX(0,(BP$3-Inputs!$B$4)/Inputs!$B$11))</f>
        <v>0</v>
      </c>
      <c r="BQ7" s="0" t="n">
        <f aca="false">(BQ$3&gt;Inputs!$B$4)*(BQ$3&lt;=Inputs!$B$4+Inputs!$B$13)*Inputs!$B$7*Inputs!$B$8/12*MIN(1,MAX(0,(BQ$3-Inputs!$B$4)/Inputs!$B$11))</f>
        <v>0</v>
      </c>
      <c r="BR7" s="0" t="n">
        <f aca="false">(BR$3&gt;Inputs!$B$4)*(BR$3&lt;=Inputs!$B$4+Inputs!$B$13)*Inputs!$B$7*Inputs!$B$8/12*MIN(1,MAX(0,(BR$3-Inputs!$B$4)/Inputs!$B$11))</f>
        <v>0</v>
      </c>
      <c r="BS7" s="0" t="n">
        <f aca="false">(BS$3&gt;Inputs!$B$4)*(BS$3&lt;=Inputs!$B$4+Inputs!$B$13)*Inputs!$B$7*Inputs!$B$8/12*MIN(1,MAX(0,(BS$3-Inputs!$B$4)/Inputs!$B$11))</f>
        <v>0</v>
      </c>
      <c r="BT7" s="0" t="n">
        <f aca="false">(BT$3&gt;Inputs!$B$4)*(BT$3&lt;=Inputs!$B$4+Inputs!$B$13)*Inputs!$B$7*Inputs!$B$8/12*MIN(1,MAX(0,(BT$3-Inputs!$B$4)/Inputs!$B$11))</f>
        <v>0</v>
      </c>
      <c r="BU7" s="0" t="n">
        <f aca="false">(BU$3&gt;Inputs!$B$4)*(BU$3&lt;=Inputs!$B$4+Inputs!$B$13)*Inputs!$B$7*Inputs!$B$8/12*MIN(1,MAX(0,(BU$3-Inputs!$B$4)/Inputs!$B$11))</f>
        <v>0</v>
      </c>
      <c r="BV7" s="0" t="n">
        <f aca="false">(BV$3&gt;Inputs!$B$4)*(BV$3&lt;=Inputs!$B$4+Inputs!$B$13)*Inputs!$B$7*Inputs!$B$8/12*MIN(1,MAX(0,(BV$3-Inputs!$B$4)/Inputs!$B$11))</f>
        <v>0</v>
      </c>
      <c r="BW7" s="0" t="n">
        <f aca="false">(BW$3&gt;Inputs!$B$4)*(BW$3&lt;=Inputs!$B$4+Inputs!$B$13)*Inputs!$B$7*Inputs!$B$8/12*MIN(1,MAX(0,(BW$3-Inputs!$B$4)/Inputs!$B$11))</f>
        <v>0</v>
      </c>
      <c r="BX7" s="0" t="n">
        <f aca="false">(BX$3&gt;Inputs!$B$4)*(BX$3&lt;=Inputs!$B$4+Inputs!$B$13)*Inputs!$B$7*Inputs!$B$8/12*MIN(1,MAX(0,(BX$3-Inputs!$B$4)/Inputs!$B$11))</f>
        <v>0</v>
      </c>
      <c r="BY7" s="0" t="n">
        <f aca="false">(BY$3&gt;Inputs!$B$4)*(BY$3&lt;=Inputs!$B$4+Inputs!$B$13)*Inputs!$B$7*Inputs!$B$8/12*MIN(1,MAX(0,(BY$3-Inputs!$B$4)/Inputs!$B$11))</f>
        <v>0</v>
      </c>
      <c r="BZ7" s="0" t="n">
        <f aca="false">(BZ$3&gt;Inputs!$B$4)*(BZ$3&lt;=Inputs!$B$4+Inputs!$B$13)*Inputs!$B$7*Inputs!$B$8/12*MIN(1,MAX(0,(BZ$3-Inputs!$B$4)/Inputs!$B$11))</f>
        <v>0</v>
      </c>
      <c r="CA7" s="0" t="n">
        <f aca="false">(CA$3&gt;Inputs!$B$4)*(CA$3&lt;=Inputs!$B$4+Inputs!$B$13)*Inputs!$B$7*Inputs!$B$8/12*MIN(1,MAX(0,(CA$3-Inputs!$B$4)/Inputs!$B$11))</f>
        <v>0</v>
      </c>
      <c r="CB7" s="0" t="n">
        <f aca="false">(CB$3&gt;Inputs!$B$4)*(CB$3&lt;=Inputs!$B$4+Inputs!$B$13)*Inputs!$B$7*Inputs!$B$8/12*MIN(1,MAX(0,(CB$3-Inputs!$B$4)/Inputs!$B$11))</f>
        <v>0</v>
      </c>
    </row>
    <row r="8" customFormat="false" ht="15" hidden="false" customHeight="false" outlineLevel="0" collapsed="false">
      <c r="A8" s="0" t="s">
        <v>18</v>
      </c>
      <c r="B8" s="0" t="n">
        <f aca="false">(B$3&gt;Inputs!$B$4)*(B$3&lt;=Inputs!$B$4+Inputs!$B$13)*Inputs!$B$9*Inputs!$B$10/12*MIN(1,MAX(0,(B$3-Inputs!$B$4)/Inputs!$B$11))</f>
        <v>0</v>
      </c>
      <c r="C8" s="0" t="n">
        <f aca="false">(C$3&gt;Inputs!$B$4)*(C$3&lt;=Inputs!$B$4+Inputs!$B$13)*Inputs!$B$9*Inputs!$B$10/12*MIN(1,MAX(0,(C$3-Inputs!$B$4)/Inputs!$B$11))</f>
        <v>0</v>
      </c>
      <c r="D8" s="0" t="n">
        <f aca="false">(D$3&gt;Inputs!$B$4)*(D$3&lt;=Inputs!$B$4+Inputs!$B$13)*Inputs!$B$9*Inputs!$B$10/12*MIN(1,MAX(0,(D$3-Inputs!$B$4)/Inputs!$B$11))</f>
        <v>0</v>
      </c>
      <c r="E8" s="0" t="n">
        <f aca="false">(E$3&gt;Inputs!$B$4)*(E$3&lt;=Inputs!$B$4+Inputs!$B$13)*Inputs!$B$9*Inputs!$B$10/12*MIN(1,MAX(0,(E$3-Inputs!$B$4)/Inputs!$B$11))</f>
        <v>0</v>
      </c>
      <c r="F8" s="0" t="n">
        <f aca="false">(F$3&gt;Inputs!$B$4)*(F$3&lt;=Inputs!$B$4+Inputs!$B$13)*Inputs!$B$9*Inputs!$B$10/12*MIN(1,MAX(0,(F$3-Inputs!$B$4)/Inputs!$B$11))</f>
        <v>0</v>
      </c>
      <c r="G8" s="0" t="n">
        <f aca="false">(G$3&gt;Inputs!$B$4)*(G$3&lt;=Inputs!$B$4+Inputs!$B$13)*Inputs!$B$9*Inputs!$B$10/12*MIN(1,MAX(0,(G$3-Inputs!$B$4)/Inputs!$B$11))</f>
        <v>0</v>
      </c>
      <c r="H8" s="0" t="n">
        <f aca="false">(H$3&gt;Inputs!$B$4)*(H$3&lt;=Inputs!$B$4+Inputs!$B$13)*Inputs!$B$9*Inputs!$B$10/12*MIN(1,MAX(0,(H$3-Inputs!$B$4)/Inputs!$B$11))</f>
        <v>0</v>
      </c>
      <c r="I8" s="0" t="n">
        <f aca="false">(I$3&gt;Inputs!$B$4)*(I$3&lt;=Inputs!$B$4+Inputs!$B$13)*Inputs!$B$9*Inputs!$B$10/12*MIN(1,MAX(0,(I$3-Inputs!$B$4)/Inputs!$B$11))</f>
        <v>0</v>
      </c>
      <c r="J8" s="0" t="n">
        <f aca="false">(J$3&gt;Inputs!$B$4)*(J$3&lt;=Inputs!$B$4+Inputs!$B$13)*Inputs!$B$9*Inputs!$B$10/12*MIN(1,MAX(0,(J$3-Inputs!$B$4)/Inputs!$B$11))</f>
        <v>0</v>
      </c>
      <c r="K8" s="0" t="n">
        <f aca="false">(K$3&gt;Inputs!$B$4)*(K$3&lt;=Inputs!$B$4+Inputs!$B$13)*Inputs!$B$9*Inputs!$B$10/12*MIN(1,MAX(0,(K$3-Inputs!$B$4)/Inputs!$B$11))</f>
        <v>0</v>
      </c>
      <c r="L8" s="0" t="n">
        <f aca="false">(L$3&gt;Inputs!$B$4)*(L$3&lt;=Inputs!$B$4+Inputs!$B$13)*Inputs!$B$9*Inputs!$B$10/12*MIN(1,MAX(0,(L$3-Inputs!$B$4)/Inputs!$B$11))</f>
        <v>0</v>
      </c>
      <c r="M8" s="0" t="n">
        <f aca="false">(M$3&gt;Inputs!$B$4)*(M$3&lt;=Inputs!$B$4+Inputs!$B$13)*Inputs!$B$9*Inputs!$B$10/12*MIN(1,MAX(0,(M$3-Inputs!$B$4)/Inputs!$B$11))</f>
        <v>0</v>
      </c>
      <c r="N8" s="0" t="n">
        <f aca="false">(N$3&gt;Inputs!$B$4)*(N$3&lt;=Inputs!$B$4+Inputs!$B$13)*Inputs!$B$9*Inputs!$B$10/12*MIN(1,MAX(0,(N$3-Inputs!$B$4)/Inputs!$B$11))</f>
        <v>0</v>
      </c>
      <c r="O8" s="0" t="n">
        <f aca="false">(O$3&gt;Inputs!$B$4)*(O$3&lt;=Inputs!$B$4+Inputs!$B$13)*Inputs!$B$9*Inputs!$B$10/12*MIN(1,MAX(0,(O$3-Inputs!$B$4)/Inputs!$B$11))</f>
        <v>0</v>
      </c>
      <c r="P8" s="0" t="n">
        <f aca="false">(P$3&gt;Inputs!$B$4)*(P$3&lt;=Inputs!$B$4+Inputs!$B$13)*Inputs!$B$9*Inputs!$B$10/12*MIN(1,MAX(0,(P$3-Inputs!$B$4)/Inputs!$B$11))</f>
        <v>0</v>
      </c>
      <c r="Q8" s="0" t="n">
        <f aca="false">(Q$3&gt;Inputs!$B$4)*(Q$3&lt;=Inputs!$B$4+Inputs!$B$13)*Inputs!$B$9*Inputs!$B$10/12*MIN(1,MAX(0,(Q$3-Inputs!$B$4)/Inputs!$B$11))</f>
        <v>0</v>
      </c>
      <c r="R8" s="0" t="n">
        <f aca="false">(R$3&gt;Inputs!$B$4)*(R$3&lt;=Inputs!$B$4+Inputs!$B$13)*Inputs!$B$9*Inputs!$B$10/12*MIN(1,MAX(0,(R$3-Inputs!$B$4)/Inputs!$B$11))</f>
        <v>0</v>
      </c>
      <c r="S8" s="0" t="n">
        <f aca="false">(S$3&gt;Inputs!$B$4)*(S$3&lt;=Inputs!$B$4+Inputs!$B$13)*Inputs!$B$9*Inputs!$B$10/12*MIN(1,MAX(0,(S$3-Inputs!$B$4)/Inputs!$B$11))</f>
        <v>0</v>
      </c>
      <c r="T8" s="0" t="n">
        <f aca="false">(T$3&gt;Inputs!$B$4)*(T$3&lt;=Inputs!$B$4+Inputs!$B$13)*Inputs!$B$9*Inputs!$B$10/12*MIN(1,MAX(0,(T$3-Inputs!$B$4)/Inputs!$B$11))</f>
        <v>0</v>
      </c>
      <c r="U8" s="0" t="n">
        <f aca="false">(U$3&gt;Inputs!$B$4)*(U$3&lt;=Inputs!$B$4+Inputs!$B$13)*Inputs!$B$9*Inputs!$B$10/12*MIN(1,MAX(0,(U$3-Inputs!$B$4)/Inputs!$B$11))</f>
        <v>0</v>
      </c>
      <c r="V8" s="0" t="n">
        <f aca="false">(V$3&gt;Inputs!$B$4)*(V$3&lt;=Inputs!$B$4+Inputs!$B$13)*Inputs!$B$9*Inputs!$B$10/12*MIN(1,MAX(0,(V$3-Inputs!$B$4)/Inputs!$B$11))</f>
        <v>0</v>
      </c>
      <c r="W8" s="0" t="n">
        <f aca="false">(W$3&gt;Inputs!$B$4)*(W$3&lt;=Inputs!$B$4+Inputs!$B$13)*Inputs!$B$9*Inputs!$B$10/12*MIN(1,MAX(0,(W$3-Inputs!$B$4)/Inputs!$B$11))</f>
        <v>0</v>
      </c>
      <c r="X8" s="0" t="n">
        <f aca="false">(X$3&gt;Inputs!$B$4)*(X$3&lt;=Inputs!$B$4+Inputs!$B$13)*Inputs!$B$9*Inputs!$B$10/12*MIN(1,MAX(0,(X$3-Inputs!$B$4)/Inputs!$B$11))</f>
        <v>0</v>
      </c>
      <c r="Y8" s="0" t="n">
        <f aca="false">(Y$3&gt;Inputs!$B$4)*(Y$3&lt;=Inputs!$B$4+Inputs!$B$13)*Inputs!$B$9*Inputs!$B$10/12*MIN(1,MAX(0,(Y$3-Inputs!$B$4)/Inputs!$B$11))</f>
        <v>0</v>
      </c>
      <c r="Z8" s="0" t="n">
        <f aca="false">(Z$3&gt;Inputs!$B$4)*(Z$3&lt;=Inputs!$B$4+Inputs!$B$13)*Inputs!$B$9*Inputs!$B$10/12*MIN(1,MAX(0,(Z$3-Inputs!$B$4)/Inputs!$B$11))</f>
        <v>0</v>
      </c>
      <c r="AA8" s="0" t="n">
        <f aca="false">(AA$3&gt;Inputs!$B$4)*(AA$3&lt;=Inputs!$B$4+Inputs!$B$13)*Inputs!$B$9*Inputs!$B$10/12*MIN(1,MAX(0,(AA$3-Inputs!$B$4)/Inputs!$B$11))</f>
        <v>0</v>
      </c>
      <c r="AB8" s="0" t="n">
        <f aca="false">(AB$3&gt;Inputs!$B$4)*(AB$3&lt;=Inputs!$B$4+Inputs!$B$13)*Inputs!$B$9*Inputs!$B$10/12*MIN(1,MAX(0,(AB$3-Inputs!$B$4)/Inputs!$B$11))</f>
        <v>0</v>
      </c>
      <c r="AC8" s="0" t="n">
        <f aca="false">(AC$3&gt;Inputs!$B$4)*(AC$3&lt;=Inputs!$B$4+Inputs!$B$13)*Inputs!$B$9*Inputs!$B$10/12*MIN(1,MAX(0,(AC$3-Inputs!$B$4)/Inputs!$B$11))</f>
        <v>0</v>
      </c>
      <c r="AD8" s="0" t="n">
        <f aca="false">(AD$3&gt;Inputs!$B$4)*(AD$3&lt;=Inputs!$B$4+Inputs!$B$13)*Inputs!$B$9*Inputs!$B$10/12*MIN(1,MAX(0,(AD$3-Inputs!$B$4)/Inputs!$B$11))</f>
        <v>0</v>
      </c>
      <c r="AE8" s="0" t="n">
        <f aca="false">(AE$3&gt;Inputs!$B$4)*(AE$3&lt;=Inputs!$B$4+Inputs!$B$13)*Inputs!$B$9*Inputs!$B$10/12*MIN(1,MAX(0,(AE$3-Inputs!$B$4)/Inputs!$B$11))</f>
        <v>0</v>
      </c>
      <c r="AF8" s="0" t="n">
        <f aca="false">(AF$3&gt;Inputs!$B$4)*(AF$3&lt;=Inputs!$B$4+Inputs!$B$13)*Inputs!$B$9*Inputs!$B$10/12*MIN(1,MAX(0,(AF$3-Inputs!$B$4)/Inputs!$B$11))</f>
        <v>0</v>
      </c>
      <c r="AG8" s="0" t="n">
        <f aca="false">(AG$3&gt;Inputs!$B$4)*(AG$3&lt;=Inputs!$B$4+Inputs!$B$13)*Inputs!$B$9*Inputs!$B$10/12*MIN(1,MAX(0,(AG$3-Inputs!$B$4)/Inputs!$B$11))</f>
        <v>93287.037037037</v>
      </c>
      <c r="AH8" s="0" t="n">
        <f aca="false">(AH$3&gt;Inputs!$B$4)*(AH$3&lt;=Inputs!$B$4+Inputs!$B$13)*Inputs!$B$9*Inputs!$B$10/12*MIN(1,MAX(0,(AH$3-Inputs!$B$4)/Inputs!$B$11))</f>
        <v>186574.074074074</v>
      </c>
      <c r="AI8" s="0" t="n">
        <f aca="false">(AI$3&gt;Inputs!$B$4)*(AI$3&lt;=Inputs!$B$4+Inputs!$B$13)*Inputs!$B$9*Inputs!$B$10/12*MIN(1,MAX(0,(AI$3-Inputs!$B$4)/Inputs!$B$11))</f>
        <v>279861.111111111</v>
      </c>
      <c r="AJ8" s="0" t="n">
        <f aca="false">(AJ$3&gt;Inputs!$B$4)*(AJ$3&lt;=Inputs!$B$4+Inputs!$B$13)*Inputs!$B$9*Inputs!$B$10/12*MIN(1,MAX(0,(AJ$3-Inputs!$B$4)/Inputs!$B$11))</f>
        <v>373148.148148148</v>
      </c>
      <c r="AK8" s="0" t="n">
        <f aca="false">(AK$3&gt;Inputs!$B$4)*(AK$3&lt;=Inputs!$B$4+Inputs!$B$13)*Inputs!$B$9*Inputs!$B$10/12*MIN(1,MAX(0,(AK$3-Inputs!$B$4)/Inputs!$B$11))</f>
        <v>466435.185185185</v>
      </c>
      <c r="AL8" s="0" t="n">
        <f aca="false">(AL$3&gt;Inputs!$B$4)*(AL$3&lt;=Inputs!$B$4+Inputs!$B$13)*Inputs!$B$9*Inputs!$B$10/12*MIN(1,MAX(0,(AL$3-Inputs!$B$4)/Inputs!$B$11))</f>
        <v>559722.222222222</v>
      </c>
      <c r="AM8" s="0" t="n">
        <f aca="false">(AM$3&gt;Inputs!$B$4)*(AM$3&lt;=Inputs!$B$4+Inputs!$B$13)*Inputs!$B$9*Inputs!$B$10/12*MIN(1,MAX(0,(AM$3-Inputs!$B$4)/Inputs!$B$11))</f>
        <v>653009.259259259</v>
      </c>
      <c r="AN8" s="0" t="n">
        <f aca="false">(AN$3&gt;Inputs!$B$4)*(AN$3&lt;=Inputs!$B$4+Inputs!$B$13)*Inputs!$B$9*Inputs!$B$10/12*MIN(1,MAX(0,(AN$3-Inputs!$B$4)/Inputs!$B$11))</f>
        <v>746296.296296296</v>
      </c>
      <c r="AO8" s="0" t="n">
        <f aca="false">(AO$3&gt;Inputs!$B$4)*(AO$3&lt;=Inputs!$B$4+Inputs!$B$13)*Inputs!$B$9*Inputs!$B$10/12*MIN(1,MAX(0,(AO$3-Inputs!$B$4)/Inputs!$B$11))</f>
        <v>839583.333333333</v>
      </c>
      <c r="AP8" s="0" t="n">
        <f aca="false">(AP$3&gt;Inputs!$B$4)*(AP$3&lt;=Inputs!$B$4+Inputs!$B$13)*Inputs!$B$9*Inputs!$B$10/12*MIN(1,MAX(0,(AP$3-Inputs!$B$4)/Inputs!$B$11))</f>
        <v>932870.370370371</v>
      </c>
      <c r="AQ8" s="0" t="n">
        <f aca="false">(AQ$3&gt;Inputs!$B$4)*(AQ$3&lt;=Inputs!$B$4+Inputs!$B$13)*Inputs!$B$9*Inputs!$B$10/12*MIN(1,MAX(0,(AQ$3-Inputs!$B$4)/Inputs!$B$11))</f>
        <v>1026157.40740741</v>
      </c>
      <c r="AR8" s="0" t="n">
        <f aca="false">(AR$3&gt;Inputs!$B$4)*(AR$3&lt;=Inputs!$B$4+Inputs!$B$13)*Inputs!$B$9*Inputs!$B$10/12*MIN(1,MAX(0,(AR$3-Inputs!$B$4)/Inputs!$B$11))</f>
        <v>1119444.44444444</v>
      </c>
      <c r="AS8" s="0" t="n">
        <f aca="false">(AS$3&gt;Inputs!$B$4)*(AS$3&lt;=Inputs!$B$4+Inputs!$B$13)*Inputs!$B$9*Inputs!$B$10/12*MIN(1,MAX(0,(AS$3-Inputs!$B$4)/Inputs!$B$11))</f>
        <v>1212731.48148148</v>
      </c>
      <c r="AT8" s="0" t="n">
        <f aca="false">(AT$3&gt;Inputs!$B$4)*(AT$3&lt;=Inputs!$B$4+Inputs!$B$13)*Inputs!$B$9*Inputs!$B$10/12*MIN(1,MAX(0,(AT$3-Inputs!$B$4)/Inputs!$B$11))</f>
        <v>1306018.51851852</v>
      </c>
      <c r="AU8" s="0" t="n">
        <f aca="false">(AU$3&gt;Inputs!$B$4)*(AU$3&lt;=Inputs!$B$4+Inputs!$B$13)*Inputs!$B$9*Inputs!$B$10/12*MIN(1,MAX(0,(AU$3-Inputs!$B$4)/Inputs!$B$11))</f>
        <v>1399305.55555556</v>
      </c>
      <c r="AV8" s="0" t="n">
        <f aca="false">(AV$3&gt;Inputs!$B$4)*(AV$3&lt;=Inputs!$B$4+Inputs!$B$13)*Inputs!$B$9*Inputs!$B$10/12*MIN(1,MAX(0,(AV$3-Inputs!$B$4)/Inputs!$B$11))</f>
        <v>1492592.59259259</v>
      </c>
      <c r="AW8" s="0" t="n">
        <f aca="false">(AW$3&gt;Inputs!$B$4)*(AW$3&lt;=Inputs!$B$4+Inputs!$B$13)*Inputs!$B$9*Inputs!$B$10/12*MIN(1,MAX(0,(AW$3-Inputs!$B$4)/Inputs!$B$11))</f>
        <v>1585879.62962963</v>
      </c>
      <c r="AX8" s="0" t="n">
        <f aca="false">(AX$3&gt;Inputs!$B$4)*(AX$3&lt;=Inputs!$B$4+Inputs!$B$13)*Inputs!$B$9*Inputs!$B$10/12*MIN(1,MAX(0,(AX$3-Inputs!$B$4)/Inputs!$B$11))</f>
        <v>1679166.66666667</v>
      </c>
      <c r="AY8" s="0" t="n">
        <f aca="false">(AY$3&gt;Inputs!$B$4)*(AY$3&lt;=Inputs!$B$4+Inputs!$B$13)*Inputs!$B$9*Inputs!$B$10/12*MIN(1,MAX(0,(AY$3-Inputs!$B$4)/Inputs!$B$11))</f>
        <v>1679166.66666667</v>
      </c>
      <c r="AZ8" s="0" t="n">
        <f aca="false">(AZ$3&gt;Inputs!$B$4)*(AZ$3&lt;=Inputs!$B$4+Inputs!$B$13)*Inputs!$B$9*Inputs!$B$10/12*MIN(1,MAX(0,(AZ$3-Inputs!$B$4)/Inputs!$B$11))</f>
        <v>1679166.66666667</v>
      </c>
      <c r="BA8" s="0" t="n">
        <f aca="false">(BA$3&gt;Inputs!$B$4)*(BA$3&lt;=Inputs!$B$4+Inputs!$B$13)*Inputs!$B$9*Inputs!$B$10/12*MIN(1,MAX(0,(BA$3-Inputs!$B$4)/Inputs!$B$11))</f>
        <v>1679166.66666667</v>
      </c>
      <c r="BB8" s="0" t="n">
        <f aca="false">(BB$3&gt;Inputs!$B$4)*(BB$3&lt;=Inputs!$B$4+Inputs!$B$13)*Inputs!$B$9*Inputs!$B$10/12*MIN(1,MAX(0,(BB$3-Inputs!$B$4)/Inputs!$B$11))</f>
        <v>1679166.66666667</v>
      </c>
      <c r="BC8" s="0" t="n">
        <f aca="false">(BC$3&gt;Inputs!$B$4)*(BC$3&lt;=Inputs!$B$4+Inputs!$B$13)*Inputs!$B$9*Inputs!$B$10/12*MIN(1,MAX(0,(BC$3-Inputs!$B$4)/Inputs!$B$11))</f>
        <v>1679166.66666667</v>
      </c>
      <c r="BD8" s="0" t="n">
        <f aca="false">(BD$3&gt;Inputs!$B$4)*(BD$3&lt;=Inputs!$B$4+Inputs!$B$13)*Inputs!$B$9*Inputs!$B$10/12*MIN(1,MAX(0,(BD$3-Inputs!$B$4)/Inputs!$B$11))</f>
        <v>1679166.66666667</v>
      </c>
      <c r="BE8" s="0" t="n">
        <f aca="false">(BE$3&gt;Inputs!$B$4)*(BE$3&lt;=Inputs!$B$4+Inputs!$B$13)*Inputs!$B$9*Inputs!$B$10/12*MIN(1,MAX(0,(BE$3-Inputs!$B$4)/Inputs!$B$11))</f>
        <v>0</v>
      </c>
      <c r="BF8" s="0" t="n">
        <f aca="false">(BF$3&gt;Inputs!$B$4)*(BF$3&lt;=Inputs!$B$4+Inputs!$B$13)*Inputs!$B$9*Inputs!$B$10/12*MIN(1,MAX(0,(BF$3-Inputs!$B$4)/Inputs!$B$11))</f>
        <v>0</v>
      </c>
      <c r="BG8" s="0" t="n">
        <f aca="false">(BG$3&gt;Inputs!$B$4)*(BG$3&lt;=Inputs!$B$4+Inputs!$B$13)*Inputs!$B$9*Inputs!$B$10/12*MIN(1,MAX(0,(BG$3-Inputs!$B$4)/Inputs!$B$11))</f>
        <v>0</v>
      </c>
      <c r="BH8" s="0" t="n">
        <f aca="false">(BH$3&gt;Inputs!$B$4)*(BH$3&lt;=Inputs!$B$4+Inputs!$B$13)*Inputs!$B$9*Inputs!$B$10/12*MIN(1,MAX(0,(BH$3-Inputs!$B$4)/Inputs!$B$11))</f>
        <v>0</v>
      </c>
      <c r="BI8" s="0" t="n">
        <f aca="false">(BI$3&gt;Inputs!$B$4)*(BI$3&lt;=Inputs!$B$4+Inputs!$B$13)*Inputs!$B$9*Inputs!$B$10/12*MIN(1,MAX(0,(BI$3-Inputs!$B$4)/Inputs!$B$11))</f>
        <v>0</v>
      </c>
      <c r="BJ8" s="0" t="n">
        <f aca="false">(BJ$3&gt;Inputs!$B$4)*(BJ$3&lt;=Inputs!$B$4+Inputs!$B$13)*Inputs!$B$9*Inputs!$B$10/12*MIN(1,MAX(0,(BJ$3-Inputs!$B$4)/Inputs!$B$11))</f>
        <v>0</v>
      </c>
      <c r="BK8" s="0" t="n">
        <f aca="false">(BK$3&gt;Inputs!$B$4)*(BK$3&lt;=Inputs!$B$4+Inputs!$B$13)*Inputs!$B$9*Inputs!$B$10/12*MIN(1,MAX(0,(BK$3-Inputs!$B$4)/Inputs!$B$11))</f>
        <v>0</v>
      </c>
      <c r="BL8" s="0" t="n">
        <f aca="false">(BL$3&gt;Inputs!$B$4)*(BL$3&lt;=Inputs!$B$4+Inputs!$B$13)*Inputs!$B$9*Inputs!$B$10/12*MIN(1,MAX(0,(BL$3-Inputs!$B$4)/Inputs!$B$11))</f>
        <v>0</v>
      </c>
      <c r="BM8" s="0" t="n">
        <f aca="false">(BM$3&gt;Inputs!$B$4)*(BM$3&lt;=Inputs!$B$4+Inputs!$B$13)*Inputs!$B$9*Inputs!$B$10/12*MIN(1,MAX(0,(BM$3-Inputs!$B$4)/Inputs!$B$11))</f>
        <v>0</v>
      </c>
      <c r="BN8" s="0" t="n">
        <f aca="false">(BN$3&gt;Inputs!$B$4)*(BN$3&lt;=Inputs!$B$4+Inputs!$B$13)*Inputs!$B$9*Inputs!$B$10/12*MIN(1,MAX(0,(BN$3-Inputs!$B$4)/Inputs!$B$11))</f>
        <v>0</v>
      </c>
      <c r="BO8" s="0" t="n">
        <f aca="false">(BO$3&gt;Inputs!$B$4)*(BO$3&lt;=Inputs!$B$4+Inputs!$B$13)*Inputs!$B$9*Inputs!$B$10/12*MIN(1,MAX(0,(BO$3-Inputs!$B$4)/Inputs!$B$11))</f>
        <v>0</v>
      </c>
      <c r="BP8" s="0" t="n">
        <f aca="false">(BP$3&gt;Inputs!$B$4)*(BP$3&lt;=Inputs!$B$4+Inputs!$B$13)*Inputs!$B$9*Inputs!$B$10/12*MIN(1,MAX(0,(BP$3-Inputs!$B$4)/Inputs!$B$11))</f>
        <v>0</v>
      </c>
      <c r="BQ8" s="0" t="n">
        <f aca="false">(BQ$3&gt;Inputs!$B$4)*(BQ$3&lt;=Inputs!$B$4+Inputs!$B$13)*Inputs!$B$9*Inputs!$B$10/12*MIN(1,MAX(0,(BQ$3-Inputs!$B$4)/Inputs!$B$11))</f>
        <v>0</v>
      </c>
      <c r="BR8" s="0" t="n">
        <f aca="false">(BR$3&gt;Inputs!$B$4)*(BR$3&lt;=Inputs!$B$4+Inputs!$B$13)*Inputs!$B$9*Inputs!$B$10/12*MIN(1,MAX(0,(BR$3-Inputs!$B$4)/Inputs!$B$11))</f>
        <v>0</v>
      </c>
      <c r="BS8" s="0" t="n">
        <f aca="false">(BS$3&gt;Inputs!$B$4)*(BS$3&lt;=Inputs!$B$4+Inputs!$B$13)*Inputs!$B$9*Inputs!$B$10/12*MIN(1,MAX(0,(BS$3-Inputs!$B$4)/Inputs!$B$11))</f>
        <v>0</v>
      </c>
      <c r="BT8" s="0" t="n">
        <f aca="false">(BT$3&gt;Inputs!$B$4)*(BT$3&lt;=Inputs!$B$4+Inputs!$B$13)*Inputs!$B$9*Inputs!$B$10/12*MIN(1,MAX(0,(BT$3-Inputs!$B$4)/Inputs!$B$11))</f>
        <v>0</v>
      </c>
      <c r="BU8" s="0" t="n">
        <f aca="false">(BU$3&gt;Inputs!$B$4)*(BU$3&lt;=Inputs!$B$4+Inputs!$B$13)*Inputs!$B$9*Inputs!$B$10/12*MIN(1,MAX(0,(BU$3-Inputs!$B$4)/Inputs!$B$11))</f>
        <v>0</v>
      </c>
      <c r="BV8" s="0" t="n">
        <f aca="false">(BV$3&gt;Inputs!$B$4)*(BV$3&lt;=Inputs!$B$4+Inputs!$B$13)*Inputs!$B$9*Inputs!$B$10/12*MIN(1,MAX(0,(BV$3-Inputs!$B$4)/Inputs!$B$11))</f>
        <v>0</v>
      </c>
      <c r="BW8" s="0" t="n">
        <f aca="false">(BW$3&gt;Inputs!$B$4)*(BW$3&lt;=Inputs!$B$4+Inputs!$B$13)*Inputs!$B$9*Inputs!$B$10/12*MIN(1,MAX(0,(BW$3-Inputs!$B$4)/Inputs!$B$11))</f>
        <v>0</v>
      </c>
      <c r="BX8" s="0" t="n">
        <f aca="false">(BX$3&gt;Inputs!$B$4)*(BX$3&lt;=Inputs!$B$4+Inputs!$B$13)*Inputs!$B$9*Inputs!$B$10/12*MIN(1,MAX(0,(BX$3-Inputs!$B$4)/Inputs!$B$11))</f>
        <v>0</v>
      </c>
      <c r="BY8" s="0" t="n">
        <f aca="false">(BY$3&gt;Inputs!$B$4)*(BY$3&lt;=Inputs!$B$4+Inputs!$B$13)*Inputs!$B$9*Inputs!$B$10/12*MIN(1,MAX(0,(BY$3-Inputs!$B$4)/Inputs!$B$11))</f>
        <v>0</v>
      </c>
      <c r="BZ8" s="0" t="n">
        <f aca="false">(BZ$3&gt;Inputs!$B$4)*(BZ$3&lt;=Inputs!$B$4+Inputs!$B$13)*Inputs!$B$9*Inputs!$B$10/12*MIN(1,MAX(0,(BZ$3-Inputs!$B$4)/Inputs!$B$11))</f>
        <v>0</v>
      </c>
      <c r="CA8" s="0" t="n">
        <f aca="false">(CA$3&gt;Inputs!$B$4)*(CA$3&lt;=Inputs!$B$4+Inputs!$B$13)*Inputs!$B$9*Inputs!$B$10/12*MIN(1,MAX(0,(CA$3-Inputs!$B$4)/Inputs!$B$11))</f>
        <v>0</v>
      </c>
      <c r="CB8" s="0" t="n">
        <f aca="false">(CB$3&gt;Inputs!$B$4)*(CB$3&lt;=Inputs!$B$4+Inputs!$B$13)*Inputs!$B$9*Inputs!$B$10/12*MIN(1,MAX(0,(CB$3-Inputs!$B$4)/Inputs!$B$11))</f>
        <v>0</v>
      </c>
    </row>
    <row r="9" customFormat="false" ht="15" hidden="false" customHeight="false" outlineLevel="0" collapsed="false">
      <c r="A9" s="0" t="s">
        <v>19</v>
      </c>
      <c r="B9" s="0" t="n">
        <f aca="false">IF(B$3=Inputs!$B$4+Inputs!$B$13,(Inputs!$B$7*Inputs!$B$8+Inputs!$B$9*Inputs!$B$10)/Inputs!$B$12,0)</f>
        <v>0</v>
      </c>
      <c r="C9" s="0" t="n">
        <f aca="false">IF(C$3=Inputs!$B$4+Inputs!$B$13,(Inputs!$B$7*Inputs!$B$8+Inputs!$B$9*Inputs!$B$10)/Inputs!$B$12,0)</f>
        <v>0</v>
      </c>
      <c r="D9" s="0" t="n">
        <f aca="false">IF(D$3=Inputs!$B$4+Inputs!$B$13,(Inputs!$B$7*Inputs!$B$8+Inputs!$B$9*Inputs!$B$10)/Inputs!$B$12,0)</f>
        <v>0</v>
      </c>
      <c r="E9" s="0" t="n">
        <f aca="false">IF(E$3=Inputs!$B$4+Inputs!$B$13,(Inputs!$B$7*Inputs!$B$8+Inputs!$B$9*Inputs!$B$10)/Inputs!$B$12,0)</f>
        <v>0</v>
      </c>
      <c r="F9" s="0" t="n">
        <f aca="false">IF(F$3=Inputs!$B$4+Inputs!$B$13,(Inputs!$B$7*Inputs!$B$8+Inputs!$B$9*Inputs!$B$10)/Inputs!$B$12,0)</f>
        <v>0</v>
      </c>
      <c r="G9" s="0" t="n">
        <f aca="false">IF(G$3=Inputs!$B$4+Inputs!$B$13,(Inputs!$B$7*Inputs!$B$8+Inputs!$B$9*Inputs!$B$10)/Inputs!$B$12,0)</f>
        <v>0</v>
      </c>
      <c r="H9" s="0" t="n">
        <f aca="false">IF(H$3=Inputs!$B$4+Inputs!$B$13,(Inputs!$B$7*Inputs!$B$8+Inputs!$B$9*Inputs!$B$10)/Inputs!$B$12,0)</f>
        <v>0</v>
      </c>
      <c r="I9" s="0" t="n">
        <f aca="false">IF(I$3=Inputs!$B$4+Inputs!$B$13,(Inputs!$B$7*Inputs!$B$8+Inputs!$B$9*Inputs!$B$10)/Inputs!$B$12,0)</f>
        <v>0</v>
      </c>
      <c r="J9" s="0" t="n">
        <f aca="false">IF(J$3=Inputs!$B$4+Inputs!$B$13,(Inputs!$B$7*Inputs!$B$8+Inputs!$B$9*Inputs!$B$10)/Inputs!$B$12,0)</f>
        <v>0</v>
      </c>
      <c r="K9" s="0" t="n">
        <f aca="false">IF(K$3=Inputs!$B$4+Inputs!$B$13,(Inputs!$B$7*Inputs!$B$8+Inputs!$B$9*Inputs!$B$10)/Inputs!$B$12,0)</f>
        <v>0</v>
      </c>
      <c r="L9" s="0" t="n">
        <f aca="false">IF(L$3=Inputs!$B$4+Inputs!$B$13,(Inputs!$B$7*Inputs!$B$8+Inputs!$B$9*Inputs!$B$10)/Inputs!$B$12,0)</f>
        <v>0</v>
      </c>
      <c r="M9" s="0" t="n">
        <f aca="false">IF(M$3=Inputs!$B$4+Inputs!$B$13,(Inputs!$B$7*Inputs!$B$8+Inputs!$B$9*Inputs!$B$10)/Inputs!$B$12,0)</f>
        <v>0</v>
      </c>
      <c r="N9" s="0" t="n">
        <f aca="false">IF(N$3=Inputs!$B$4+Inputs!$B$13,(Inputs!$B$7*Inputs!$B$8+Inputs!$B$9*Inputs!$B$10)/Inputs!$B$12,0)</f>
        <v>0</v>
      </c>
      <c r="O9" s="0" t="n">
        <f aca="false">IF(O$3=Inputs!$B$4+Inputs!$B$13,(Inputs!$B$7*Inputs!$B$8+Inputs!$B$9*Inputs!$B$10)/Inputs!$B$12,0)</f>
        <v>0</v>
      </c>
      <c r="P9" s="0" t="n">
        <f aca="false">IF(P$3=Inputs!$B$4+Inputs!$B$13,(Inputs!$B$7*Inputs!$B$8+Inputs!$B$9*Inputs!$B$10)/Inputs!$B$12,0)</f>
        <v>0</v>
      </c>
      <c r="Q9" s="0" t="n">
        <f aca="false">IF(Q$3=Inputs!$B$4+Inputs!$B$13,(Inputs!$B$7*Inputs!$B$8+Inputs!$B$9*Inputs!$B$10)/Inputs!$B$12,0)</f>
        <v>0</v>
      </c>
      <c r="R9" s="0" t="n">
        <f aca="false">IF(R$3=Inputs!$B$4+Inputs!$B$13,(Inputs!$B$7*Inputs!$B$8+Inputs!$B$9*Inputs!$B$10)/Inputs!$B$12,0)</f>
        <v>0</v>
      </c>
      <c r="S9" s="0" t="n">
        <f aca="false">IF(S$3=Inputs!$B$4+Inputs!$B$13,(Inputs!$B$7*Inputs!$B$8+Inputs!$B$9*Inputs!$B$10)/Inputs!$B$12,0)</f>
        <v>0</v>
      </c>
      <c r="T9" s="0" t="n">
        <f aca="false">IF(T$3=Inputs!$B$4+Inputs!$B$13,(Inputs!$B$7*Inputs!$B$8+Inputs!$B$9*Inputs!$B$10)/Inputs!$B$12,0)</f>
        <v>0</v>
      </c>
      <c r="U9" s="0" t="n">
        <f aca="false">IF(U$3=Inputs!$B$4+Inputs!$B$13,(Inputs!$B$7*Inputs!$B$8+Inputs!$B$9*Inputs!$B$10)/Inputs!$B$12,0)</f>
        <v>0</v>
      </c>
      <c r="V9" s="0" t="n">
        <f aca="false">IF(V$3=Inputs!$B$4+Inputs!$B$13,(Inputs!$B$7*Inputs!$B$8+Inputs!$B$9*Inputs!$B$10)/Inputs!$B$12,0)</f>
        <v>0</v>
      </c>
      <c r="W9" s="0" t="n">
        <f aca="false">IF(W$3=Inputs!$B$4+Inputs!$B$13,(Inputs!$B$7*Inputs!$B$8+Inputs!$B$9*Inputs!$B$10)/Inputs!$B$12,0)</f>
        <v>0</v>
      </c>
      <c r="X9" s="0" t="n">
        <f aca="false">IF(X$3=Inputs!$B$4+Inputs!$B$13,(Inputs!$B$7*Inputs!$B$8+Inputs!$B$9*Inputs!$B$10)/Inputs!$B$12,0)</f>
        <v>0</v>
      </c>
      <c r="Y9" s="0" t="n">
        <f aca="false">IF(Y$3=Inputs!$B$4+Inputs!$B$13,(Inputs!$B$7*Inputs!$B$8+Inputs!$B$9*Inputs!$B$10)/Inputs!$B$12,0)</f>
        <v>0</v>
      </c>
      <c r="Z9" s="0" t="n">
        <f aca="false">IF(Z$3=Inputs!$B$4+Inputs!$B$13,(Inputs!$B$7*Inputs!$B$8+Inputs!$B$9*Inputs!$B$10)/Inputs!$B$12,0)</f>
        <v>0</v>
      </c>
      <c r="AA9" s="0" t="n">
        <f aca="false">IF(AA$3=Inputs!$B$4+Inputs!$B$13,(Inputs!$B$7*Inputs!$B$8+Inputs!$B$9*Inputs!$B$10)/Inputs!$B$12,0)</f>
        <v>0</v>
      </c>
      <c r="AB9" s="0" t="n">
        <f aca="false">IF(AB$3=Inputs!$B$4+Inputs!$B$13,(Inputs!$B$7*Inputs!$B$8+Inputs!$B$9*Inputs!$B$10)/Inputs!$B$12,0)</f>
        <v>0</v>
      </c>
      <c r="AC9" s="0" t="n">
        <f aca="false">IF(AC$3=Inputs!$B$4+Inputs!$B$13,(Inputs!$B$7*Inputs!$B$8+Inputs!$B$9*Inputs!$B$10)/Inputs!$B$12,0)</f>
        <v>0</v>
      </c>
      <c r="AD9" s="0" t="n">
        <f aca="false">IF(AD$3=Inputs!$B$4+Inputs!$B$13,(Inputs!$B$7*Inputs!$B$8+Inputs!$B$9*Inputs!$B$10)/Inputs!$B$12,0)</f>
        <v>0</v>
      </c>
      <c r="AE9" s="0" t="n">
        <f aca="false">IF(AE$3=Inputs!$B$4+Inputs!$B$13,(Inputs!$B$7*Inputs!$B$8+Inputs!$B$9*Inputs!$B$10)/Inputs!$B$12,0)</f>
        <v>0</v>
      </c>
      <c r="AF9" s="0" t="n">
        <f aca="false">IF(AF$3=Inputs!$B$4+Inputs!$B$13,(Inputs!$B$7*Inputs!$B$8+Inputs!$B$9*Inputs!$B$10)/Inputs!$B$12,0)</f>
        <v>0</v>
      </c>
      <c r="AG9" s="0" t="n">
        <f aca="false">IF(AG$3=Inputs!$B$4+Inputs!$B$13,(Inputs!$B$7*Inputs!$B$8+Inputs!$B$9*Inputs!$B$10)/Inputs!$B$12,0)</f>
        <v>0</v>
      </c>
      <c r="AH9" s="0" t="n">
        <f aca="false">IF(AH$3=Inputs!$B$4+Inputs!$B$13,(Inputs!$B$7*Inputs!$B$8+Inputs!$B$9*Inputs!$B$10)/Inputs!$B$12,0)</f>
        <v>0</v>
      </c>
      <c r="AI9" s="0" t="n">
        <f aca="false">IF(AI$3=Inputs!$B$4+Inputs!$B$13,(Inputs!$B$7*Inputs!$B$8+Inputs!$B$9*Inputs!$B$10)/Inputs!$B$12,0)</f>
        <v>0</v>
      </c>
      <c r="AJ9" s="0" t="n">
        <f aca="false">IF(AJ$3=Inputs!$B$4+Inputs!$B$13,(Inputs!$B$7*Inputs!$B$8+Inputs!$B$9*Inputs!$B$10)/Inputs!$B$12,0)</f>
        <v>0</v>
      </c>
      <c r="AK9" s="0" t="n">
        <f aca="false">IF(AK$3=Inputs!$B$4+Inputs!$B$13,(Inputs!$B$7*Inputs!$B$8+Inputs!$B$9*Inputs!$B$10)/Inputs!$B$12,0)</f>
        <v>0</v>
      </c>
      <c r="AL9" s="0" t="n">
        <f aca="false">IF(AL$3=Inputs!$B$4+Inputs!$B$13,(Inputs!$B$7*Inputs!$B$8+Inputs!$B$9*Inputs!$B$10)/Inputs!$B$12,0)</f>
        <v>0</v>
      </c>
      <c r="AM9" s="0" t="n">
        <f aca="false">IF(AM$3=Inputs!$B$4+Inputs!$B$13,(Inputs!$B$7*Inputs!$B$8+Inputs!$B$9*Inputs!$B$10)/Inputs!$B$12,0)</f>
        <v>0</v>
      </c>
      <c r="AN9" s="0" t="n">
        <f aca="false">IF(AN$3=Inputs!$B$4+Inputs!$B$13,(Inputs!$B$7*Inputs!$B$8+Inputs!$B$9*Inputs!$B$10)/Inputs!$B$12,0)</f>
        <v>0</v>
      </c>
      <c r="AO9" s="0" t="n">
        <f aca="false">IF(AO$3=Inputs!$B$4+Inputs!$B$13,(Inputs!$B$7*Inputs!$B$8+Inputs!$B$9*Inputs!$B$10)/Inputs!$B$12,0)</f>
        <v>0</v>
      </c>
      <c r="AP9" s="0" t="n">
        <f aca="false">IF(AP$3=Inputs!$B$4+Inputs!$B$13,(Inputs!$B$7*Inputs!$B$8+Inputs!$B$9*Inputs!$B$10)/Inputs!$B$12,0)</f>
        <v>0</v>
      </c>
      <c r="AQ9" s="0" t="n">
        <f aca="false">IF(AQ$3=Inputs!$B$4+Inputs!$B$13,(Inputs!$B$7*Inputs!$B$8+Inputs!$B$9*Inputs!$B$10)/Inputs!$B$12,0)</f>
        <v>0</v>
      </c>
      <c r="AR9" s="0" t="n">
        <f aca="false">IF(AR$3=Inputs!$B$4+Inputs!$B$13,(Inputs!$B$7*Inputs!$B$8+Inputs!$B$9*Inputs!$B$10)/Inputs!$B$12,0)</f>
        <v>0</v>
      </c>
      <c r="AS9" s="0" t="n">
        <f aca="false">IF(AS$3=Inputs!$B$4+Inputs!$B$13,(Inputs!$B$7*Inputs!$B$8+Inputs!$B$9*Inputs!$B$10)/Inputs!$B$12,0)</f>
        <v>0</v>
      </c>
      <c r="AT9" s="0" t="n">
        <f aca="false">IF(AT$3=Inputs!$B$4+Inputs!$B$13,(Inputs!$B$7*Inputs!$B$8+Inputs!$B$9*Inputs!$B$10)/Inputs!$B$12,0)</f>
        <v>0</v>
      </c>
      <c r="AU9" s="0" t="n">
        <f aca="false">IF(AU$3=Inputs!$B$4+Inputs!$B$13,(Inputs!$B$7*Inputs!$B$8+Inputs!$B$9*Inputs!$B$10)/Inputs!$B$12,0)</f>
        <v>0</v>
      </c>
      <c r="AV9" s="0" t="n">
        <f aca="false">IF(AV$3=Inputs!$B$4+Inputs!$B$13,(Inputs!$B$7*Inputs!$B$8+Inputs!$B$9*Inputs!$B$10)/Inputs!$B$12,0)</f>
        <v>0</v>
      </c>
      <c r="AW9" s="0" t="n">
        <f aca="false">IF(AW$3=Inputs!$B$4+Inputs!$B$13,(Inputs!$B$7*Inputs!$B$8+Inputs!$B$9*Inputs!$B$10)/Inputs!$B$12,0)</f>
        <v>0</v>
      </c>
      <c r="AX9" s="0" t="n">
        <f aca="false">IF(AX$3=Inputs!$B$4+Inputs!$B$13,(Inputs!$B$7*Inputs!$B$8+Inputs!$B$9*Inputs!$B$10)/Inputs!$B$12,0)</f>
        <v>0</v>
      </c>
      <c r="AY9" s="0" t="n">
        <f aca="false">IF(AY$3=Inputs!$B$4+Inputs!$B$13,(Inputs!$B$7*Inputs!$B$8+Inputs!$B$9*Inputs!$B$10)/Inputs!$B$12,0)</f>
        <v>0</v>
      </c>
      <c r="AZ9" s="0" t="n">
        <f aca="false">IF(AZ$3=Inputs!$B$4+Inputs!$B$13,(Inputs!$B$7*Inputs!$B$8+Inputs!$B$9*Inputs!$B$10)/Inputs!$B$12,0)</f>
        <v>0</v>
      </c>
      <c r="BA9" s="0" t="n">
        <f aca="false">IF(BA$3=Inputs!$B$4+Inputs!$B$13,(Inputs!$B$7*Inputs!$B$8+Inputs!$B$9*Inputs!$B$10)/Inputs!$B$12,0)</f>
        <v>0</v>
      </c>
      <c r="BB9" s="0" t="n">
        <f aca="false">IF(BB$3=Inputs!$B$4+Inputs!$B$13,(Inputs!$B$7*Inputs!$B$8+Inputs!$B$9*Inputs!$B$10)/Inputs!$B$12,0)</f>
        <v>0</v>
      </c>
      <c r="BC9" s="0" t="n">
        <f aca="false">IF(BC$3=Inputs!$B$4+Inputs!$B$13,(Inputs!$B$7*Inputs!$B$8+Inputs!$B$9*Inputs!$B$10)/Inputs!$B$12,0)</f>
        <v>0</v>
      </c>
      <c r="BD9" s="0" t="n">
        <f aca="false">IF(BD$3=Inputs!$B$4+Inputs!$B$13,(Inputs!$B$7*Inputs!$B$8+Inputs!$B$9*Inputs!$B$10)/Inputs!$B$12,0)</f>
        <v>1556666666.66667</v>
      </c>
      <c r="BE9" s="0" t="n">
        <f aca="false">IF(BE$3=Inputs!$B$4+Inputs!$B$13,(Inputs!$B$7*Inputs!$B$8+Inputs!$B$9*Inputs!$B$10)/Inputs!$B$12,0)</f>
        <v>0</v>
      </c>
      <c r="BF9" s="0" t="n">
        <f aca="false">IF(BF$3=Inputs!$B$4+Inputs!$B$13,(Inputs!$B$7*Inputs!$B$8+Inputs!$B$9*Inputs!$B$10)/Inputs!$B$12,0)</f>
        <v>0</v>
      </c>
      <c r="BG9" s="0" t="n">
        <f aca="false">IF(BG$3=Inputs!$B$4+Inputs!$B$13,(Inputs!$B$7*Inputs!$B$8+Inputs!$B$9*Inputs!$B$10)/Inputs!$B$12,0)</f>
        <v>0</v>
      </c>
      <c r="BH9" s="0" t="n">
        <f aca="false">IF(BH$3=Inputs!$B$4+Inputs!$B$13,(Inputs!$B$7*Inputs!$B$8+Inputs!$B$9*Inputs!$B$10)/Inputs!$B$12,0)</f>
        <v>0</v>
      </c>
      <c r="BI9" s="0" t="n">
        <f aca="false">IF(BI$3=Inputs!$B$4+Inputs!$B$13,(Inputs!$B$7*Inputs!$B$8+Inputs!$B$9*Inputs!$B$10)/Inputs!$B$12,0)</f>
        <v>0</v>
      </c>
      <c r="BJ9" s="0" t="n">
        <f aca="false">IF(BJ$3=Inputs!$B$4+Inputs!$B$13,(Inputs!$B$7*Inputs!$B$8+Inputs!$B$9*Inputs!$B$10)/Inputs!$B$12,0)</f>
        <v>0</v>
      </c>
      <c r="BK9" s="0" t="n">
        <f aca="false">IF(BK$3=Inputs!$B$4+Inputs!$B$13,(Inputs!$B$7*Inputs!$B$8+Inputs!$B$9*Inputs!$B$10)/Inputs!$B$12,0)</f>
        <v>0</v>
      </c>
      <c r="BL9" s="0" t="n">
        <f aca="false">IF(BL$3=Inputs!$B$4+Inputs!$B$13,(Inputs!$B$7*Inputs!$B$8+Inputs!$B$9*Inputs!$B$10)/Inputs!$B$12,0)</f>
        <v>0</v>
      </c>
      <c r="BM9" s="0" t="n">
        <f aca="false">IF(BM$3=Inputs!$B$4+Inputs!$B$13,(Inputs!$B$7*Inputs!$B$8+Inputs!$B$9*Inputs!$B$10)/Inputs!$B$12,0)</f>
        <v>0</v>
      </c>
      <c r="BN9" s="0" t="n">
        <f aca="false">IF(BN$3=Inputs!$B$4+Inputs!$B$13,(Inputs!$B$7*Inputs!$B$8+Inputs!$B$9*Inputs!$B$10)/Inputs!$B$12,0)</f>
        <v>0</v>
      </c>
      <c r="BO9" s="0" t="n">
        <f aca="false">IF(BO$3=Inputs!$B$4+Inputs!$B$13,(Inputs!$B$7*Inputs!$B$8+Inputs!$B$9*Inputs!$B$10)/Inputs!$B$12,0)</f>
        <v>0</v>
      </c>
      <c r="BP9" s="0" t="n">
        <f aca="false">IF(BP$3=Inputs!$B$4+Inputs!$B$13,(Inputs!$B$7*Inputs!$B$8+Inputs!$B$9*Inputs!$B$10)/Inputs!$B$12,0)</f>
        <v>0</v>
      </c>
      <c r="BQ9" s="0" t="n">
        <f aca="false">IF(BQ$3=Inputs!$B$4+Inputs!$B$13,(Inputs!$B$7*Inputs!$B$8+Inputs!$B$9*Inputs!$B$10)/Inputs!$B$12,0)</f>
        <v>0</v>
      </c>
      <c r="BR9" s="0" t="n">
        <f aca="false">IF(BR$3=Inputs!$B$4+Inputs!$B$13,(Inputs!$B$7*Inputs!$B$8+Inputs!$B$9*Inputs!$B$10)/Inputs!$B$12,0)</f>
        <v>0</v>
      </c>
      <c r="BS9" s="0" t="n">
        <f aca="false">IF(BS$3=Inputs!$B$4+Inputs!$B$13,(Inputs!$B$7*Inputs!$B$8+Inputs!$B$9*Inputs!$B$10)/Inputs!$B$12,0)</f>
        <v>0</v>
      </c>
      <c r="BT9" s="0" t="n">
        <f aca="false">IF(BT$3=Inputs!$B$4+Inputs!$B$13,(Inputs!$B$7*Inputs!$B$8+Inputs!$B$9*Inputs!$B$10)/Inputs!$B$12,0)</f>
        <v>0</v>
      </c>
      <c r="BU9" s="0" t="n">
        <f aca="false">IF(BU$3=Inputs!$B$4+Inputs!$B$13,(Inputs!$B$7*Inputs!$B$8+Inputs!$B$9*Inputs!$B$10)/Inputs!$B$12,0)</f>
        <v>0</v>
      </c>
      <c r="BV9" s="0" t="n">
        <f aca="false">IF(BV$3=Inputs!$B$4+Inputs!$B$13,(Inputs!$B$7*Inputs!$B$8+Inputs!$B$9*Inputs!$B$10)/Inputs!$B$12,0)</f>
        <v>0</v>
      </c>
      <c r="BW9" s="0" t="n">
        <f aca="false">IF(BW$3=Inputs!$B$4+Inputs!$B$13,(Inputs!$B$7*Inputs!$B$8+Inputs!$B$9*Inputs!$B$10)/Inputs!$B$12,0)</f>
        <v>0</v>
      </c>
      <c r="BX9" s="0" t="n">
        <f aca="false">IF(BX$3=Inputs!$B$4+Inputs!$B$13,(Inputs!$B$7*Inputs!$B$8+Inputs!$B$9*Inputs!$B$10)/Inputs!$B$12,0)</f>
        <v>0</v>
      </c>
      <c r="BY9" s="0" t="n">
        <f aca="false">IF(BY$3=Inputs!$B$4+Inputs!$B$13,(Inputs!$B$7*Inputs!$B$8+Inputs!$B$9*Inputs!$B$10)/Inputs!$B$12,0)</f>
        <v>0</v>
      </c>
      <c r="BZ9" s="0" t="n">
        <f aca="false">IF(BZ$3=Inputs!$B$4+Inputs!$B$13,(Inputs!$B$7*Inputs!$B$8+Inputs!$B$9*Inputs!$B$10)/Inputs!$B$12,0)</f>
        <v>0</v>
      </c>
      <c r="CA9" s="0" t="n">
        <f aca="false">IF(CA$3=Inputs!$B$4+Inputs!$B$13,(Inputs!$B$7*Inputs!$B$8+Inputs!$B$9*Inputs!$B$10)/Inputs!$B$12,0)</f>
        <v>0</v>
      </c>
      <c r="CB9" s="0" t="n">
        <f aca="false">IF(CB$3=Inputs!$B$4+Inputs!$B$13,(Inputs!$B$7*Inputs!$B$8+Inputs!$B$9*Inputs!$B$10)/Inputs!$B$12,0)</f>
        <v>0</v>
      </c>
    </row>
    <row r="10" customFormat="false" ht="15" hidden="false" customHeight="false" outlineLevel="0" collapsed="false">
      <c r="A10" s="0" t="s">
        <v>20</v>
      </c>
      <c r="B10" s="0" t="n">
        <f aca="false">SUM(B5:B9)</f>
        <v>-310000000</v>
      </c>
      <c r="C10" s="0" t="n">
        <f aca="false">SUM(C5:C9)</f>
        <v>-29333333.3333333</v>
      </c>
      <c r="D10" s="0" t="n">
        <f aca="false">SUM(D5:D9)</f>
        <v>-29333333.3333333</v>
      </c>
      <c r="E10" s="0" t="n">
        <f aca="false">SUM(E5:E9)</f>
        <v>-29333333.3333333</v>
      </c>
      <c r="F10" s="0" t="n">
        <f aca="false">SUM(F5:F9)</f>
        <v>-29333333.3333333</v>
      </c>
      <c r="G10" s="0" t="n">
        <f aca="false">SUM(G5:G9)</f>
        <v>-29333333.3333333</v>
      </c>
      <c r="H10" s="0" t="n">
        <f aca="false">SUM(H5:H9)</f>
        <v>-29333333.3333333</v>
      </c>
      <c r="I10" s="0" t="n">
        <f aca="false">SUM(I5:I9)</f>
        <v>-29333333.3333333</v>
      </c>
      <c r="J10" s="0" t="n">
        <f aca="false">SUM(J5:J9)</f>
        <v>-29333333.3333333</v>
      </c>
      <c r="K10" s="0" t="n">
        <f aca="false">SUM(K5:K9)</f>
        <v>-29333333.3333333</v>
      </c>
      <c r="L10" s="0" t="n">
        <f aca="false">SUM(L5:L9)</f>
        <v>-29333333.3333333</v>
      </c>
      <c r="M10" s="0" t="n">
        <f aca="false">SUM(M5:M9)</f>
        <v>-29333333.3333333</v>
      </c>
      <c r="N10" s="0" t="n">
        <f aca="false">SUM(N5:N9)</f>
        <v>-29333333.3333333</v>
      </c>
      <c r="O10" s="0" t="n">
        <f aca="false">SUM(O5:O9)</f>
        <v>-29333333.3333333</v>
      </c>
      <c r="P10" s="0" t="n">
        <f aca="false">SUM(P5:P9)</f>
        <v>-29333333.3333333</v>
      </c>
      <c r="Q10" s="0" t="n">
        <f aca="false">SUM(Q5:Q9)</f>
        <v>-29333333.3333333</v>
      </c>
      <c r="R10" s="0" t="n">
        <f aca="false">SUM(R5:R9)</f>
        <v>-29333333.3333333</v>
      </c>
      <c r="S10" s="0" t="n">
        <f aca="false">SUM(S5:S9)</f>
        <v>-29333333.3333333</v>
      </c>
      <c r="T10" s="0" t="n">
        <f aca="false">SUM(T5:T9)</f>
        <v>-29333333.3333333</v>
      </c>
      <c r="U10" s="0" t="n">
        <f aca="false">SUM(U5:U9)</f>
        <v>-29333333.3333333</v>
      </c>
      <c r="V10" s="0" t="n">
        <f aca="false">SUM(V5:V9)</f>
        <v>-29333333.3333333</v>
      </c>
      <c r="W10" s="0" t="n">
        <f aca="false">SUM(W5:W9)</f>
        <v>-29333333.3333333</v>
      </c>
      <c r="X10" s="0" t="n">
        <f aca="false">SUM(X5:X9)</f>
        <v>-29333333.3333333</v>
      </c>
      <c r="Y10" s="0" t="n">
        <f aca="false">SUM(Y5:Y9)</f>
        <v>-29333333.3333333</v>
      </c>
      <c r="Z10" s="0" t="n">
        <f aca="false">SUM(Z5:Z9)</f>
        <v>-29333333.3333333</v>
      </c>
      <c r="AA10" s="0" t="n">
        <f aca="false">SUM(AA5:AA9)</f>
        <v>-29333333.3333333</v>
      </c>
      <c r="AB10" s="0" t="n">
        <f aca="false">SUM(AB5:AB9)</f>
        <v>-29333333.3333333</v>
      </c>
      <c r="AC10" s="0" t="n">
        <f aca="false">SUM(AC5:AC9)</f>
        <v>-29333333.3333333</v>
      </c>
      <c r="AD10" s="0" t="n">
        <f aca="false">SUM(AD5:AD9)</f>
        <v>-29333333.3333333</v>
      </c>
      <c r="AE10" s="0" t="n">
        <f aca="false">SUM(AE5:AE9)</f>
        <v>-29333333.3333333</v>
      </c>
      <c r="AF10" s="0" t="n">
        <f aca="false">SUM(AF5:AF9)</f>
        <v>-29333333.3333333</v>
      </c>
      <c r="AG10" s="0" t="n">
        <f aca="false">SUM(AG5:AG9)</f>
        <v>540509.259259259</v>
      </c>
      <c r="AH10" s="0" t="n">
        <f aca="false">SUM(AH5:AH9)</f>
        <v>1081018.51851852</v>
      </c>
      <c r="AI10" s="0" t="n">
        <f aca="false">SUM(AI5:AI9)</f>
        <v>1621527.77777778</v>
      </c>
      <c r="AJ10" s="0" t="n">
        <f aca="false">SUM(AJ5:AJ9)</f>
        <v>2162037.03703704</v>
      </c>
      <c r="AK10" s="0" t="n">
        <f aca="false">SUM(AK5:AK9)</f>
        <v>2702546.2962963</v>
      </c>
      <c r="AL10" s="0" t="n">
        <f aca="false">SUM(AL5:AL9)</f>
        <v>3243055.55555556</v>
      </c>
      <c r="AM10" s="0" t="n">
        <f aca="false">SUM(AM5:AM9)</f>
        <v>3783564.81481482</v>
      </c>
      <c r="AN10" s="0" t="n">
        <f aca="false">SUM(AN5:AN9)</f>
        <v>4324074.07407407</v>
      </c>
      <c r="AO10" s="0" t="n">
        <f aca="false">SUM(AO5:AO9)</f>
        <v>4864583.33333333</v>
      </c>
      <c r="AP10" s="0" t="n">
        <f aca="false">SUM(AP5:AP9)</f>
        <v>5405092.59259259</v>
      </c>
      <c r="AQ10" s="0" t="n">
        <f aca="false">SUM(AQ5:AQ9)</f>
        <v>5945601.85185185</v>
      </c>
      <c r="AR10" s="0" t="n">
        <f aca="false">SUM(AR5:AR9)</f>
        <v>6486111.11111111</v>
      </c>
      <c r="AS10" s="0" t="n">
        <f aca="false">SUM(AS5:AS9)</f>
        <v>7026620.37037037</v>
      </c>
      <c r="AT10" s="0" t="n">
        <f aca="false">SUM(AT5:AT9)</f>
        <v>7567129.62962963</v>
      </c>
      <c r="AU10" s="0" t="n">
        <f aca="false">SUM(AU5:AU9)</f>
        <v>8107638.88888889</v>
      </c>
      <c r="AV10" s="0" t="n">
        <f aca="false">SUM(AV5:AV9)</f>
        <v>8648148.14814815</v>
      </c>
      <c r="AW10" s="0" t="n">
        <f aca="false">SUM(AW5:AW9)</f>
        <v>9188657.40740741</v>
      </c>
      <c r="AX10" s="0" t="n">
        <f aca="false">SUM(AX5:AX9)</f>
        <v>9729166.66666667</v>
      </c>
      <c r="AY10" s="0" t="n">
        <f aca="false">SUM(AY5:AY9)</f>
        <v>9729166.66666667</v>
      </c>
      <c r="AZ10" s="0" t="n">
        <f aca="false">SUM(AZ5:AZ9)</f>
        <v>9729166.66666667</v>
      </c>
      <c r="BA10" s="0" t="n">
        <f aca="false">SUM(BA5:BA9)</f>
        <v>9729166.66666667</v>
      </c>
      <c r="BB10" s="0" t="n">
        <f aca="false">SUM(BB5:BB9)</f>
        <v>9729166.66666667</v>
      </c>
      <c r="BC10" s="0" t="n">
        <f aca="false">SUM(BC5:BC9)</f>
        <v>9729166.66666667</v>
      </c>
      <c r="BD10" s="0" t="n">
        <f aca="false">SUM(BD5:BD9)</f>
        <v>1566395833.33333</v>
      </c>
      <c r="BE10" s="0" t="n">
        <f aca="false">SUM(BE5:BE9)</f>
        <v>0</v>
      </c>
      <c r="BF10" s="0" t="n">
        <f aca="false">SUM(BF5:BF9)</f>
        <v>0</v>
      </c>
      <c r="BG10" s="0" t="n">
        <f aca="false">SUM(BG5:BG9)</f>
        <v>0</v>
      </c>
      <c r="BH10" s="0" t="n">
        <f aca="false">SUM(BH5:BH9)</f>
        <v>0</v>
      </c>
      <c r="BI10" s="0" t="n">
        <f aca="false">SUM(BI5:BI9)</f>
        <v>0</v>
      </c>
      <c r="BJ10" s="0" t="n">
        <f aca="false">SUM(BJ5:BJ9)</f>
        <v>0</v>
      </c>
      <c r="BK10" s="0" t="n">
        <f aca="false">SUM(BK5:BK9)</f>
        <v>0</v>
      </c>
      <c r="BL10" s="0" t="n">
        <f aca="false">SUM(BL5:BL9)</f>
        <v>0</v>
      </c>
      <c r="BM10" s="0" t="n">
        <f aca="false">SUM(BM5:BM9)</f>
        <v>0</v>
      </c>
      <c r="BN10" s="0" t="n">
        <f aca="false">SUM(BN5:BN9)</f>
        <v>0</v>
      </c>
      <c r="BO10" s="0" t="n">
        <f aca="false">SUM(BO5:BO9)</f>
        <v>0</v>
      </c>
      <c r="BP10" s="0" t="n">
        <f aca="false">SUM(BP5:BP9)</f>
        <v>0</v>
      </c>
      <c r="BQ10" s="0" t="n">
        <f aca="false">SUM(BQ5:BQ9)</f>
        <v>0</v>
      </c>
      <c r="BR10" s="0" t="n">
        <f aca="false">SUM(BR5:BR9)</f>
        <v>0</v>
      </c>
      <c r="BS10" s="0" t="n">
        <f aca="false">SUM(BS5:BS9)</f>
        <v>0</v>
      </c>
      <c r="BT10" s="0" t="n">
        <f aca="false">SUM(BT5:BT9)</f>
        <v>0</v>
      </c>
      <c r="BU10" s="0" t="n">
        <f aca="false">SUM(BU5:BU9)</f>
        <v>0</v>
      </c>
      <c r="BV10" s="0" t="n">
        <f aca="false">SUM(BV5:BV9)</f>
        <v>0</v>
      </c>
      <c r="BW10" s="0" t="n">
        <f aca="false">SUM(BW5:BW9)</f>
        <v>0</v>
      </c>
      <c r="BX10" s="0" t="n">
        <f aca="false">SUM(BX5:BX9)</f>
        <v>0</v>
      </c>
      <c r="BY10" s="0" t="n">
        <f aca="false">SUM(BY5:BY9)</f>
        <v>0</v>
      </c>
      <c r="BZ10" s="0" t="n">
        <f aca="false">SUM(BZ5:BZ9)</f>
        <v>0</v>
      </c>
      <c r="CA10" s="0" t="n">
        <f aca="false">SUM(CA5:CA9)</f>
        <v>0</v>
      </c>
      <c r="CB10" s="0" t="n">
        <f aca="false">SUM(CB5:CB9)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4" t="n">
        <f aca="false">XIRR(Monthly!B10:CB10,Monthly!B4:CB4)</f>
        <v>0.108104523631051</v>
      </c>
    </row>
    <row r="4" customFormat="false" ht="15" hidden="false" customHeight="false" outlineLevel="0" collapsed="false">
      <c r="A4" s="0" t="s">
        <v>22</v>
      </c>
      <c r="B4" s="3" t="n">
        <f aca="false">XNPV(Inputs!B14,Monthly!B10:CB10,Monthly!B4:CB4)</f>
        <v>28756722.6163942</v>
      </c>
    </row>
    <row r="5" customFormat="false" ht="15" hidden="false" customHeight="false" outlineLevel="0" collapsed="false">
      <c r="A5" s="0" t="s">
        <v>23</v>
      </c>
      <c r="B5" s="3" t="n">
        <f aca="false">SUM(Monthly!B10:CB10)</f>
        <v>517468750</v>
      </c>
    </row>
    <row r="6" customFormat="false" ht="15" hidden="false" customHeight="false" outlineLevel="0" collapsed="false">
      <c r="A6" s="0" t="s">
        <v>24</v>
      </c>
      <c r="B6" s="3" t="n">
        <f aca="false">-SUM(Monthly!B5:CB6)</f>
        <v>1190000000</v>
      </c>
    </row>
    <row r="7" customFormat="false" ht="15" hidden="false" customHeight="false" outlineLevel="0" collapsed="false">
      <c r="A7" s="0" t="s">
        <v>25</v>
      </c>
      <c r="B7" s="4" t="n">
        <f aca="false">B5/B6</f>
        <v>0.43484768907563</v>
      </c>
    </row>
    <row r="8" customFormat="false" ht="15" hidden="false" customHeight="false" outlineLevel="0" collapsed="false">
      <c r="A8" s="0" t="s">
        <v>26</v>
      </c>
      <c r="B8" s="3" t="n">
        <f aca="false">SUM(Monthly!B9:CB9)</f>
        <v>1556666666.66667</v>
      </c>
    </row>
    <row r="9" customFormat="false" ht="15" hidden="false" customHeight="false" outlineLevel="0" collapsed="false">
      <c r="A9" s="0" t="s">
        <v>27</v>
      </c>
      <c r="B9" s="1" t="n">
        <f aca="false">EDATE(Inputs!B3,Inputs!B4)</f>
        <v>47300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2026-10-16T19:29:57Z</dcterms:created>
  <dc:creator>openpyxl</dc:creator>
  <dc:description/>
  <dc:language>en-US</dc:language>
  <cp:lastModifiedBy/>
  <dcterms:modified xsi:type="dcterms:W3CDTF">2026-10-16T19:29:57Z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