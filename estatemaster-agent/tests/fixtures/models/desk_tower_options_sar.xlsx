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ptions" sheetId="1" state="visible" r:id="rId3"/>
    <sheet name="Cash Flow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<sst xmlns="http://schemas.openxmlformats.org/spreadsheetml/2006/main" count="52" uniqueCount="47">
  <si>
    <t xml:space="preserve">AL MALQA TOWER – OPTION APPRAISAL (SAR)</t>
  </si>
  <si>
    <t xml:space="preserve">Selected option (A or B)</t>
  </si>
  <si>
    <t xml:space="preserve">A</t>
  </si>
  <si>
    <t xml:space="preserve">Assumption</t>
  </si>
  <si>
    <t xml:space="preserve">Unit</t>
  </si>
  <si>
    <t xml:space="preserve">Option A</t>
  </si>
  <si>
    <t xml:space="preserve">Option B</t>
  </si>
  <si>
    <t xml:space="preserve">Selected</t>
  </si>
  <si>
    <t xml:space="preserve">Residential NSA</t>
  </si>
  <si>
    <t xml:space="preserve">sqm</t>
  </si>
  <si>
    <t xml:space="preserve">Residential sale price</t>
  </si>
  <si>
    <t xml:space="preserve">SAR/sqm</t>
  </si>
  <si>
    <t xml:space="preserve">Off-plan sales in year 1</t>
  </si>
  <si>
    <t xml:space="preserve">%</t>
  </si>
  <si>
    <t xml:space="preserve">Office GLA</t>
  </si>
  <si>
    <t xml:space="preserve">Office rent</t>
  </si>
  <si>
    <t xml:space="preserve">SAR/sqm/yr</t>
  </si>
  <si>
    <t xml:space="preserve">Office exit yield</t>
  </si>
  <si>
    <t xml:space="preserve">Build cost</t>
  </si>
  <si>
    <t xml:space="preserve">SAR/sqm GFA</t>
  </si>
  <si>
    <t xml:space="preserve">GFA</t>
  </si>
  <si>
    <t xml:space="preserve">Land cost</t>
  </si>
  <si>
    <t xml:space="preserve">SAR</t>
  </si>
  <si>
    <t xml:space="preserve">Construction period</t>
  </si>
  <si>
    <t xml:space="preserve">years</t>
  </si>
  <si>
    <t xml:space="preserve">Murabaha LTC</t>
  </si>
  <si>
    <t xml:space="preserve">Profit rate</t>
  </si>
  <si>
    <t xml:space="preserve">ANNUAL CASH FLOW (SAR)</t>
  </si>
  <si>
    <t xml:space="preserve">Year</t>
  </si>
  <si>
    <t xml:space="preserve">Land</t>
  </si>
  <si>
    <t xml:space="preserve">Construction</t>
  </si>
  <si>
    <t xml:space="preserve">Residential sales</t>
  </si>
  <si>
    <t xml:space="preserve">Office NOI</t>
  </si>
  <si>
    <t xml:space="preserve">Office sale</t>
  </si>
  <si>
    <t xml:space="preserve">Unlevered</t>
  </si>
  <si>
    <t xml:space="preserve">Debt drawn</t>
  </si>
  <si>
    <t xml:space="preserve">Profit on debt</t>
  </si>
  <si>
    <t xml:space="preserve">Debt repaid</t>
  </si>
  <si>
    <t xml:space="preserve">Levered</t>
  </si>
  <si>
    <t xml:space="preserve">Equity IRR</t>
  </si>
  <si>
    <t xml:space="preserve">Project IRR</t>
  </si>
  <si>
    <t xml:space="preserve">Net profit</t>
  </si>
  <si>
    <t xml:space="preserve">Total development cost</t>
  </si>
  <si>
    <t xml:space="preserve">Profit on cost</t>
  </si>
  <si>
    <t xml:space="preserve">Gross development value</t>
  </si>
  <si>
    <t xml:space="preserve">Equity multiple</t>
  </si>
  <si>
    <t xml:space="preserve">Option shown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</si>
</sst>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C3" s="0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  <c r="C6" s="1" t="n">
        <v>38000</v>
      </c>
      <c r="D6" s="1" t="n">
        <v>30000</v>
      </c>
      <c r="E6" s="1" t="n">
        <f aca="false">IF($C$3="A",C6,D6)</f>
        <v>38000</v>
      </c>
    </row>
    <row r="7" customFormat="false" ht="15" hidden="false" customHeight="false" outlineLevel="0" collapsed="false">
      <c r="A7" s="0" t="s">
        <v>10</v>
      </c>
      <c r="B7" s="0" t="s">
        <v>11</v>
      </c>
      <c r="C7" s="1" t="n">
        <v>14200</v>
      </c>
      <c r="D7" s="1" t="n">
        <v>15500</v>
      </c>
      <c r="E7" s="1" t="n">
        <f aca="false">IF($C$3="A",C7,D7)</f>
        <v>14200</v>
      </c>
    </row>
    <row r="8" customFormat="false" ht="15" hidden="false" customHeight="false" outlineLevel="0" collapsed="false">
      <c r="A8" s="0" t="s">
        <v>12</v>
      </c>
      <c r="B8" s="0" t="s">
        <v>13</v>
      </c>
      <c r="C8" s="2" t="n">
        <v>0.4</v>
      </c>
      <c r="D8" s="2" t="n">
        <v>0.3</v>
      </c>
      <c r="E8" s="2" t="n">
        <f aca="false">IF($C$3="A",C8,D8)</f>
        <v>0.4</v>
      </c>
    </row>
    <row r="9" customFormat="false" ht="15" hidden="false" customHeight="false" outlineLevel="0" collapsed="false">
      <c r="A9" s="0" t="s">
        <v>14</v>
      </c>
      <c r="B9" s="0" t="s">
        <v>9</v>
      </c>
      <c r="C9" s="1" t="n">
        <v>9000</v>
      </c>
      <c r="D9" s="1" t="n">
        <v>16000</v>
      </c>
      <c r="E9" s="1" t="n">
        <f aca="false">IF($C$3="A",C9,D9)</f>
        <v>9000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1" t="n">
        <v>1650</v>
      </c>
      <c r="D10" s="1" t="n">
        <v>1650</v>
      </c>
      <c r="E10" s="1" t="n">
        <f aca="false">IF($C$3="A",C10,D10)</f>
        <v>1650</v>
      </c>
    </row>
    <row r="11" customFormat="false" ht="15" hidden="false" customHeight="false" outlineLevel="0" collapsed="false">
      <c r="A11" s="0" t="s">
        <v>17</v>
      </c>
      <c r="B11" s="0" t="s">
        <v>13</v>
      </c>
      <c r="C11" s="2" t="n">
        <v>0.08</v>
      </c>
      <c r="D11" s="2" t="n">
        <v>0.08</v>
      </c>
      <c r="E11" s="2" t="n">
        <f aca="false">IF($C$3="A",C11,D11)</f>
        <v>0.08</v>
      </c>
    </row>
    <row r="12" customFormat="false" ht="15" hidden="false" customHeight="false" outlineLevel="0" collapsed="false">
      <c r="A12" s="0" t="s">
        <v>18</v>
      </c>
      <c r="B12" s="0" t="s">
        <v>19</v>
      </c>
      <c r="C12" s="1" t="n">
        <v>4300</v>
      </c>
      <c r="D12" s="1" t="n">
        <v>4600</v>
      </c>
      <c r="E12" s="1" t="n">
        <f aca="false">IF($C$3="A",C12,D12)</f>
        <v>4300</v>
      </c>
    </row>
    <row r="13" customFormat="false" ht="15" hidden="false" customHeight="false" outlineLevel="0" collapsed="false">
      <c r="A13" s="0" t="s">
        <v>20</v>
      </c>
      <c r="B13" s="0" t="s">
        <v>9</v>
      </c>
      <c r="C13" s="1" t="n">
        <v>62000</v>
      </c>
      <c r="D13" s="1" t="n">
        <v>64000</v>
      </c>
      <c r="E13" s="1" t="n">
        <f aca="false">IF($C$3="A",C13,D13)</f>
        <v>62000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1" t="n">
        <v>180000000</v>
      </c>
      <c r="D14" s="1" t="n">
        <v>180000000</v>
      </c>
      <c r="E14" s="1" t="n">
        <f aca="false">IF($C$3="A",C14,D14)</f>
        <v>180000000</v>
      </c>
    </row>
    <row r="15" customFormat="false" ht="15" hidden="false" customHeight="false" outlineLevel="0" collapsed="false">
      <c r="A15" s="0" t="s">
        <v>23</v>
      </c>
      <c r="B15" s="0" t="s">
        <v>24</v>
      </c>
      <c r="C15" s="1" t="n">
        <v>3</v>
      </c>
      <c r="D15" s="1" t="n">
        <v>3</v>
      </c>
      <c r="E15" s="1" t="n">
        <f aca="false">IF($C$3="A",C15,D15)</f>
        <v>3</v>
      </c>
    </row>
    <row r="16" customFormat="false" ht="15" hidden="false" customHeight="false" outlineLevel="0" collapsed="false">
      <c r="A16" s="0" t="s">
        <v>25</v>
      </c>
      <c r="B16" s="0" t="s">
        <v>13</v>
      </c>
      <c r="C16" s="2" t="n">
        <v>0.55</v>
      </c>
      <c r="D16" s="2" t="n">
        <v>0.55</v>
      </c>
      <c r="E16" s="2" t="n">
        <f aca="false">IF($C$3="A",C16,D16)</f>
        <v>0.55</v>
      </c>
    </row>
    <row r="17" customFormat="false" ht="15" hidden="false" customHeight="false" outlineLevel="0" collapsed="false">
      <c r="A17" s="0" t="s">
        <v>26</v>
      </c>
      <c r="B17" s="0" t="s">
        <v>13</v>
      </c>
      <c r="C17" s="2" t="n">
        <v>0.065</v>
      </c>
      <c r="D17" s="2" t="n">
        <v>0.065</v>
      </c>
      <c r="E17" s="2" t="n">
        <f aca="false">IF($C$3="A",C17,D17)</f>
        <v>0.065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27</v>
      </c>
    </row>
    <row r="3" customFormat="false" ht="15" hidden="false" customHeight="false" outlineLevel="0" collapsed="false">
      <c r="A3" s="0" t="s">
        <v>28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</row>
    <row r="5" customFormat="false" ht="15" hidden="false" customHeight="false" outlineLevel="0" collapsed="false">
      <c r="A5" s="0" t="s">
        <v>29</v>
      </c>
      <c r="B5" s="0" t="n">
        <f aca="false">IF(B$3=0,-Options!$E$14,0)</f>
        <v>-180000000</v>
      </c>
      <c r="C5" s="0" t="n">
        <f aca="false">IF(C$3=0,-Options!$E$14,0)</f>
        <v>0</v>
      </c>
      <c r="D5" s="0" t="n">
        <f aca="false">IF(D$3=0,-Options!$E$14,0)</f>
        <v>0</v>
      </c>
      <c r="E5" s="0" t="n">
        <f aca="false">IF(E$3=0,-Options!$E$14,0)</f>
        <v>0</v>
      </c>
      <c r="F5" s="0" t="n">
        <f aca="false">IF(F$3=0,-Options!$E$14,0)</f>
        <v>0</v>
      </c>
      <c r="G5" s="0" t="n">
        <f aca="false">IF(G$3=0,-Options!$E$14,0)</f>
        <v>0</v>
      </c>
      <c r="H5" s="0" t="n">
        <f aca="false">IF(H$3=0,-Options!$E$14,0)</f>
        <v>0</v>
      </c>
    </row>
    <row r="6" customFormat="false" ht="15" hidden="false" customHeight="false" outlineLevel="0" collapsed="false">
      <c r="A6" s="0" t="s">
        <v>30</v>
      </c>
      <c r="B6" s="0" t="n">
        <f aca="false">IF(AND(B$3&gt;=1,B$3&lt;=Options!$E$15),-Options!$E$13*Options!$E$12/Options!$E$15,0)</f>
        <v>0</v>
      </c>
      <c r="C6" s="0" t="n">
        <f aca="false">IF(AND(C$3&gt;=1,C$3&lt;=Options!$E$15),-Options!$E$13*Options!$E$12/Options!$E$15,0)</f>
        <v>-88866666.6666667</v>
      </c>
      <c r="D6" s="0" t="n">
        <f aca="false">IF(AND(D$3&gt;=1,D$3&lt;=Options!$E$15),-Options!$E$13*Options!$E$12/Options!$E$15,0)</f>
        <v>-88866666.6666667</v>
      </c>
      <c r="E6" s="0" t="n">
        <f aca="false">IF(AND(E$3&gt;=1,E$3&lt;=Options!$E$15),-Options!$E$13*Options!$E$12/Options!$E$15,0)</f>
        <v>-88866666.6666667</v>
      </c>
      <c r="F6" s="0" t="n">
        <f aca="false">IF(AND(F$3&gt;=1,F$3&lt;=Options!$E$15),-Options!$E$13*Options!$E$12/Options!$E$15,0)</f>
        <v>0</v>
      </c>
      <c r="G6" s="0" t="n">
        <f aca="false">IF(AND(G$3&gt;=1,G$3&lt;=Options!$E$15),-Options!$E$13*Options!$E$12/Options!$E$15,0)</f>
        <v>0</v>
      </c>
      <c r="H6" s="0" t="n">
        <f aca="false">IF(AND(H$3&gt;=1,H$3&lt;=Options!$E$15),-Options!$E$13*Options!$E$12/Options!$E$15,0)</f>
        <v>0</v>
      </c>
    </row>
    <row r="7" customFormat="false" ht="15" hidden="false" customHeight="false" outlineLevel="0" collapsed="false">
      <c r="A7" s="0" t="s">
        <v>31</v>
      </c>
      <c r="B7" s="0" t="n">
        <f aca="false">IF(B$3=1,Options!$E$6*Options!$E$7*Options!$E$8,IF(B$3=Options!$E$15+1,Options!$E$6*Options!$E$7*(1-Options!$E$8),0))</f>
        <v>0</v>
      </c>
      <c r="C7" s="0" t="n">
        <f aca="false">IF(C$3=1,Options!$E$6*Options!$E$7*Options!$E$8,IF(C$3=Options!$E$15+1,Options!$E$6*Options!$E$7*(1-Options!$E$8),0))</f>
        <v>215840000</v>
      </c>
      <c r="D7" s="0" t="n">
        <f aca="false">IF(D$3=1,Options!$E$6*Options!$E$7*Options!$E$8,IF(D$3=Options!$E$15+1,Options!$E$6*Options!$E$7*(1-Options!$E$8),0))</f>
        <v>0</v>
      </c>
      <c r="E7" s="0" t="n">
        <f aca="false">IF(E$3=1,Options!$E$6*Options!$E$7*Options!$E$8,IF(E$3=Options!$E$15+1,Options!$E$6*Options!$E$7*(1-Options!$E$8),0))</f>
        <v>0</v>
      </c>
      <c r="F7" s="0" t="n">
        <f aca="false">IF(F$3=1,Options!$E$6*Options!$E$7*Options!$E$8,IF(F$3=Options!$E$15+1,Options!$E$6*Options!$E$7*(1-Options!$E$8),0))</f>
        <v>323760000</v>
      </c>
      <c r="G7" s="0" t="n">
        <f aca="false">IF(G$3=1,Options!$E$6*Options!$E$7*Options!$E$8,IF(G$3=Options!$E$15+1,Options!$E$6*Options!$E$7*(1-Options!$E$8),0))</f>
        <v>0</v>
      </c>
      <c r="H7" s="0" t="n">
        <f aca="false">IF(H$3=1,Options!$E$6*Options!$E$7*Options!$E$8,IF(H$3=Options!$E$15+1,Options!$E$6*Options!$E$7*(1-Options!$E$8),0))</f>
        <v>0</v>
      </c>
    </row>
    <row r="8" customFormat="false" ht="15" hidden="false" customHeight="false" outlineLevel="0" collapsed="false">
      <c r="A8" s="0" t="s">
        <v>32</v>
      </c>
      <c r="B8" s="0" t="n">
        <f aca="false">IF(AND(B$3&gt;Options!$E$15,B$3&lt;=Options!$E$15+2),Options!$E$9*Options!$E$10*0.92,0)</f>
        <v>0</v>
      </c>
      <c r="C8" s="0" t="n">
        <f aca="false">IF(AND(C$3&gt;Options!$E$15,C$3&lt;=Options!$E$15+2),Options!$E$9*Options!$E$10*0.92,0)</f>
        <v>0</v>
      </c>
      <c r="D8" s="0" t="n">
        <f aca="false">IF(AND(D$3&gt;Options!$E$15,D$3&lt;=Options!$E$15+2),Options!$E$9*Options!$E$10*0.92,0)</f>
        <v>0</v>
      </c>
      <c r="E8" s="0" t="n">
        <f aca="false">IF(AND(E$3&gt;Options!$E$15,E$3&lt;=Options!$E$15+2),Options!$E$9*Options!$E$10*0.92,0)</f>
        <v>0</v>
      </c>
      <c r="F8" s="0" t="n">
        <f aca="false">IF(AND(F$3&gt;Options!$E$15,F$3&lt;=Options!$E$15+2),Options!$E$9*Options!$E$10*0.92,0)</f>
        <v>13662000</v>
      </c>
      <c r="G8" s="0" t="n">
        <f aca="false">IF(AND(G$3&gt;Options!$E$15,G$3&lt;=Options!$E$15+2),Options!$E$9*Options!$E$10*0.92,0)</f>
        <v>13662000</v>
      </c>
      <c r="H8" s="0" t="n">
        <f aca="false">IF(AND(H$3&gt;Options!$E$15,H$3&lt;=Options!$E$15+2),Options!$E$9*Options!$E$10*0.92,0)</f>
        <v>0</v>
      </c>
    </row>
    <row r="9" customFormat="false" ht="15" hidden="false" customHeight="false" outlineLevel="0" collapsed="false">
      <c r="A9" s="0" t="s">
        <v>33</v>
      </c>
      <c r="B9" s="0" t="n">
        <f aca="false">IF(B$3=Options!$E$15+2,Options!$E$9*Options!$E$10*0.92/Options!$E$11,0)</f>
        <v>0</v>
      </c>
      <c r="C9" s="0" t="n">
        <f aca="false">IF(C$3=Options!$E$15+2,Options!$E$9*Options!$E$10*0.92/Options!$E$11,0)</f>
        <v>0</v>
      </c>
      <c r="D9" s="0" t="n">
        <f aca="false">IF(D$3=Options!$E$15+2,Options!$E$9*Options!$E$10*0.92/Options!$E$11,0)</f>
        <v>0</v>
      </c>
      <c r="E9" s="0" t="n">
        <f aca="false">IF(E$3=Options!$E$15+2,Options!$E$9*Options!$E$10*0.92/Options!$E$11,0)</f>
        <v>0</v>
      </c>
      <c r="F9" s="0" t="n">
        <f aca="false">IF(F$3=Options!$E$15+2,Options!$E$9*Options!$E$10*0.92/Options!$E$11,0)</f>
        <v>0</v>
      </c>
      <c r="G9" s="0" t="n">
        <f aca="false">IF(G$3=Options!$E$15+2,Options!$E$9*Options!$E$10*0.92/Options!$E$11,0)</f>
        <v>170775000</v>
      </c>
      <c r="H9" s="0" t="n">
        <f aca="false">IF(H$3=Options!$E$15+2,Options!$E$9*Options!$E$10*0.92/Options!$E$11,0)</f>
        <v>0</v>
      </c>
    </row>
    <row r="10" customFormat="false" ht="15" hidden="false" customHeight="false" outlineLevel="0" collapsed="false">
      <c r="A10" s="0" t="s">
        <v>34</v>
      </c>
      <c r="B10" s="0" t="n">
        <f aca="false">SUM(B5:B9)</f>
        <v>-180000000</v>
      </c>
      <c r="C10" s="0" t="n">
        <f aca="false">SUM(C5:C9)</f>
        <v>126973333.333333</v>
      </c>
      <c r="D10" s="0" t="n">
        <f aca="false">SUM(D5:D9)</f>
        <v>-88866666.6666667</v>
      </c>
      <c r="E10" s="0" t="n">
        <f aca="false">SUM(E5:E9)</f>
        <v>-88866666.6666667</v>
      </c>
      <c r="F10" s="0" t="n">
        <f aca="false">SUM(F5:F9)</f>
        <v>337422000</v>
      </c>
      <c r="G10" s="0" t="n">
        <f aca="false">SUM(G5:G9)</f>
        <v>184437000</v>
      </c>
      <c r="H10" s="0" t="n">
        <f aca="false">SUM(H5:H9)</f>
        <v>0</v>
      </c>
    </row>
    <row r="11" customFormat="false" ht="15" hidden="false" customHeight="false" outlineLevel="0" collapsed="false">
      <c r="A11" s="0" t="s">
        <v>35</v>
      </c>
      <c r="B11" s="0" t="n">
        <f aca="false">-B6*Options!$E$16</f>
        <v>-0</v>
      </c>
      <c r="C11" s="0" t="n">
        <f aca="false">-C6*Options!$E$16</f>
        <v>48876666.6666667</v>
      </c>
      <c r="D11" s="0" t="n">
        <f aca="false">-D6*Options!$E$16</f>
        <v>48876666.6666667</v>
      </c>
      <c r="E11" s="0" t="n">
        <f aca="false">-E6*Options!$E$16</f>
        <v>48876666.6666667</v>
      </c>
      <c r="F11" s="0" t="n">
        <f aca="false">-F6*Options!$E$16</f>
        <v>-0</v>
      </c>
      <c r="G11" s="0" t="n">
        <f aca="false">-G6*Options!$E$16</f>
        <v>-0</v>
      </c>
      <c r="H11" s="0" t="n">
        <f aca="false">-H6*Options!$E$16</f>
        <v>-0</v>
      </c>
    </row>
    <row r="12" customFormat="false" ht="15" hidden="false" customHeight="false" outlineLevel="0" collapsed="false">
      <c r="A12" s="0" t="s">
        <v>36</v>
      </c>
      <c r="B12" s="0" t="n">
        <f aca="false">-(0)*Options!$E$17</f>
        <v>-0</v>
      </c>
      <c r="C12" s="0" t="n">
        <f aca="false">-(SUM($B$11:B11)+SUM($B$13:B13))*Options!$E$17</f>
        <v>-0</v>
      </c>
      <c r="D12" s="0" t="n">
        <f aca="false">-(SUM($B$11:C11)+SUM($B$13:C13))*Options!$E$17</f>
        <v>-3176983.33333333</v>
      </c>
      <c r="E12" s="0" t="n">
        <f aca="false">-(SUM($B$11:D11)+SUM($B$13:D13))*Options!$E$17</f>
        <v>-6353966.66666667</v>
      </c>
      <c r="F12" s="0" t="n">
        <f aca="false">-(SUM($B$11:E11)+SUM($B$13:E13))*Options!$E$17</f>
        <v>-9530950</v>
      </c>
      <c r="G12" s="0" t="n">
        <f aca="false">-(SUM($B$11:F11)+SUM($B$13:F13))*Options!$E$17</f>
        <v>-0</v>
      </c>
      <c r="H12" s="0" t="n">
        <f aca="false">-(SUM($B$11:G11)+SUM($B$13:G13))*Options!$E$17</f>
        <v>-0</v>
      </c>
    </row>
    <row r="13" customFormat="false" ht="15" hidden="false" customHeight="false" outlineLevel="0" collapsed="false">
      <c r="A13" s="0" t="s">
        <v>37</v>
      </c>
      <c r="B13" s="0" t="n">
        <f aca="false">IF(B$3=Options!$E$15+1,-(0+B11),0)</f>
        <v>0</v>
      </c>
      <c r="C13" s="0" t="n">
        <f aca="false">IF(C$3=Options!$E$15+1,-(SUM($B$11:B11)+SUM($B$13:B13)+C11),0)</f>
        <v>0</v>
      </c>
      <c r="D13" s="0" t="n">
        <f aca="false">IF(D$3=Options!$E$15+1,-(SUM($B$11:C11)+SUM($B$13:C13)+D11),0)</f>
        <v>0</v>
      </c>
      <c r="E13" s="0" t="n">
        <f aca="false">IF(E$3=Options!$E$15+1,-(SUM($B$11:D11)+SUM($B$13:D13)+E11),0)</f>
        <v>0</v>
      </c>
      <c r="F13" s="0" t="n">
        <f aca="false">IF(F$3=Options!$E$15+1,-(SUM($B$11:E11)+SUM($B$13:E13)+F11),0)</f>
        <v>-146630000</v>
      </c>
      <c r="G13" s="0" t="n">
        <f aca="false">IF(G$3=Options!$E$15+1,-(SUM($B$11:F11)+SUM($B$13:F13)+G11),0)</f>
        <v>0</v>
      </c>
      <c r="H13" s="0" t="n">
        <f aca="false">IF(H$3=Options!$E$15+1,-(SUM($B$11:G11)+SUM($B$13:G13)+H11),0)</f>
        <v>0</v>
      </c>
    </row>
    <row r="14" customFormat="false" ht="15" hidden="false" customHeight="false" outlineLevel="0" collapsed="false">
      <c r="A14" s="0" t="s">
        <v>38</v>
      </c>
      <c r="B14" s="0" t="n">
        <f aca="false">B10+B11+B12+B13</f>
        <v>-180000000</v>
      </c>
      <c r="C14" s="0" t="n">
        <f aca="false">C10+C11+C12+C13</f>
        <v>175850000</v>
      </c>
      <c r="D14" s="0" t="n">
        <f aca="false">D10+D11+D12+D13</f>
        <v>-43166983.3333333</v>
      </c>
      <c r="E14" s="0" t="n">
        <f aca="false">E10+E11+E12+E13</f>
        <v>-46343966.6666667</v>
      </c>
      <c r="F14" s="0" t="n">
        <f aca="false">F10+F11+F12+F13</f>
        <v>181261050</v>
      </c>
      <c r="G14" s="0" t="n">
        <f aca="false">G10+G11+G12+G13</f>
        <v>184437000</v>
      </c>
      <c r="H14" s="0" t="n">
        <f aca="false">H10+H11+H12+H13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39</v>
      </c>
      <c r="B3" s="2" t="n">
        <f aca="false">IRR('Cash Flow'!$B$14:$H$14)</f>
        <v>0.360515104510096</v>
      </c>
    </row>
    <row r="4" customFormat="false" ht="15" hidden="false" customHeight="false" outlineLevel="0" collapsed="false">
      <c r="A4" s="0" t="s">
        <v>40</v>
      </c>
      <c r="B4" s="2" t="n">
        <f aca="false">IRR('Cash Flow'!$B$10:$H$10)</f>
        <v>0.283987742316849</v>
      </c>
    </row>
    <row r="5" customFormat="false" ht="15" hidden="false" customHeight="false" outlineLevel="0" collapsed="false">
      <c r="A5" s="0" t="s">
        <v>41</v>
      </c>
      <c r="B5" s="1" t="n">
        <f aca="false">SUM('Cash Flow'!$B$14:$H$14)</f>
        <v>272037100</v>
      </c>
    </row>
    <row r="6" customFormat="false" ht="15" hidden="false" customHeight="false" outlineLevel="0" collapsed="false">
      <c r="A6" s="0" t="s">
        <v>42</v>
      </c>
      <c r="B6" s="1" t="n">
        <f aca="false">-SUM('Cash Flow'!$B$5:$H$5)-SUM('Cash Flow'!$B$6:$H$6)</f>
        <v>446600000</v>
      </c>
    </row>
    <row r="7" customFormat="false" ht="15" hidden="false" customHeight="false" outlineLevel="0" collapsed="false">
      <c r="A7" s="0" t="s">
        <v>43</v>
      </c>
      <c r="B7" s="2" t="n">
        <f aca="false">B5/B6</f>
        <v>0.609129198387819</v>
      </c>
    </row>
    <row r="8" customFormat="false" ht="15" hidden="false" customHeight="false" outlineLevel="0" collapsed="false">
      <c r="A8" s="0" t="s">
        <v>44</v>
      </c>
      <c r="B8" s="1" t="n">
        <f aca="false">SUM('Cash Flow'!$B$7:$H$7)+SUM('Cash Flow'!$B$9:$H$9)</f>
        <v>710375000</v>
      </c>
    </row>
    <row r="9" customFormat="false" ht="15" hidden="false" customHeight="false" outlineLevel="0" collapsed="false">
      <c r="A9" s="0" t="s">
        <v>45</v>
      </c>
      <c r="B9" s="3" t="n">
        <f aca="false">SUMIF('Cash Flow'!$B$14:$H$14,"&gt;0")/-SUMIF('Cash Flow'!$B$14:$H$14,"&lt;0")</f>
        <v>2.00937308855169</v>
      </c>
    </row>
    <row r="12" customFormat="false" ht="15" hidden="false" customHeight="false" outlineLevel="0" collapsed="false">
      <c r="A12" s="0" t="s">
        <v>46</v>
      </c>
      <c r="B12" s="0" t="str">
        <f aca="false">Options!C3</f>
        <v>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2026-10-16T15:19:41Z</dcterms:created>
  <dc:creator>openpyxl</dc:creator>
  <dc:description/>
  <dc:language>en-US</dc:language>
  <cp:lastModifiedBy/>
  <dcterms:modified xsi:type="dcterms:W3CDTF">2026-10-16T15:19:41Z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