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SAHAB OFFICES – SHAPES (SAR)</t>
        </is>
      </c>
    </row>
    <row r="2">
      <c r="A2" t="inlineStr">
        <is>
          <t>GFA</t>
        </is>
      </c>
      <c r="B2" t="n">
        <v>50000</v>
      </c>
    </row>
    <row r="3">
      <c r="A3" t="inlineStr">
        <is>
          <t>NLA</t>
        </is>
      </c>
      <c r="B3" t="n">
        <v>40000</v>
      </c>
    </row>
    <row r="4">
      <c r="A4" t="inlineStr">
        <is>
          <t>Years</t>
        </is>
      </c>
      <c r="B4" t="n">
        <v>10</v>
      </c>
    </row>
    <row r="5">
      <c r="A5" t="inlineStr">
        <is>
          <t>Rent per sqm</t>
        </is>
      </c>
      <c r="B5" t="n">
        <v>1200</v>
      </c>
    </row>
    <row r="6">
      <c r="A6" t="inlineStr">
        <is>
          <t>Exit yield</t>
        </is>
      </c>
      <c r="B6" t="n">
        <v>0.07000000000000001</v>
      </c>
    </row>
    <row r="7">
      <c r="A7" t="inlineStr">
        <is>
          <t>Cost per sqm GFA</t>
        </is>
      </c>
      <c r="B7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Occupancy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</v>
      </c>
      <c r="L2" t="n">
        <v>0.9</v>
      </c>
      <c r="M2" t="n">
        <v>0.95</v>
      </c>
    </row>
    <row r="3">
      <c r="A3" t="inlineStr">
        <is>
          <t>Rent</t>
        </is>
      </c>
      <c r="B3">
        <f>Inputs!$B$3*Inputs!$B$5*B2</f>
        <v/>
      </c>
      <c r="C3">
        <f>Inputs!$B$3*Inputs!$B$5*C2</f>
        <v/>
      </c>
      <c r="D3">
        <f>Inputs!$B$3*Inputs!$B$5*D2</f>
        <v/>
      </c>
      <c r="E3">
        <f>Inputs!$B$3*Inputs!$B$5*E2</f>
        <v/>
      </c>
      <c r="F3">
        <f>Inputs!$B$3*Inputs!$B$5*F2</f>
        <v/>
      </c>
      <c r="G3">
        <f>Inputs!$B$3*Inputs!$B$5*G2</f>
        <v/>
      </c>
      <c r="H3">
        <f>Inputs!$B$3*Inputs!$B$5*H2</f>
        <v/>
      </c>
      <c r="I3">
        <f>Inputs!$B$3*Inputs!$B$5*I2</f>
        <v/>
      </c>
      <c r="J3">
        <f>Inputs!$B$3*Inputs!$B$5*J2</f>
        <v/>
      </c>
      <c r="K3">
        <f>Inputs!$B$3*Inputs!$B$5*K2</f>
        <v/>
      </c>
      <c r="L3">
        <f>Inputs!$B$3*Inputs!$B$5*L2</f>
        <v/>
      </c>
      <c r="M3">
        <f>Inputs!$B$3*Inputs!$B$5*M2</f>
        <v/>
      </c>
    </row>
    <row r="4">
      <c r="A4" t="inlineStr">
        <is>
          <t>Cost</t>
        </is>
      </c>
      <c r="B4">
        <f>-Inputs!$B$2*Inputs!$B$7/3</f>
        <v/>
      </c>
      <c r="C4">
        <f>-Inputs!$B$2*Inputs!$B$7/3</f>
        <v/>
      </c>
      <c r="D4">
        <f>-Inputs!$B$2*Inputs!$B$7/3</f>
        <v/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Exit</t>
        </is>
      </c>
      <c r="B5">
        <f>IF(B1=12,B3/Inputs!$B$6,0)</f>
        <v/>
      </c>
      <c r="C5">
        <f>IF(C1=12,C3/Inputs!$B$6,0)</f>
        <v/>
      </c>
      <c r="D5">
        <f>IF(D1=12,D3/Inputs!$B$6,0)</f>
        <v/>
      </c>
      <c r="E5">
        <f>IF(E1=12,E3/Inputs!$B$6,0)</f>
        <v/>
      </c>
      <c r="F5">
        <f>IF(F1=12,F3/Inputs!$B$6,0)</f>
        <v/>
      </c>
      <c r="G5">
        <f>IF(G1=12,G3/Inputs!$B$6,0)</f>
        <v/>
      </c>
      <c r="H5">
        <f>IF(H1=12,H3/Inputs!$B$6,0)</f>
        <v/>
      </c>
      <c r="I5">
        <f>IF(I1=12,I3/Inputs!$B$6,0)</f>
        <v/>
      </c>
      <c r="J5">
        <f>IF(J1=12,J3/Inputs!$B$6,0)</f>
        <v/>
      </c>
      <c r="K5">
        <f>IF(K1=12,K3/Inputs!$B$6,0)</f>
        <v/>
      </c>
      <c r="L5">
        <f>IF(L1=12,L3/Inputs!$B$6,0)</f>
        <v/>
      </c>
      <c r="M5">
        <f>IF(M1=12,M3/Inputs!$B$6,0)</f>
        <v/>
      </c>
    </row>
    <row r="6">
      <c r="A6" t="inlineStr">
        <is>
          <t>Net cash flow</t>
        </is>
      </c>
      <c r="B6">
        <f>B3+B4+B5</f>
        <v/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  <c r="H6">
        <f>H3+H4+H5</f>
        <v/>
      </c>
      <c r="I6">
        <f>I3+I4+I5</f>
        <v/>
      </c>
      <c r="J6">
        <f>J3+J4+J5</f>
        <v/>
      </c>
      <c r="K6">
        <f>K3+K4+K5</f>
        <v/>
      </c>
      <c r="L6">
        <f>L3+L4+L5</f>
        <v/>
      </c>
      <c r="M6">
        <f>M3+M4+M5</f>
        <v/>
      </c>
    </row>
    <row r="7">
      <c r="A7" t="inlineStr">
        <is>
          <t>Fee to partner</t>
        </is>
      </c>
      <c r="B7" t="n">
        <v>-100000</v>
      </c>
      <c r="C7" t="n">
        <v>-100000</v>
      </c>
      <c r="D7" t="n">
        <v>-100000</v>
      </c>
      <c r="E7" t="n">
        <v>-100000</v>
      </c>
      <c r="F7" t="n">
        <v>-100000</v>
      </c>
      <c r="G7" t="n">
        <v>-100000</v>
      </c>
      <c r="H7" t="n">
        <v>-100000</v>
      </c>
      <c r="I7" t="n">
        <v>-100000</v>
      </c>
      <c r="J7" t="n">
        <v>-100000</v>
      </c>
      <c r="K7" t="n">
        <v>-100000</v>
      </c>
      <c r="L7" t="n">
        <v>-100000</v>
      </c>
      <c r="M7" t="n">
        <v>-100000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IRR('Cash Flow'!B6:M6)</f>
        <v/>
      </c>
    </row>
    <row r="2">
      <c r="A2" t="inlineStr">
        <is>
          <t>Levered IRR</t>
        </is>
      </c>
      <c r="B2">
        <f>IRR('Cash Flow'!B7:M7)</f>
        <v/>
      </c>
    </row>
    <row r="3">
      <c r="A3" t="inlineStr">
        <is>
          <t>Net profit</t>
        </is>
      </c>
      <c r="B3">
        <f>SUM('Cash Flow'!B6:M6)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2026-10-23T20:26:27Z</dcterms:created>
  <dcterms:modified xsi:type="dcterms:W3CDTF">2026-10-23T20:26:27Z</dcterms:modified>
</cp:coreProperties>
</file>