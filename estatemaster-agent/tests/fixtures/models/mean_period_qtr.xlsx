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sh Flow" sheetId="2" state="visible" r:id="rId2"/>
    <sheet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 QUAY – QUARTERLY (USD)</t>
        </is>
      </c>
    </row>
    <row r="2">
      <c r="A2" t="inlineStr">
        <is>
          <t>First quarter end</t>
        </is>
      </c>
      <c r="B2" s="1" t="n">
        <v>46477</v>
      </c>
    </row>
    <row r="3">
      <c r="A3" t="inlineStr">
        <is>
          <t>Price</t>
        </is>
      </c>
      <c r="B3" t="n">
        <v>40000000</v>
      </c>
    </row>
    <row r="4">
      <c r="A4" t="inlineStr">
        <is>
          <t>Acquisition quarter</t>
        </is>
      </c>
      <c r="B4" t="n">
        <v>2</v>
      </c>
    </row>
    <row r="5">
      <c r="A5" t="inlineStr">
        <is>
          <t>Exit quarter</t>
        </is>
      </c>
      <c r="B5" t="n">
        <v>10</v>
      </c>
    </row>
    <row r="6">
      <c r="A6" t="inlineStr">
        <is>
          <t>NOI yield</t>
        </is>
      </c>
      <c r="B6" t="n">
        <v>0.07000000000000001</v>
      </c>
    </row>
    <row r="7">
      <c r="A7" t="inlineStr">
        <is>
          <t>Exit yield</t>
        </is>
      </c>
      <c r="B7" t="n">
        <v>0.065</v>
      </c>
    </row>
    <row r="8">
      <c r="A8" t="inlineStr">
        <is>
          <t>Preferred return</t>
        </is>
      </c>
      <c r="B8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Date</t>
        </is>
      </c>
      <c r="B2" s="1">
        <f>EDATE(Inputs!$B$2,3*(B1-1))</f>
        <v/>
      </c>
      <c r="C2" s="1">
        <f>EDATE(Inputs!$B$2,3*(C1-1))</f>
        <v/>
      </c>
      <c r="D2" s="1">
        <f>EDATE(Inputs!$B$2,3*(D1-1))</f>
        <v/>
      </c>
      <c r="E2" s="1">
        <f>EDATE(Inputs!$B$2,3*(E1-1))</f>
        <v/>
      </c>
      <c r="F2" s="1">
        <f>EDATE(Inputs!$B$2,3*(F1-1))</f>
        <v/>
      </c>
      <c r="G2" s="1">
        <f>EDATE(Inputs!$B$2,3*(G1-1))</f>
        <v/>
      </c>
      <c r="H2" s="1">
        <f>EDATE(Inputs!$B$2,3*(H1-1))</f>
        <v/>
      </c>
      <c r="I2" s="1">
        <f>EDATE(Inputs!$B$2,3*(I1-1))</f>
        <v/>
      </c>
      <c r="J2" s="1">
        <f>EDATE(Inputs!$B$2,3*(J1-1))</f>
        <v/>
      </c>
      <c r="K2" s="1">
        <f>EDATE(Inputs!$B$2,3*(K1-1))</f>
        <v/>
      </c>
      <c r="L2" s="1">
        <f>EDATE(Inputs!$B$2,3*(L1-1))</f>
        <v/>
      </c>
      <c r="M2" s="1">
        <f>EDATE(Inputs!$B$2,3*(M1-1))</f>
        <v/>
      </c>
    </row>
    <row r="3">
      <c r="A3" t="inlineStr">
        <is>
          <t>Net cash flow</t>
        </is>
      </c>
      <c r="B3">
        <f>IF(B1=Inputs!$B$4,-Inputs!$B$3,0)+IF(AND(B1&gt;Inputs!$B$4,B1&lt;=Inputs!$B$5),Inputs!$B$3*Inputs!$B$6/4,0)+IF(B1=Inputs!$B$5,Inputs!$B$3*Inputs!$B$6/Inputs!$B$7,0)</f>
        <v/>
      </c>
      <c r="C3">
        <f>IF(C1=Inputs!$B$4,-Inputs!$B$3,0)+IF(AND(C1&gt;Inputs!$B$4,C1&lt;=Inputs!$B$5),Inputs!$B$3*Inputs!$B$6/4,0)+IF(C1=Inputs!$B$5,Inputs!$B$3*Inputs!$B$6/Inputs!$B$7,0)</f>
        <v/>
      </c>
      <c r="D3">
        <f>IF(D1=Inputs!$B$4,-Inputs!$B$3,0)+IF(AND(D1&gt;Inputs!$B$4,D1&lt;=Inputs!$B$5),Inputs!$B$3*Inputs!$B$6/4,0)+IF(D1=Inputs!$B$5,Inputs!$B$3*Inputs!$B$6/Inputs!$B$7,0)</f>
        <v/>
      </c>
      <c r="E3">
        <f>IF(E1=Inputs!$B$4,-Inputs!$B$3,0)+IF(AND(E1&gt;Inputs!$B$4,E1&lt;=Inputs!$B$5),Inputs!$B$3*Inputs!$B$6/4,0)+IF(E1=Inputs!$B$5,Inputs!$B$3*Inputs!$B$6/Inputs!$B$7,0)</f>
        <v/>
      </c>
      <c r="F3">
        <f>IF(F1=Inputs!$B$4,-Inputs!$B$3,0)+IF(AND(F1&gt;Inputs!$B$4,F1&lt;=Inputs!$B$5),Inputs!$B$3*Inputs!$B$6/4,0)+IF(F1=Inputs!$B$5,Inputs!$B$3*Inputs!$B$6/Inputs!$B$7,0)</f>
        <v/>
      </c>
      <c r="G3">
        <f>IF(G1=Inputs!$B$4,-Inputs!$B$3,0)+IF(AND(G1&gt;Inputs!$B$4,G1&lt;=Inputs!$B$5),Inputs!$B$3*Inputs!$B$6/4,0)+IF(G1=Inputs!$B$5,Inputs!$B$3*Inputs!$B$6/Inputs!$B$7,0)</f>
        <v/>
      </c>
      <c r="H3">
        <f>IF(H1=Inputs!$B$4,-Inputs!$B$3,0)+IF(AND(H1&gt;Inputs!$B$4,H1&lt;=Inputs!$B$5),Inputs!$B$3*Inputs!$B$6/4,0)+IF(H1=Inputs!$B$5,Inputs!$B$3*Inputs!$B$6/Inputs!$B$7,0)</f>
        <v/>
      </c>
      <c r="I3">
        <f>IF(I1=Inputs!$B$4,-Inputs!$B$3,0)+IF(AND(I1&gt;Inputs!$B$4,I1&lt;=Inputs!$B$5),Inputs!$B$3*Inputs!$B$6/4,0)+IF(I1=Inputs!$B$5,Inputs!$B$3*Inputs!$B$6/Inputs!$B$7,0)</f>
        <v/>
      </c>
      <c r="J3">
        <f>IF(J1=Inputs!$B$4,-Inputs!$B$3,0)+IF(AND(J1&gt;Inputs!$B$4,J1&lt;=Inputs!$B$5),Inputs!$B$3*Inputs!$B$6/4,0)+IF(J1=Inputs!$B$5,Inputs!$B$3*Inputs!$B$6/Inputs!$B$7,0)</f>
        <v/>
      </c>
      <c r="K3">
        <f>IF(K1=Inputs!$B$4,-Inputs!$B$3,0)+IF(AND(K1&gt;Inputs!$B$4,K1&lt;=Inputs!$B$5),Inputs!$B$3*Inputs!$B$6/4,0)+IF(K1=Inputs!$B$5,Inputs!$B$3*Inputs!$B$6/Inputs!$B$7,0)</f>
        <v/>
      </c>
      <c r="L3">
        <f>IF(L1=Inputs!$B$4,-Inputs!$B$3,0)+IF(AND(L1&gt;Inputs!$B$4,L1&lt;=Inputs!$B$5),Inputs!$B$3*Inputs!$B$6/4,0)+IF(L1=Inputs!$B$5,Inputs!$B$3*Inputs!$B$6/Inputs!$B$7,0)</f>
        <v/>
      </c>
      <c r="M3">
        <f>IF(M1=Inputs!$B$4,-Inputs!$B$3,0)+IF(AND(M1&gt;Inputs!$B$4,M1&lt;=Inputs!$B$5),Inputs!$B$3*Inputs!$B$6/4,0)+IF(M1=Inputs!$B$5,Inputs!$B$3*Inputs!$B$6/Inputs!$B$7,0)</f>
        <v/>
      </c>
    </row>
    <row r="4">
      <c r="A4" t="inlineStr">
        <is>
          <t>Hurdle balance</t>
        </is>
      </c>
      <c r="B4">
        <f>0*(1+Inputs!$B$8)^(1/4)-B3</f>
        <v/>
      </c>
      <c r="C4">
        <f>B4*(1+Inputs!$B$8)^(1/4)-C3</f>
        <v/>
      </c>
      <c r="D4">
        <f>C4*(1+Inputs!$B$8)^(1/4)-D3</f>
        <v/>
      </c>
      <c r="E4">
        <f>D4*(1+Inputs!$B$8)^(1/4)-E3</f>
        <v/>
      </c>
      <c r="F4">
        <f>E4*(1+Inputs!$B$8)^(1/4)-F3</f>
        <v/>
      </c>
      <c r="G4">
        <f>F4*(1+Inputs!$B$8)^(1/4)-G3</f>
        <v/>
      </c>
      <c r="H4">
        <f>G4*(1+Inputs!$B$8)^(1/4)-H3</f>
        <v/>
      </c>
      <c r="I4">
        <f>H4*(1+Inputs!$B$8)^(1/4)-I3</f>
        <v/>
      </c>
      <c r="J4">
        <f>I4*(1+Inputs!$B$8)^(1/4)-J3</f>
        <v/>
      </c>
      <c r="K4">
        <f>J4*(1+Inputs!$B$8)^(1/4)-K3</f>
        <v/>
      </c>
      <c r="L4">
        <f>K4*(1+Inputs!$B$8)^(1/4)-L3</f>
        <v/>
      </c>
      <c r="M4">
        <f>L4*(1+Inputs!$B$8)^(1/4)-M3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Unlevered IRR</t>
        </is>
      </c>
      <c r="B1" s="2">
        <f>XIRR('Cash Flow'!B3:M3,'Cash Flow'!B2:M2)</f>
        <v/>
      </c>
    </row>
    <row r="2">
      <c r="A2" t="inlineStr">
        <is>
          <t>Net profit</t>
        </is>
      </c>
      <c r="B2">
        <f>SUM('Cash Flow'!B3:M3)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2026-10-24T11:34:00Z</dcterms:created>
  <dcterms:modified xsi:type="dcterms:W3CDTF">2026-10-24T11:34:00Z</dcterms:modified>
</cp:coreProperties>
</file>