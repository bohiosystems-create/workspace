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BOQ" sheetId="2" state="visible" r:id="rId4"/>
    <sheet name="Curve" sheetId="3" state="visible" r:id="rId5"/>
    <sheet name="Cash Flow" sheetId="4" state="visible" r:id="rId6"/>
    <sheet name="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<sst xmlns="http://schemas.openxmlformats.org/spreadsheetml/2006/main" count="57" uniqueCount="54">
  <si>
    <t xml:space="preserve">DUBAI CREEK TOWER PODIUM – CONTRACTOR TENDER (AED)</t>
  </si>
  <si>
    <t xml:space="preserve">Start date</t>
  </si>
  <si>
    <t xml:space="preserve">Programme (months)</t>
  </si>
  <si>
    <t xml:space="preserve">Overhead and profit mark-up</t>
  </si>
  <si>
    <t xml:space="preserve">Retention</t>
  </si>
  <si>
    <t xml:space="preserve">Defects liability period (months)</t>
  </si>
  <si>
    <t xml:space="preserve">Client pays after (days)</t>
  </si>
  <si>
    <t xml:space="preserve">Liquidated damages a month (% of contract)</t>
  </si>
  <si>
    <t xml:space="preserve">LD cap (% of contract)</t>
  </si>
  <si>
    <t xml:space="preserve">Delay (months)</t>
  </si>
  <si>
    <t xml:space="preserve">Change orders (% of contract)</t>
  </si>
  <si>
    <t xml:space="preserve">Discount rate a year</t>
  </si>
  <si>
    <t xml:space="preserve">Advance payment</t>
  </si>
  <si>
    <t xml:space="preserve">Item</t>
  </si>
  <si>
    <t xml:space="preserve">Quantity</t>
  </si>
  <si>
    <t xml:space="preserve">Unit rate (AED)</t>
  </si>
  <si>
    <t xml:space="preserve">Trade</t>
  </si>
  <si>
    <t xml:space="preserve">Cost (AED)</t>
  </si>
  <si>
    <t xml:space="preserve">Piling</t>
  </si>
  <si>
    <t xml:space="preserve">Substructure</t>
  </si>
  <si>
    <t xml:space="preserve">Raft</t>
  </si>
  <si>
    <t xml:space="preserve">Frame</t>
  </si>
  <si>
    <t xml:space="preserve">Structure</t>
  </si>
  <si>
    <t xml:space="preserve">Facade</t>
  </si>
  <si>
    <t xml:space="preserve">Envelope</t>
  </si>
  <si>
    <t xml:space="preserve">MEP</t>
  </si>
  <si>
    <t xml:space="preserve">Services</t>
  </si>
  <si>
    <t xml:space="preserve">Fit-out</t>
  </si>
  <si>
    <t xml:space="preserve">Finishes</t>
  </si>
  <si>
    <t xml:space="preserve">External works</t>
  </si>
  <si>
    <t xml:space="preserve">Externals</t>
  </si>
  <si>
    <t xml:space="preserve">Share of programme</t>
  </si>
  <si>
    <t xml:space="preserve">Cumulative work</t>
  </si>
  <si>
    <t xml:space="preserve">Month</t>
  </si>
  <si>
    <t xml:space="preserve">Date</t>
  </si>
  <si>
    <t xml:space="preserve">Cost incurred</t>
  </si>
  <si>
    <t xml:space="preserve">Valuation</t>
  </si>
  <si>
    <t xml:space="preserve">Advance recovery</t>
  </si>
  <si>
    <t xml:space="preserve">Retention held</t>
  </si>
  <si>
    <t xml:space="preserve">Certified net</t>
  </si>
  <si>
    <t xml:space="preserve">Client payment</t>
  </si>
  <si>
    <t xml:space="preserve">Retention release</t>
  </si>
  <si>
    <t xml:space="preserve">Advance received</t>
  </si>
  <si>
    <t xml:space="preserve">LDs</t>
  </si>
  <si>
    <t xml:space="preserve">Contractor cash flow</t>
  </si>
  <si>
    <t xml:space="preserve">Cumulative cash</t>
  </si>
  <si>
    <t xml:space="preserve">Contract sum (AED)</t>
  </si>
  <si>
    <t xml:space="preserve">Margin (AED)</t>
  </si>
  <si>
    <t xml:space="preserve">Margin on contract</t>
  </si>
  <si>
    <t xml:space="preserve">Peak negative cash (AED)</t>
  </si>
  <si>
    <t xml:space="preserve">NPV of the contract (AED)</t>
  </si>
  <si>
    <t xml:space="preserve">LDs (AED)</t>
  </si>
  <si>
    <t xml:space="preserve">Structure and envelope cost (AED)</t>
  </si>
  <si>
    <t xml:space="preserve">Net profit (AED)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</si>
</sst>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"/>
    <numFmt numFmtId="167" formatCode="0.00%"/>
    <numFmt numFmtId="168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46418</v>
      </c>
    </row>
    <row r="4" customFormat="false" ht="15" hidden="false" customHeight="false" outlineLevel="0" collapsed="false">
      <c r="A4" s="0" t="s">
        <v>2</v>
      </c>
      <c r="B4" s="2" t="n">
        <v>22</v>
      </c>
    </row>
    <row r="5" customFormat="false" ht="15" hidden="false" customHeight="false" outlineLevel="0" collapsed="false">
      <c r="A5" s="0" t="s">
        <v>3</v>
      </c>
      <c r="B5" s="3" t="n">
        <v>0.11</v>
      </c>
    </row>
    <row r="6" customFormat="false" ht="15" hidden="false" customHeight="false" outlineLevel="0" collapsed="false">
      <c r="A6" s="0" t="s">
        <v>4</v>
      </c>
      <c r="B6" s="3" t="n">
        <v>0.1</v>
      </c>
    </row>
    <row r="7" customFormat="false" ht="15" hidden="false" customHeight="false" outlineLevel="0" collapsed="false">
      <c r="A7" s="0" t="s">
        <v>5</v>
      </c>
      <c r="B7" s="2" t="n">
        <v>12</v>
      </c>
    </row>
    <row r="8" customFormat="false" ht="15" hidden="false" customHeight="false" outlineLevel="0" collapsed="false">
      <c r="A8" s="0" t="s">
        <v>6</v>
      </c>
      <c r="B8" s="2" t="n">
        <v>60</v>
      </c>
    </row>
    <row r="9" customFormat="false" ht="15" hidden="false" customHeight="false" outlineLevel="0" collapsed="false">
      <c r="A9" s="0" t="s">
        <v>7</v>
      </c>
      <c r="B9" s="3" t="n">
        <v>0.005</v>
      </c>
    </row>
    <row r="10" customFormat="false" ht="15" hidden="false" customHeight="false" outlineLevel="0" collapsed="false">
      <c r="A10" s="0" t="s">
        <v>8</v>
      </c>
      <c r="B10" s="3" t="n">
        <v>0.1</v>
      </c>
    </row>
    <row r="11" customFormat="false" ht="15" hidden="false" customHeight="false" outlineLevel="0" collapsed="false">
      <c r="A11" s="0" t="s">
        <v>9</v>
      </c>
      <c r="B11" s="2" t="n">
        <v>0</v>
      </c>
    </row>
    <row r="12" customFormat="false" ht="15" hidden="false" customHeight="false" outlineLevel="0" collapsed="false">
      <c r="A12" s="0" t="s">
        <v>10</v>
      </c>
      <c r="B12" s="3" t="n">
        <v>0.04</v>
      </c>
    </row>
    <row r="13" customFormat="false" ht="15" hidden="false" customHeight="false" outlineLevel="0" collapsed="false">
      <c r="A13" s="0" t="s">
        <v>11</v>
      </c>
      <c r="B13" s="3" t="n">
        <v>0.09</v>
      </c>
    </row>
    <row r="14" customFormat="false" ht="15" hidden="false" customHeight="false" outlineLevel="0" collapsed="false">
      <c r="A14" s="0" t="s">
        <v>12</v>
      </c>
      <c r="B14" s="3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</row>
    <row r="2" customFormat="false" ht="15" hidden="false" customHeight="false" outlineLevel="0" collapsed="false">
      <c r="A2" s="0" t="s">
        <v>18</v>
      </c>
      <c r="B2" s="0" t="n">
        <v>18500</v>
      </c>
      <c r="C2" s="0" t="n">
        <v>1150</v>
      </c>
      <c r="D2" s="0" t="s">
        <v>19</v>
      </c>
      <c r="E2" s="0" t="n">
        <f aca="false">B2*C2</f>
        <v>21275000</v>
      </c>
    </row>
    <row r="3" customFormat="false" ht="15" hidden="false" customHeight="false" outlineLevel="0" collapsed="false">
      <c r="A3" s="0" t="s">
        <v>20</v>
      </c>
      <c r="B3" s="0" t="n">
        <v>9200</v>
      </c>
      <c r="C3" s="0" t="n">
        <v>2650</v>
      </c>
      <c r="D3" s="0" t="s">
        <v>19</v>
      </c>
      <c r="E3" s="0" t="n">
        <f aca="false">B3*C3</f>
        <v>24380000</v>
      </c>
    </row>
    <row r="4" customFormat="false" ht="15" hidden="false" customHeight="false" outlineLevel="0" collapsed="false">
      <c r="A4" s="0" t="s">
        <v>21</v>
      </c>
      <c r="B4" s="0" t="n">
        <v>41000</v>
      </c>
      <c r="C4" s="0" t="n">
        <v>1820</v>
      </c>
      <c r="D4" s="0" t="s">
        <v>22</v>
      </c>
      <c r="E4" s="0" t="n">
        <f aca="false">B4*C4</f>
        <v>74620000</v>
      </c>
    </row>
    <row r="5" customFormat="false" ht="15" hidden="false" customHeight="false" outlineLevel="0" collapsed="false">
      <c r="A5" s="0" t="s">
        <v>23</v>
      </c>
      <c r="B5" s="0" t="n">
        <v>26500</v>
      </c>
      <c r="C5" s="0" t="n">
        <v>2400</v>
      </c>
      <c r="D5" s="0" t="s">
        <v>24</v>
      </c>
      <c r="E5" s="0" t="n">
        <f aca="false">B5*C5</f>
        <v>63600000</v>
      </c>
    </row>
    <row r="6" customFormat="false" ht="15" hidden="false" customHeight="false" outlineLevel="0" collapsed="false">
      <c r="A6" s="0" t="s">
        <v>25</v>
      </c>
      <c r="B6" s="0" t="n">
        <v>1</v>
      </c>
      <c r="C6" s="0" t="n">
        <v>98000000</v>
      </c>
      <c r="D6" s="0" t="s">
        <v>26</v>
      </c>
      <c r="E6" s="0" t="n">
        <f aca="false">B6*C6</f>
        <v>98000000</v>
      </c>
    </row>
    <row r="7" customFormat="false" ht="15" hidden="false" customHeight="false" outlineLevel="0" collapsed="false">
      <c r="A7" s="0" t="s">
        <v>27</v>
      </c>
      <c r="B7" s="0" t="n">
        <v>33000</v>
      </c>
      <c r="C7" s="0" t="n">
        <v>1350</v>
      </c>
      <c r="D7" s="0" t="s">
        <v>28</v>
      </c>
      <c r="E7" s="0" t="n">
        <f aca="false">B7*C7</f>
        <v>44550000</v>
      </c>
    </row>
    <row r="8" customFormat="false" ht="15" hidden="false" customHeight="false" outlineLevel="0" collapsed="false">
      <c r="A8" s="0" t="s">
        <v>29</v>
      </c>
      <c r="B8" s="0" t="n">
        <v>1</v>
      </c>
      <c r="C8" s="0" t="n">
        <v>14000000</v>
      </c>
      <c r="D8" s="0" t="s">
        <v>30</v>
      </c>
      <c r="E8" s="0" t="n">
        <f aca="false">B8*C8</f>
        <v>14000000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31</v>
      </c>
      <c r="B1" s="0" t="s">
        <v>32</v>
      </c>
    </row>
    <row r="2" customFormat="false" ht="15" hidden="false" customHeight="false" outlineLevel="0" collapsed="false">
      <c r="A2" s="0" t="n">
        <v>0</v>
      </c>
      <c r="B2" s="0" t="n">
        <v>0</v>
      </c>
    </row>
    <row r="3" customFormat="false" ht="15" hidden="false" customHeight="false" outlineLevel="0" collapsed="false">
      <c r="A3" s="0" t="n">
        <v>0.1</v>
      </c>
      <c r="B3" s="0" t="n">
        <v>0.03</v>
      </c>
    </row>
    <row r="4" customFormat="false" ht="15" hidden="false" customHeight="false" outlineLevel="0" collapsed="false">
      <c r="A4" s="0" t="n">
        <v>0.2</v>
      </c>
      <c r="B4" s="0" t="n">
        <v>0.09</v>
      </c>
    </row>
    <row r="5" customFormat="false" ht="15" hidden="false" customHeight="false" outlineLevel="0" collapsed="false">
      <c r="A5" s="0" t="n">
        <v>0.3</v>
      </c>
      <c r="B5" s="0" t="n">
        <v>0.18</v>
      </c>
    </row>
    <row r="6" customFormat="false" ht="15" hidden="false" customHeight="false" outlineLevel="0" collapsed="false">
      <c r="A6" s="0" t="n">
        <v>0.4</v>
      </c>
      <c r="B6" s="0" t="n">
        <v>0.3</v>
      </c>
    </row>
    <row r="7" customFormat="false" ht="15" hidden="false" customHeight="false" outlineLevel="0" collapsed="false">
      <c r="A7" s="0" t="n">
        <v>0.5</v>
      </c>
      <c r="B7" s="0" t="n">
        <v>0.44</v>
      </c>
    </row>
    <row r="8" customFormat="false" ht="15" hidden="false" customHeight="false" outlineLevel="0" collapsed="false">
      <c r="A8" s="0" t="n">
        <v>0.6</v>
      </c>
      <c r="B8" s="0" t="n">
        <v>0.58</v>
      </c>
    </row>
    <row r="9" customFormat="false" ht="15" hidden="false" customHeight="false" outlineLevel="0" collapsed="false">
      <c r="A9" s="0" t="n">
        <v>0.7</v>
      </c>
      <c r="B9" s="0" t="n">
        <v>0.71</v>
      </c>
    </row>
    <row r="10" customFormat="false" ht="15" hidden="false" customHeight="false" outlineLevel="0" collapsed="false">
      <c r="A10" s="0" t="n">
        <v>0.8</v>
      </c>
      <c r="B10" s="0" t="n">
        <v>0.83</v>
      </c>
    </row>
    <row r="11" customFormat="false" ht="15" hidden="false" customHeight="false" outlineLevel="0" collapsed="false">
      <c r="A11" s="0" t="n">
        <v>0.9</v>
      </c>
      <c r="B11" s="0" t="n">
        <v>0.93</v>
      </c>
    </row>
    <row r="12" customFormat="false" ht="15" hidden="false" customHeight="false" outlineLevel="0" collapsed="false">
      <c r="A12" s="0" t="n">
        <v>1</v>
      </c>
      <c r="B1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T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</row>
    <row r="4" customFormat="false" ht="15" hidden="false" customHeight="false" outlineLevel="0" collapsed="false">
      <c r="A4" s="0" t="s">
        <v>34</v>
      </c>
      <c r="B4" s="1" t="n">
        <f aca="false">EOMONTH(Inputs!$B$3,B$3)</f>
        <v>46418</v>
      </c>
      <c r="C4" s="1" t="n">
        <f aca="false">EOMONTH(Inputs!$B$3,C$3)</f>
        <v>46446</v>
      </c>
      <c r="D4" s="1" t="n">
        <f aca="false">EOMONTH(Inputs!$B$3,D$3)</f>
        <v>46477</v>
      </c>
      <c r="E4" s="1" t="n">
        <f aca="false">EOMONTH(Inputs!$B$3,E$3)</f>
        <v>46507</v>
      </c>
      <c r="F4" s="1" t="n">
        <f aca="false">EOMONTH(Inputs!$B$3,F$3)</f>
        <v>46538</v>
      </c>
      <c r="G4" s="1" t="n">
        <f aca="false">EOMONTH(Inputs!$B$3,G$3)</f>
        <v>46568</v>
      </c>
      <c r="H4" s="1" t="n">
        <f aca="false">EOMONTH(Inputs!$B$3,H$3)</f>
        <v>46599</v>
      </c>
      <c r="I4" s="1" t="n">
        <f aca="false">EOMONTH(Inputs!$B$3,I$3)</f>
        <v>46630</v>
      </c>
      <c r="J4" s="1" t="n">
        <f aca="false">EOMONTH(Inputs!$B$3,J$3)</f>
        <v>46660</v>
      </c>
      <c r="K4" s="1" t="n">
        <f aca="false">EOMONTH(Inputs!$B$3,K$3)</f>
        <v>46691</v>
      </c>
      <c r="L4" s="1" t="n">
        <f aca="false">EOMONTH(Inputs!$B$3,L$3)</f>
        <v>46721</v>
      </c>
      <c r="M4" s="1" t="n">
        <f aca="false">EOMONTH(Inputs!$B$3,M$3)</f>
        <v>46752</v>
      </c>
      <c r="N4" s="1" t="n">
        <f aca="false">EOMONTH(Inputs!$B$3,N$3)</f>
        <v>46783</v>
      </c>
      <c r="O4" s="1" t="n">
        <f aca="false">EOMONTH(Inputs!$B$3,O$3)</f>
        <v>46812</v>
      </c>
      <c r="P4" s="1" t="n">
        <f aca="false">EOMONTH(Inputs!$B$3,P$3)</f>
        <v>46843</v>
      </c>
      <c r="Q4" s="1" t="n">
        <f aca="false">EOMONTH(Inputs!$B$3,Q$3)</f>
        <v>46873</v>
      </c>
      <c r="R4" s="1" t="n">
        <f aca="false">EOMONTH(Inputs!$B$3,R$3)</f>
        <v>46904</v>
      </c>
      <c r="S4" s="1" t="n">
        <f aca="false">EOMONTH(Inputs!$B$3,S$3)</f>
        <v>46934</v>
      </c>
      <c r="T4" s="1" t="n">
        <f aca="false">EOMONTH(Inputs!$B$3,T$3)</f>
        <v>46965</v>
      </c>
      <c r="U4" s="1" t="n">
        <f aca="false">EOMONTH(Inputs!$B$3,U$3)</f>
        <v>46996</v>
      </c>
      <c r="V4" s="1" t="n">
        <f aca="false">EOMONTH(Inputs!$B$3,V$3)</f>
        <v>47026</v>
      </c>
      <c r="W4" s="1" t="n">
        <f aca="false">EOMONTH(Inputs!$B$3,W$3)</f>
        <v>47057</v>
      </c>
      <c r="X4" s="1" t="n">
        <f aca="false">EOMONTH(Inputs!$B$3,X$3)</f>
        <v>47087</v>
      </c>
      <c r="Y4" s="1" t="n">
        <f aca="false">EOMONTH(Inputs!$B$3,Y$3)</f>
        <v>47118</v>
      </c>
      <c r="Z4" s="1" t="n">
        <f aca="false">EOMONTH(Inputs!$B$3,Z$3)</f>
        <v>47149</v>
      </c>
      <c r="AA4" s="1" t="n">
        <f aca="false">EOMONTH(Inputs!$B$3,AA$3)</f>
        <v>47177</v>
      </c>
      <c r="AB4" s="1" t="n">
        <f aca="false">EOMONTH(Inputs!$B$3,AB$3)</f>
        <v>47208</v>
      </c>
      <c r="AC4" s="1" t="n">
        <f aca="false">EOMONTH(Inputs!$B$3,AC$3)</f>
        <v>47238</v>
      </c>
      <c r="AD4" s="1" t="n">
        <f aca="false">EOMONTH(Inputs!$B$3,AD$3)</f>
        <v>47269</v>
      </c>
      <c r="AE4" s="1" t="n">
        <f aca="false">EOMONTH(Inputs!$B$3,AE$3)</f>
        <v>47299</v>
      </c>
      <c r="AF4" s="1" t="n">
        <f aca="false">EOMONTH(Inputs!$B$3,AF$3)</f>
        <v>47330</v>
      </c>
      <c r="AG4" s="1" t="n">
        <f aca="false">EOMONTH(Inputs!$B$3,AG$3)</f>
        <v>47361</v>
      </c>
      <c r="AH4" s="1" t="n">
        <f aca="false">EOMONTH(Inputs!$B$3,AH$3)</f>
        <v>47391</v>
      </c>
      <c r="AI4" s="1" t="n">
        <f aca="false">EOMONTH(Inputs!$B$3,AI$3)</f>
        <v>47422</v>
      </c>
      <c r="AJ4" s="1" t="n">
        <f aca="false">EOMONTH(Inputs!$B$3,AJ$3)</f>
        <v>47452</v>
      </c>
      <c r="AK4" s="1" t="n">
        <f aca="false">EOMONTH(Inputs!$B$3,AK$3)</f>
        <v>47483</v>
      </c>
      <c r="AL4" s="1" t="n">
        <f aca="false">EOMONTH(Inputs!$B$3,AL$3)</f>
        <v>47514</v>
      </c>
      <c r="AM4" s="1" t="n">
        <f aca="false">EOMONTH(Inputs!$B$3,AM$3)</f>
        <v>47542</v>
      </c>
      <c r="AN4" s="1" t="n">
        <f aca="false">EOMONTH(Inputs!$B$3,AN$3)</f>
        <v>47573</v>
      </c>
      <c r="AO4" s="1" t="n">
        <f aca="false">EOMONTH(Inputs!$B$3,AO$3)</f>
        <v>47603</v>
      </c>
      <c r="AP4" s="1" t="n">
        <f aca="false">EOMONTH(Inputs!$B$3,AP$3)</f>
        <v>47634</v>
      </c>
      <c r="AQ4" s="1" t="n">
        <f aca="false">EOMONTH(Inputs!$B$3,AQ$3)</f>
        <v>47664</v>
      </c>
      <c r="AR4" s="1" t="n">
        <f aca="false">EOMONTH(Inputs!$B$3,AR$3)</f>
        <v>47695</v>
      </c>
      <c r="AS4" s="1" t="n">
        <f aca="false">EOMONTH(Inputs!$B$3,AS$3)</f>
        <v>47726</v>
      </c>
      <c r="AT4" s="1" t="n">
        <f aca="false">EOMONTH(Inputs!$B$3,AT$3)</f>
        <v>47756</v>
      </c>
    </row>
    <row r="5" customFormat="false" ht="15" hidden="false" customHeight="false" outlineLevel="0" collapsed="false">
      <c r="A5" s="0" t="s">
        <v>31</v>
      </c>
      <c r="B5" s="0" t="n">
        <f aca="false">MIN(1,B$3/(Inputs!$B$4+Inputs!$B$11))</f>
        <v>0</v>
      </c>
      <c r="C5" s="0" t="n">
        <f aca="false">MIN(1,C$3/(Inputs!$B$4+Inputs!$B$11))</f>
        <v>0.0454545454545455</v>
      </c>
      <c r="D5" s="0" t="n">
        <f aca="false">MIN(1,D$3/(Inputs!$B$4+Inputs!$B$11))</f>
        <v>0.0909090909090909</v>
      </c>
      <c r="E5" s="0" t="n">
        <f aca="false">MIN(1,E$3/(Inputs!$B$4+Inputs!$B$11))</f>
        <v>0.136363636363636</v>
      </c>
      <c r="F5" s="0" t="n">
        <f aca="false">MIN(1,F$3/(Inputs!$B$4+Inputs!$B$11))</f>
        <v>0.181818181818182</v>
      </c>
      <c r="G5" s="0" t="n">
        <f aca="false">MIN(1,G$3/(Inputs!$B$4+Inputs!$B$11))</f>
        <v>0.227272727272727</v>
      </c>
      <c r="H5" s="0" t="n">
        <f aca="false">MIN(1,H$3/(Inputs!$B$4+Inputs!$B$11))</f>
        <v>0.272727272727273</v>
      </c>
      <c r="I5" s="0" t="n">
        <f aca="false">MIN(1,I$3/(Inputs!$B$4+Inputs!$B$11))</f>
        <v>0.318181818181818</v>
      </c>
      <c r="J5" s="0" t="n">
        <f aca="false">MIN(1,J$3/(Inputs!$B$4+Inputs!$B$11))</f>
        <v>0.363636363636364</v>
      </c>
      <c r="K5" s="0" t="n">
        <f aca="false">MIN(1,K$3/(Inputs!$B$4+Inputs!$B$11))</f>
        <v>0.409090909090909</v>
      </c>
      <c r="L5" s="0" t="n">
        <f aca="false">MIN(1,L$3/(Inputs!$B$4+Inputs!$B$11))</f>
        <v>0.454545454545455</v>
      </c>
      <c r="M5" s="0" t="n">
        <f aca="false">MIN(1,M$3/(Inputs!$B$4+Inputs!$B$11))</f>
        <v>0.5</v>
      </c>
      <c r="N5" s="0" t="n">
        <f aca="false">MIN(1,N$3/(Inputs!$B$4+Inputs!$B$11))</f>
        <v>0.545454545454545</v>
      </c>
      <c r="O5" s="0" t="n">
        <f aca="false">MIN(1,O$3/(Inputs!$B$4+Inputs!$B$11))</f>
        <v>0.590909090909091</v>
      </c>
      <c r="P5" s="0" t="n">
        <f aca="false">MIN(1,P$3/(Inputs!$B$4+Inputs!$B$11))</f>
        <v>0.636363636363636</v>
      </c>
      <c r="Q5" s="0" t="n">
        <f aca="false">MIN(1,Q$3/(Inputs!$B$4+Inputs!$B$11))</f>
        <v>0.681818181818182</v>
      </c>
      <c r="R5" s="0" t="n">
        <f aca="false">MIN(1,R$3/(Inputs!$B$4+Inputs!$B$11))</f>
        <v>0.727272727272727</v>
      </c>
      <c r="S5" s="0" t="n">
        <f aca="false">MIN(1,S$3/(Inputs!$B$4+Inputs!$B$11))</f>
        <v>0.772727272727273</v>
      </c>
      <c r="T5" s="0" t="n">
        <f aca="false">MIN(1,T$3/(Inputs!$B$4+Inputs!$B$11))</f>
        <v>0.818181818181818</v>
      </c>
      <c r="U5" s="0" t="n">
        <f aca="false">MIN(1,U$3/(Inputs!$B$4+Inputs!$B$11))</f>
        <v>0.863636363636364</v>
      </c>
      <c r="V5" s="0" t="n">
        <f aca="false">MIN(1,V$3/(Inputs!$B$4+Inputs!$B$11))</f>
        <v>0.909090909090909</v>
      </c>
      <c r="W5" s="0" t="n">
        <f aca="false">MIN(1,W$3/(Inputs!$B$4+Inputs!$B$11))</f>
        <v>0.954545454545455</v>
      </c>
      <c r="X5" s="0" t="n">
        <f aca="false">MIN(1,X$3/(Inputs!$B$4+Inputs!$B$11))</f>
        <v>1</v>
      </c>
      <c r="Y5" s="0" t="n">
        <f aca="false">MIN(1,Y$3/(Inputs!$B$4+Inputs!$B$11))</f>
        <v>1</v>
      </c>
      <c r="Z5" s="0" t="n">
        <f aca="false">MIN(1,Z$3/(Inputs!$B$4+Inputs!$B$11))</f>
        <v>1</v>
      </c>
      <c r="AA5" s="0" t="n">
        <f aca="false">MIN(1,AA$3/(Inputs!$B$4+Inputs!$B$11))</f>
        <v>1</v>
      </c>
      <c r="AB5" s="0" t="n">
        <f aca="false">MIN(1,AB$3/(Inputs!$B$4+Inputs!$B$11))</f>
        <v>1</v>
      </c>
      <c r="AC5" s="0" t="n">
        <f aca="false">MIN(1,AC$3/(Inputs!$B$4+Inputs!$B$11))</f>
        <v>1</v>
      </c>
      <c r="AD5" s="0" t="n">
        <f aca="false">MIN(1,AD$3/(Inputs!$B$4+Inputs!$B$11))</f>
        <v>1</v>
      </c>
      <c r="AE5" s="0" t="n">
        <f aca="false">MIN(1,AE$3/(Inputs!$B$4+Inputs!$B$11))</f>
        <v>1</v>
      </c>
      <c r="AF5" s="0" t="n">
        <f aca="false">MIN(1,AF$3/(Inputs!$B$4+Inputs!$B$11))</f>
        <v>1</v>
      </c>
      <c r="AG5" s="0" t="n">
        <f aca="false">MIN(1,AG$3/(Inputs!$B$4+Inputs!$B$11))</f>
        <v>1</v>
      </c>
      <c r="AH5" s="0" t="n">
        <f aca="false">MIN(1,AH$3/(Inputs!$B$4+Inputs!$B$11))</f>
        <v>1</v>
      </c>
      <c r="AI5" s="0" t="n">
        <f aca="false">MIN(1,AI$3/(Inputs!$B$4+Inputs!$B$11))</f>
        <v>1</v>
      </c>
      <c r="AJ5" s="0" t="n">
        <f aca="false">MIN(1,AJ$3/(Inputs!$B$4+Inputs!$B$11))</f>
        <v>1</v>
      </c>
      <c r="AK5" s="0" t="n">
        <f aca="false">MIN(1,AK$3/(Inputs!$B$4+Inputs!$B$11))</f>
        <v>1</v>
      </c>
      <c r="AL5" s="0" t="n">
        <f aca="false">MIN(1,AL$3/(Inputs!$B$4+Inputs!$B$11))</f>
        <v>1</v>
      </c>
      <c r="AM5" s="0" t="n">
        <f aca="false">MIN(1,AM$3/(Inputs!$B$4+Inputs!$B$11))</f>
        <v>1</v>
      </c>
      <c r="AN5" s="0" t="n">
        <f aca="false">MIN(1,AN$3/(Inputs!$B$4+Inputs!$B$11))</f>
        <v>1</v>
      </c>
      <c r="AO5" s="0" t="n">
        <f aca="false">MIN(1,AO$3/(Inputs!$B$4+Inputs!$B$11))</f>
        <v>1</v>
      </c>
      <c r="AP5" s="0" t="n">
        <f aca="false">MIN(1,AP$3/(Inputs!$B$4+Inputs!$B$11))</f>
        <v>1</v>
      </c>
      <c r="AQ5" s="0" t="n">
        <f aca="false">MIN(1,AQ$3/(Inputs!$B$4+Inputs!$B$11))</f>
        <v>1</v>
      </c>
      <c r="AR5" s="0" t="n">
        <f aca="false">MIN(1,AR$3/(Inputs!$B$4+Inputs!$B$11))</f>
        <v>1</v>
      </c>
      <c r="AS5" s="0" t="n">
        <f aca="false">MIN(1,AS$3/(Inputs!$B$4+Inputs!$B$11))</f>
        <v>1</v>
      </c>
      <c r="AT5" s="0" t="n">
        <f aca="false">MIN(1,AT$3/(Inputs!$B$4+Inputs!$B$11))</f>
        <v>1</v>
      </c>
    </row>
    <row r="6" customFormat="false" ht="15" hidden="false" customHeight="false" outlineLevel="0" collapsed="false">
      <c r="A6" s="0" t="s">
        <v>32</v>
      </c>
      <c r="B6" s="0" t="n">
        <f aca="false">INDEX(Curve!$B$2:$B$12,MATCH(FLOOR(B5*10,1)/10,Curve!$A$2:$A$12,0))+IF(B5&lt;1,(INDEX(Curve!$B$2:$B$12,MATCH(FLOOR(B5*10,1)/10,Curve!$A$2:$A$12,0)+1)-INDEX(Curve!$B$2:$B$12,MATCH(FLOOR(B5*10,1)/10,Curve!$A$2:$A$12,0)))*(B5*10-FLOOR(B5*10,1)),0)</f>
        <v>0</v>
      </c>
      <c r="C6" s="0" t="n">
        <f aca="false">INDEX(Curve!$B$2:$B$12,MATCH(FLOOR(C5*10,1)/10,Curve!$A$2:$A$12,0))+IF(C5&lt;1,(INDEX(Curve!$B$2:$B$12,MATCH(FLOOR(C5*10,1)/10,Curve!$A$2:$A$12,0)+1)-INDEX(Curve!$B$2:$B$12,MATCH(FLOOR(C5*10,1)/10,Curve!$A$2:$A$12,0)))*(C5*10-FLOOR(C5*10,1)),0)</f>
        <v>0.0136363636363636</v>
      </c>
      <c r="D6" s="0" t="n">
        <f aca="false">INDEX(Curve!$B$2:$B$12,MATCH(FLOOR(D5*10,1)/10,Curve!$A$2:$A$12,0))+IF(D5&lt;1,(INDEX(Curve!$B$2:$B$12,MATCH(FLOOR(D5*10,1)/10,Curve!$A$2:$A$12,0)+1)-INDEX(Curve!$B$2:$B$12,MATCH(FLOOR(D5*10,1)/10,Curve!$A$2:$A$12,0)))*(D5*10-FLOOR(D5*10,1)),0)</f>
        <v>0.0272727272727273</v>
      </c>
      <c r="E6" s="0" t="n">
        <f aca="false">INDEX(Curve!$B$2:$B$12,MATCH(FLOOR(E5*10,1)/10,Curve!$A$2:$A$12,0))+IF(E5&lt;1,(INDEX(Curve!$B$2:$B$12,MATCH(FLOOR(E5*10,1)/10,Curve!$A$2:$A$12,0)+1)-INDEX(Curve!$B$2:$B$12,MATCH(FLOOR(E5*10,1)/10,Curve!$A$2:$A$12,0)))*(E5*10-FLOOR(E5*10,1)),0)</f>
        <v>0.0518181818181818</v>
      </c>
      <c r="F6" s="0" t="n">
        <f aca="false">INDEX(Curve!$B$2:$B$12,MATCH(FLOOR(F5*10,1)/10,Curve!$A$2:$A$12,0))+IF(F5&lt;1,(INDEX(Curve!$B$2:$B$12,MATCH(FLOOR(F5*10,1)/10,Curve!$A$2:$A$12,0)+1)-INDEX(Curve!$B$2:$B$12,MATCH(FLOOR(F5*10,1)/10,Curve!$A$2:$A$12,0)))*(F5*10-FLOOR(F5*10,1)),0)</f>
        <v>0.0790909090909091</v>
      </c>
      <c r="G6" s="0" t="n">
        <f aca="false">INDEX(Curve!$B$2:$B$12,MATCH(FLOOR(G5*10,1)/10,Curve!$A$2:$A$12,0))+IF(G5&lt;1,(INDEX(Curve!$B$2:$B$12,MATCH(FLOOR(G5*10,1)/10,Curve!$A$2:$A$12,0)+1)-INDEX(Curve!$B$2:$B$12,MATCH(FLOOR(G5*10,1)/10,Curve!$A$2:$A$12,0)))*(G5*10-FLOOR(G5*10,1)),0)</f>
        <v>0.114545454545455</v>
      </c>
      <c r="H6" s="0" t="n">
        <f aca="false">INDEX(Curve!$B$2:$B$12,MATCH(FLOOR(H5*10,1)/10,Curve!$A$2:$A$12,0))+IF(H5&lt;1,(INDEX(Curve!$B$2:$B$12,MATCH(FLOOR(H5*10,1)/10,Curve!$A$2:$A$12,0)+1)-INDEX(Curve!$B$2:$B$12,MATCH(FLOOR(H5*10,1)/10,Curve!$A$2:$A$12,0)))*(H5*10-FLOOR(H5*10,1)),0)</f>
        <v>0.155454545454545</v>
      </c>
      <c r="I6" s="0" t="n">
        <f aca="false">INDEX(Curve!$B$2:$B$12,MATCH(FLOOR(I5*10,1)/10,Curve!$A$2:$A$12,0))+IF(I5&lt;1,(INDEX(Curve!$B$2:$B$12,MATCH(FLOOR(I5*10,1)/10,Curve!$A$2:$A$12,0)+1)-INDEX(Curve!$B$2:$B$12,MATCH(FLOOR(I5*10,1)/10,Curve!$A$2:$A$12,0)))*(I5*10-FLOOR(I5*10,1)),0)</f>
        <v>0.201818181818182</v>
      </c>
      <c r="J6" s="0" t="n">
        <f aca="false">INDEX(Curve!$B$2:$B$12,MATCH(FLOOR(J5*10,1)/10,Curve!$A$2:$A$12,0))+IF(J5&lt;1,(INDEX(Curve!$B$2:$B$12,MATCH(FLOOR(J5*10,1)/10,Curve!$A$2:$A$12,0)+1)-INDEX(Curve!$B$2:$B$12,MATCH(FLOOR(J5*10,1)/10,Curve!$A$2:$A$12,0)))*(J5*10-FLOOR(J5*10,1)),0)</f>
        <v>0.256363636363636</v>
      </c>
      <c r="K6" s="0" t="n">
        <f aca="false">INDEX(Curve!$B$2:$B$12,MATCH(FLOOR(K5*10,1)/10,Curve!$A$2:$A$12,0))+IF(K5&lt;1,(INDEX(Curve!$B$2:$B$12,MATCH(FLOOR(K5*10,1)/10,Curve!$A$2:$A$12,0)+1)-INDEX(Curve!$B$2:$B$12,MATCH(FLOOR(K5*10,1)/10,Curve!$A$2:$A$12,0)))*(K5*10-FLOOR(K5*10,1)),0)</f>
        <v>0.312727272727273</v>
      </c>
      <c r="L6" s="0" t="n">
        <f aca="false">INDEX(Curve!$B$2:$B$12,MATCH(FLOOR(L5*10,1)/10,Curve!$A$2:$A$12,0))+IF(L5&lt;1,(INDEX(Curve!$B$2:$B$12,MATCH(FLOOR(L5*10,1)/10,Curve!$A$2:$A$12,0)+1)-INDEX(Curve!$B$2:$B$12,MATCH(FLOOR(L5*10,1)/10,Curve!$A$2:$A$12,0)))*(L5*10-FLOOR(L5*10,1)),0)</f>
        <v>0.376363636363636</v>
      </c>
      <c r="M6" s="0" t="n">
        <f aca="false">INDEX(Curve!$B$2:$B$12,MATCH(FLOOR(M5*10,1)/10,Curve!$A$2:$A$12,0))+IF(M5&lt;1,(INDEX(Curve!$B$2:$B$12,MATCH(FLOOR(M5*10,1)/10,Curve!$A$2:$A$12,0)+1)-INDEX(Curve!$B$2:$B$12,MATCH(FLOOR(M5*10,1)/10,Curve!$A$2:$A$12,0)))*(M5*10-FLOOR(M5*10,1)),0)</f>
        <v>0.44</v>
      </c>
      <c r="N6" s="0" t="n">
        <f aca="false">INDEX(Curve!$B$2:$B$12,MATCH(FLOOR(N5*10,1)/10,Curve!$A$2:$A$12,0))+IF(N5&lt;1,(INDEX(Curve!$B$2:$B$12,MATCH(FLOOR(N5*10,1)/10,Curve!$A$2:$A$12,0)+1)-INDEX(Curve!$B$2:$B$12,MATCH(FLOOR(N5*10,1)/10,Curve!$A$2:$A$12,0)))*(N5*10-FLOOR(N5*10,1)),0)</f>
        <v>0.503636363636364</v>
      </c>
      <c r="O6" s="0" t="n">
        <f aca="false">INDEX(Curve!$B$2:$B$12,MATCH(FLOOR(O5*10,1)/10,Curve!$A$2:$A$12,0))+IF(O5&lt;1,(INDEX(Curve!$B$2:$B$12,MATCH(FLOOR(O5*10,1)/10,Curve!$A$2:$A$12,0)+1)-INDEX(Curve!$B$2:$B$12,MATCH(FLOOR(O5*10,1)/10,Curve!$A$2:$A$12,0)))*(O5*10-FLOOR(O5*10,1)),0)</f>
        <v>0.567272727272727</v>
      </c>
      <c r="P6" s="0" t="n">
        <f aca="false">INDEX(Curve!$B$2:$B$12,MATCH(FLOOR(P5*10,1)/10,Curve!$A$2:$A$12,0))+IF(P5&lt;1,(INDEX(Curve!$B$2:$B$12,MATCH(FLOOR(P5*10,1)/10,Curve!$A$2:$A$12,0)+1)-INDEX(Curve!$B$2:$B$12,MATCH(FLOOR(P5*10,1)/10,Curve!$A$2:$A$12,0)))*(P5*10-FLOOR(P5*10,1)),0)</f>
        <v>0.627272727272727</v>
      </c>
      <c r="Q6" s="0" t="n">
        <f aca="false">INDEX(Curve!$B$2:$B$12,MATCH(FLOOR(Q5*10,1)/10,Curve!$A$2:$A$12,0))+IF(Q5&lt;1,(INDEX(Curve!$B$2:$B$12,MATCH(FLOOR(Q5*10,1)/10,Curve!$A$2:$A$12,0)+1)-INDEX(Curve!$B$2:$B$12,MATCH(FLOOR(Q5*10,1)/10,Curve!$A$2:$A$12,0)))*(Q5*10-FLOOR(Q5*10,1)),0)</f>
        <v>0.686363636363636</v>
      </c>
      <c r="R6" s="0" t="n">
        <f aca="false">INDEX(Curve!$B$2:$B$12,MATCH(FLOOR(R5*10,1)/10,Curve!$A$2:$A$12,0))+IF(R5&lt;1,(INDEX(Curve!$B$2:$B$12,MATCH(FLOOR(R5*10,1)/10,Curve!$A$2:$A$12,0)+1)-INDEX(Curve!$B$2:$B$12,MATCH(FLOOR(R5*10,1)/10,Curve!$A$2:$A$12,0)))*(R5*10-FLOOR(R5*10,1)),0)</f>
        <v>0.742727272727273</v>
      </c>
      <c r="S6" s="0" t="n">
        <f aca="false">INDEX(Curve!$B$2:$B$12,MATCH(FLOOR(S5*10,1)/10,Curve!$A$2:$A$12,0))+IF(S5&lt;1,(INDEX(Curve!$B$2:$B$12,MATCH(FLOOR(S5*10,1)/10,Curve!$A$2:$A$12,0)+1)-INDEX(Curve!$B$2:$B$12,MATCH(FLOOR(S5*10,1)/10,Curve!$A$2:$A$12,0)))*(S5*10-FLOOR(S5*10,1)),0)</f>
        <v>0.797272727272727</v>
      </c>
      <c r="T6" s="0" t="n">
        <f aca="false">INDEX(Curve!$B$2:$B$12,MATCH(FLOOR(T5*10,1)/10,Curve!$A$2:$A$12,0))+IF(T5&lt;1,(INDEX(Curve!$B$2:$B$12,MATCH(FLOOR(T5*10,1)/10,Curve!$A$2:$A$12,0)+1)-INDEX(Curve!$B$2:$B$12,MATCH(FLOOR(T5*10,1)/10,Curve!$A$2:$A$12,0)))*(T5*10-FLOOR(T5*10,1)),0)</f>
        <v>0.848181818181818</v>
      </c>
      <c r="U6" s="0" t="n">
        <f aca="false">INDEX(Curve!$B$2:$B$12,MATCH(FLOOR(U5*10,1)/10,Curve!$A$2:$A$12,0))+IF(U5&lt;1,(INDEX(Curve!$B$2:$B$12,MATCH(FLOOR(U5*10,1)/10,Curve!$A$2:$A$12,0)+1)-INDEX(Curve!$B$2:$B$12,MATCH(FLOOR(U5*10,1)/10,Curve!$A$2:$A$12,0)))*(U5*10-FLOOR(U5*10,1)),0)</f>
        <v>0.893636363636364</v>
      </c>
      <c r="V6" s="0" t="n">
        <f aca="false">INDEX(Curve!$B$2:$B$12,MATCH(FLOOR(V5*10,1)/10,Curve!$A$2:$A$12,0))+IF(V5&lt;1,(INDEX(Curve!$B$2:$B$12,MATCH(FLOOR(V5*10,1)/10,Curve!$A$2:$A$12,0)+1)-INDEX(Curve!$B$2:$B$12,MATCH(FLOOR(V5*10,1)/10,Curve!$A$2:$A$12,0)))*(V5*10-FLOOR(V5*10,1)),0)</f>
        <v>0.936363636363636</v>
      </c>
      <c r="W6" s="0" t="n">
        <f aca="false">INDEX(Curve!$B$2:$B$12,MATCH(FLOOR(W5*10,1)/10,Curve!$A$2:$A$12,0))+IF(W5&lt;1,(INDEX(Curve!$B$2:$B$12,MATCH(FLOOR(W5*10,1)/10,Curve!$A$2:$A$12,0)+1)-INDEX(Curve!$B$2:$B$12,MATCH(FLOOR(W5*10,1)/10,Curve!$A$2:$A$12,0)))*(W5*10-FLOOR(W5*10,1)),0)</f>
        <v>0.968181818181818</v>
      </c>
      <c r="X6" s="0" t="n">
        <f aca="false">INDEX(Curve!$B$2:$B$12,MATCH(FLOOR(X5*10,1)/10,Curve!$A$2:$A$12,0))+IF(X5&lt;1,(INDEX(Curve!$B$2:$B$12,MATCH(FLOOR(X5*10,1)/10,Curve!$A$2:$A$12,0)+1)-INDEX(Curve!$B$2:$B$12,MATCH(FLOOR(X5*10,1)/10,Curve!$A$2:$A$12,0)))*(X5*10-FLOOR(X5*10,1)),0)</f>
        <v>1</v>
      </c>
      <c r="Y6" s="0" t="n">
        <f aca="false">INDEX(Curve!$B$2:$B$12,MATCH(FLOOR(Y5*10,1)/10,Curve!$A$2:$A$12,0))+IF(Y5&lt;1,(INDEX(Curve!$B$2:$B$12,MATCH(FLOOR(Y5*10,1)/10,Curve!$A$2:$A$12,0)+1)-INDEX(Curve!$B$2:$B$12,MATCH(FLOOR(Y5*10,1)/10,Curve!$A$2:$A$12,0)))*(Y5*10-FLOOR(Y5*10,1)),0)</f>
        <v>1</v>
      </c>
      <c r="Z6" s="0" t="n">
        <f aca="false">INDEX(Curve!$B$2:$B$12,MATCH(FLOOR(Z5*10,1)/10,Curve!$A$2:$A$12,0))+IF(Z5&lt;1,(INDEX(Curve!$B$2:$B$12,MATCH(FLOOR(Z5*10,1)/10,Curve!$A$2:$A$12,0)+1)-INDEX(Curve!$B$2:$B$12,MATCH(FLOOR(Z5*10,1)/10,Curve!$A$2:$A$12,0)))*(Z5*10-FLOOR(Z5*10,1)),0)</f>
        <v>1</v>
      </c>
      <c r="AA6" s="0" t="n">
        <f aca="false">INDEX(Curve!$B$2:$B$12,MATCH(FLOOR(AA5*10,1)/10,Curve!$A$2:$A$12,0))+IF(AA5&lt;1,(INDEX(Curve!$B$2:$B$12,MATCH(FLOOR(AA5*10,1)/10,Curve!$A$2:$A$12,0)+1)-INDEX(Curve!$B$2:$B$12,MATCH(FLOOR(AA5*10,1)/10,Curve!$A$2:$A$12,0)))*(AA5*10-FLOOR(AA5*10,1)),0)</f>
        <v>1</v>
      </c>
      <c r="AB6" s="0" t="n">
        <f aca="false">INDEX(Curve!$B$2:$B$12,MATCH(FLOOR(AB5*10,1)/10,Curve!$A$2:$A$12,0))+IF(AB5&lt;1,(INDEX(Curve!$B$2:$B$12,MATCH(FLOOR(AB5*10,1)/10,Curve!$A$2:$A$12,0)+1)-INDEX(Curve!$B$2:$B$12,MATCH(FLOOR(AB5*10,1)/10,Curve!$A$2:$A$12,0)))*(AB5*10-FLOOR(AB5*10,1)),0)</f>
        <v>1</v>
      </c>
      <c r="AC6" s="0" t="n">
        <f aca="false">INDEX(Curve!$B$2:$B$12,MATCH(FLOOR(AC5*10,1)/10,Curve!$A$2:$A$12,0))+IF(AC5&lt;1,(INDEX(Curve!$B$2:$B$12,MATCH(FLOOR(AC5*10,1)/10,Curve!$A$2:$A$12,0)+1)-INDEX(Curve!$B$2:$B$12,MATCH(FLOOR(AC5*10,1)/10,Curve!$A$2:$A$12,0)))*(AC5*10-FLOOR(AC5*10,1)),0)</f>
        <v>1</v>
      </c>
      <c r="AD6" s="0" t="n">
        <f aca="false">INDEX(Curve!$B$2:$B$12,MATCH(FLOOR(AD5*10,1)/10,Curve!$A$2:$A$12,0))+IF(AD5&lt;1,(INDEX(Curve!$B$2:$B$12,MATCH(FLOOR(AD5*10,1)/10,Curve!$A$2:$A$12,0)+1)-INDEX(Curve!$B$2:$B$12,MATCH(FLOOR(AD5*10,1)/10,Curve!$A$2:$A$12,0)))*(AD5*10-FLOOR(AD5*10,1)),0)</f>
        <v>1</v>
      </c>
      <c r="AE6" s="0" t="n">
        <f aca="false">INDEX(Curve!$B$2:$B$12,MATCH(FLOOR(AE5*10,1)/10,Curve!$A$2:$A$12,0))+IF(AE5&lt;1,(INDEX(Curve!$B$2:$B$12,MATCH(FLOOR(AE5*10,1)/10,Curve!$A$2:$A$12,0)+1)-INDEX(Curve!$B$2:$B$12,MATCH(FLOOR(AE5*10,1)/10,Curve!$A$2:$A$12,0)))*(AE5*10-FLOOR(AE5*10,1)),0)</f>
        <v>1</v>
      </c>
      <c r="AF6" s="0" t="n">
        <f aca="false">INDEX(Curve!$B$2:$B$12,MATCH(FLOOR(AF5*10,1)/10,Curve!$A$2:$A$12,0))+IF(AF5&lt;1,(INDEX(Curve!$B$2:$B$12,MATCH(FLOOR(AF5*10,1)/10,Curve!$A$2:$A$12,0)+1)-INDEX(Curve!$B$2:$B$12,MATCH(FLOOR(AF5*10,1)/10,Curve!$A$2:$A$12,0)))*(AF5*10-FLOOR(AF5*10,1)),0)</f>
        <v>1</v>
      </c>
      <c r="AG6" s="0" t="n">
        <f aca="false">INDEX(Curve!$B$2:$B$12,MATCH(FLOOR(AG5*10,1)/10,Curve!$A$2:$A$12,0))+IF(AG5&lt;1,(INDEX(Curve!$B$2:$B$12,MATCH(FLOOR(AG5*10,1)/10,Curve!$A$2:$A$12,0)+1)-INDEX(Curve!$B$2:$B$12,MATCH(FLOOR(AG5*10,1)/10,Curve!$A$2:$A$12,0)))*(AG5*10-FLOOR(AG5*10,1)),0)</f>
        <v>1</v>
      </c>
      <c r="AH6" s="0" t="n">
        <f aca="false">INDEX(Curve!$B$2:$B$12,MATCH(FLOOR(AH5*10,1)/10,Curve!$A$2:$A$12,0))+IF(AH5&lt;1,(INDEX(Curve!$B$2:$B$12,MATCH(FLOOR(AH5*10,1)/10,Curve!$A$2:$A$12,0)+1)-INDEX(Curve!$B$2:$B$12,MATCH(FLOOR(AH5*10,1)/10,Curve!$A$2:$A$12,0)))*(AH5*10-FLOOR(AH5*10,1)),0)</f>
        <v>1</v>
      </c>
      <c r="AI6" s="0" t="n">
        <f aca="false">INDEX(Curve!$B$2:$B$12,MATCH(FLOOR(AI5*10,1)/10,Curve!$A$2:$A$12,0))+IF(AI5&lt;1,(INDEX(Curve!$B$2:$B$12,MATCH(FLOOR(AI5*10,1)/10,Curve!$A$2:$A$12,0)+1)-INDEX(Curve!$B$2:$B$12,MATCH(FLOOR(AI5*10,1)/10,Curve!$A$2:$A$12,0)))*(AI5*10-FLOOR(AI5*10,1)),0)</f>
        <v>1</v>
      </c>
      <c r="AJ6" s="0" t="n">
        <f aca="false">INDEX(Curve!$B$2:$B$12,MATCH(FLOOR(AJ5*10,1)/10,Curve!$A$2:$A$12,0))+IF(AJ5&lt;1,(INDEX(Curve!$B$2:$B$12,MATCH(FLOOR(AJ5*10,1)/10,Curve!$A$2:$A$12,0)+1)-INDEX(Curve!$B$2:$B$12,MATCH(FLOOR(AJ5*10,1)/10,Curve!$A$2:$A$12,0)))*(AJ5*10-FLOOR(AJ5*10,1)),0)</f>
        <v>1</v>
      </c>
      <c r="AK6" s="0" t="n">
        <f aca="false">INDEX(Curve!$B$2:$B$12,MATCH(FLOOR(AK5*10,1)/10,Curve!$A$2:$A$12,0))+IF(AK5&lt;1,(INDEX(Curve!$B$2:$B$12,MATCH(FLOOR(AK5*10,1)/10,Curve!$A$2:$A$12,0)+1)-INDEX(Curve!$B$2:$B$12,MATCH(FLOOR(AK5*10,1)/10,Curve!$A$2:$A$12,0)))*(AK5*10-FLOOR(AK5*10,1)),0)</f>
        <v>1</v>
      </c>
      <c r="AL6" s="0" t="n">
        <f aca="false">INDEX(Curve!$B$2:$B$12,MATCH(FLOOR(AL5*10,1)/10,Curve!$A$2:$A$12,0))+IF(AL5&lt;1,(INDEX(Curve!$B$2:$B$12,MATCH(FLOOR(AL5*10,1)/10,Curve!$A$2:$A$12,0)+1)-INDEX(Curve!$B$2:$B$12,MATCH(FLOOR(AL5*10,1)/10,Curve!$A$2:$A$12,0)))*(AL5*10-FLOOR(AL5*10,1)),0)</f>
        <v>1</v>
      </c>
      <c r="AM6" s="0" t="n">
        <f aca="false">INDEX(Curve!$B$2:$B$12,MATCH(FLOOR(AM5*10,1)/10,Curve!$A$2:$A$12,0))+IF(AM5&lt;1,(INDEX(Curve!$B$2:$B$12,MATCH(FLOOR(AM5*10,1)/10,Curve!$A$2:$A$12,0)+1)-INDEX(Curve!$B$2:$B$12,MATCH(FLOOR(AM5*10,1)/10,Curve!$A$2:$A$12,0)))*(AM5*10-FLOOR(AM5*10,1)),0)</f>
        <v>1</v>
      </c>
      <c r="AN6" s="0" t="n">
        <f aca="false">INDEX(Curve!$B$2:$B$12,MATCH(FLOOR(AN5*10,1)/10,Curve!$A$2:$A$12,0))+IF(AN5&lt;1,(INDEX(Curve!$B$2:$B$12,MATCH(FLOOR(AN5*10,1)/10,Curve!$A$2:$A$12,0)+1)-INDEX(Curve!$B$2:$B$12,MATCH(FLOOR(AN5*10,1)/10,Curve!$A$2:$A$12,0)))*(AN5*10-FLOOR(AN5*10,1)),0)</f>
        <v>1</v>
      </c>
      <c r="AO6" s="0" t="n">
        <f aca="false">INDEX(Curve!$B$2:$B$12,MATCH(FLOOR(AO5*10,1)/10,Curve!$A$2:$A$12,0))+IF(AO5&lt;1,(INDEX(Curve!$B$2:$B$12,MATCH(FLOOR(AO5*10,1)/10,Curve!$A$2:$A$12,0)+1)-INDEX(Curve!$B$2:$B$12,MATCH(FLOOR(AO5*10,1)/10,Curve!$A$2:$A$12,0)))*(AO5*10-FLOOR(AO5*10,1)),0)</f>
        <v>1</v>
      </c>
      <c r="AP6" s="0" t="n">
        <f aca="false">INDEX(Curve!$B$2:$B$12,MATCH(FLOOR(AP5*10,1)/10,Curve!$A$2:$A$12,0))+IF(AP5&lt;1,(INDEX(Curve!$B$2:$B$12,MATCH(FLOOR(AP5*10,1)/10,Curve!$A$2:$A$12,0)+1)-INDEX(Curve!$B$2:$B$12,MATCH(FLOOR(AP5*10,1)/10,Curve!$A$2:$A$12,0)))*(AP5*10-FLOOR(AP5*10,1)),0)</f>
        <v>1</v>
      </c>
      <c r="AQ6" s="0" t="n">
        <f aca="false">INDEX(Curve!$B$2:$B$12,MATCH(FLOOR(AQ5*10,1)/10,Curve!$A$2:$A$12,0))+IF(AQ5&lt;1,(INDEX(Curve!$B$2:$B$12,MATCH(FLOOR(AQ5*10,1)/10,Curve!$A$2:$A$12,0)+1)-INDEX(Curve!$B$2:$B$12,MATCH(FLOOR(AQ5*10,1)/10,Curve!$A$2:$A$12,0)))*(AQ5*10-FLOOR(AQ5*10,1)),0)</f>
        <v>1</v>
      </c>
      <c r="AR6" s="0" t="n">
        <f aca="false">INDEX(Curve!$B$2:$B$12,MATCH(FLOOR(AR5*10,1)/10,Curve!$A$2:$A$12,0))+IF(AR5&lt;1,(INDEX(Curve!$B$2:$B$12,MATCH(FLOOR(AR5*10,1)/10,Curve!$A$2:$A$12,0)+1)-INDEX(Curve!$B$2:$B$12,MATCH(FLOOR(AR5*10,1)/10,Curve!$A$2:$A$12,0)))*(AR5*10-FLOOR(AR5*10,1)),0)</f>
        <v>1</v>
      </c>
      <c r="AS6" s="0" t="n">
        <f aca="false">INDEX(Curve!$B$2:$B$12,MATCH(FLOOR(AS5*10,1)/10,Curve!$A$2:$A$12,0))+IF(AS5&lt;1,(INDEX(Curve!$B$2:$B$12,MATCH(FLOOR(AS5*10,1)/10,Curve!$A$2:$A$12,0)+1)-INDEX(Curve!$B$2:$B$12,MATCH(FLOOR(AS5*10,1)/10,Curve!$A$2:$A$12,0)))*(AS5*10-FLOOR(AS5*10,1)),0)</f>
        <v>1</v>
      </c>
      <c r="AT6" s="0" t="n">
        <f aca="false">INDEX(Curve!$B$2:$B$12,MATCH(FLOOR(AT5*10,1)/10,Curve!$A$2:$A$12,0))+IF(AT5&lt;1,(INDEX(Curve!$B$2:$B$12,MATCH(FLOOR(AT5*10,1)/10,Curve!$A$2:$A$12,0)+1)-INDEX(Curve!$B$2:$B$12,MATCH(FLOOR(AT5*10,1)/10,Curve!$A$2:$A$12,0)))*(AT5*10-FLOOR(AT5*10,1)),0)</f>
        <v>1</v>
      </c>
    </row>
    <row r="7" customFormat="false" ht="15" hidden="false" customHeight="false" outlineLevel="0" collapsed="false">
      <c r="A7" s="0" t="s">
        <v>35</v>
      </c>
      <c r="B7" s="0" t="n">
        <f aca="false">0</f>
        <v>0</v>
      </c>
      <c r="C7" s="0" t="n">
        <f aca="false">SUM(BOQ!$E$2:$E$8)*(1+Inputs!$B$12)*(C6-B6)</f>
        <v>4827845.45454546</v>
      </c>
      <c r="D7" s="0" t="n">
        <f aca="false">SUM(BOQ!$E$2:$E$8)*(1+Inputs!$B$12)*(D6-C6)</f>
        <v>4827845.45454546</v>
      </c>
      <c r="E7" s="0" t="n">
        <f aca="false">SUM(BOQ!$E$2:$E$8)*(1+Inputs!$B$12)*(E6-D6)</f>
        <v>8690121.81818182</v>
      </c>
      <c r="F7" s="0" t="n">
        <f aca="false">SUM(BOQ!$E$2:$E$8)*(1+Inputs!$B$12)*(F6-E6)</f>
        <v>9655690.90909092</v>
      </c>
      <c r="G7" s="0" t="n">
        <f aca="false">SUM(BOQ!$E$2:$E$8)*(1+Inputs!$B$12)*(G6-F6)</f>
        <v>12552398.1818182</v>
      </c>
      <c r="H7" s="0" t="n">
        <f aca="false">SUM(BOQ!$E$2:$E$8)*(1+Inputs!$B$12)*(H6-G6)</f>
        <v>14483536.3636364</v>
      </c>
      <c r="I7" s="0" t="n">
        <f aca="false">SUM(BOQ!$E$2:$E$8)*(1+Inputs!$B$12)*(I6-H6)</f>
        <v>16414674.5454545</v>
      </c>
      <c r="J7" s="0" t="n">
        <f aca="false">SUM(BOQ!$E$2:$E$8)*(1+Inputs!$B$12)*(J6-I6)</f>
        <v>19311381.8181818</v>
      </c>
      <c r="K7" s="0" t="n">
        <f aca="false">SUM(BOQ!$E$2:$E$8)*(1+Inputs!$B$12)*(K6-J6)</f>
        <v>19955094.5454545</v>
      </c>
      <c r="L7" s="0" t="n">
        <f aca="false">SUM(BOQ!$E$2:$E$8)*(1+Inputs!$B$12)*(L6-K6)</f>
        <v>22529945.4545454</v>
      </c>
      <c r="M7" s="0" t="n">
        <f aca="false">SUM(BOQ!$E$2:$E$8)*(1+Inputs!$B$12)*(M6-L6)</f>
        <v>22529945.4545455</v>
      </c>
      <c r="N7" s="0" t="n">
        <f aca="false">SUM(BOQ!$E$2:$E$8)*(1+Inputs!$B$12)*(N6-M6)</f>
        <v>22529945.4545454</v>
      </c>
      <c r="O7" s="0" t="n">
        <f aca="false">SUM(BOQ!$E$2:$E$8)*(1+Inputs!$B$12)*(O6-N6)</f>
        <v>22529945.4545455</v>
      </c>
      <c r="P7" s="0" t="n">
        <f aca="false">SUM(BOQ!$E$2:$E$8)*(1+Inputs!$B$12)*(P6-O6)</f>
        <v>21242520</v>
      </c>
      <c r="Q7" s="0" t="n">
        <f aca="false">SUM(BOQ!$E$2:$E$8)*(1+Inputs!$B$12)*(Q6-P6)</f>
        <v>20920663.6363636</v>
      </c>
      <c r="R7" s="0" t="n">
        <f aca="false">SUM(BOQ!$E$2:$E$8)*(1+Inputs!$B$12)*(R6-Q6)</f>
        <v>19955094.5454546</v>
      </c>
      <c r="S7" s="0" t="n">
        <f aca="false">SUM(BOQ!$E$2:$E$8)*(1+Inputs!$B$12)*(S6-R6)</f>
        <v>19311381.8181817</v>
      </c>
      <c r="T7" s="0" t="n">
        <f aca="false">SUM(BOQ!$E$2:$E$8)*(1+Inputs!$B$12)*(T6-S6)</f>
        <v>18023956.3636364</v>
      </c>
      <c r="U7" s="0" t="n">
        <f aca="false">SUM(BOQ!$E$2:$E$8)*(1+Inputs!$B$12)*(U6-T6)</f>
        <v>16092818.1818182</v>
      </c>
      <c r="V7" s="0" t="n">
        <f aca="false">SUM(BOQ!$E$2:$E$8)*(1+Inputs!$B$12)*(V6-U6)</f>
        <v>15127249.0909091</v>
      </c>
      <c r="W7" s="0" t="n">
        <f aca="false">SUM(BOQ!$E$2:$E$8)*(1+Inputs!$B$12)*(W6-V6)</f>
        <v>11264972.7272728</v>
      </c>
      <c r="X7" s="0" t="n">
        <f aca="false">SUM(BOQ!$E$2:$E$8)*(1+Inputs!$B$12)*(X6-W6)</f>
        <v>11264972.7272727</v>
      </c>
      <c r="Y7" s="0" t="n">
        <f aca="false">SUM(BOQ!$E$2:$E$8)*(1+Inputs!$B$12)*(Y6-X6)</f>
        <v>0</v>
      </c>
      <c r="Z7" s="0" t="n">
        <f aca="false">SUM(BOQ!$E$2:$E$8)*(1+Inputs!$B$12)*(Z6-Y6)</f>
        <v>0</v>
      </c>
      <c r="AA7" s="0" t="n">
        <f aca="false">SUM(BOQ!$E$2:$E$8)*(1+Inputs!$B$12)*(AA6-Z6)</f>
        <v>0</v>
      </c>
      <c r="AB7" s="0" t="n">
        <f aca="false">SUM(BOQ!$E$2:$E$8)*(1+Inputs!$B$12)*(AB6-AA6)</f>
        <v>0</v>
      </c>
      <c r="AC7" s="0" t="n">
        <f aca="false">SUM(BOQ!$E$2:$E$8)*(1+Inputs!$B$12)*(AC6-AB6)</f>
        <v>0</v>
      </c>
      <c r="AD7" s="0" t="n">
        <f aca="false">SUM(BOQ!$E$2:$E$8)*(1+Inputs!$B$12)*(AD6-AC6)</f>
        <v>0</v>
      </c>
      <c r="AE7" s="0" t="n">
        <f aca="false">SUM(BOQ!$E$2:$E$8)*(1+Inputs!$B$12)*(AE6-AD6)</f>
        <v>0</v>
      </c>
      <c r="AF7" s="0" t="n">
        <f aca="false">SUM(BOQ!$E$2:$E$8)*(1+Inputs!$B$12)*(AF6-AE6)</f>
        <v>0</v>
      </c>
      <c r="AG7" s="0" t="n">
        <f aca="false">SUM(BOQ!$E$2:$E$8)*(1+Inputs!$B$12)*(AG6-AF6)</f>
        <v>0</v>
      </c>
      <c r="AH7" s="0" t="n">
        <f aca="false">SUM(BOQ!$E$2:$E$8)*(1+Inputs!$B$12)*(AH6-AG6)</f>
        <v>0</v>
      </c>
      <c r="AI7" s="0" t="n">
        <f aca="false">SUM(BOQ!$E$2:$E$8)*(1+Inputs!$B$12)*(AI6-AH6)</f>
        <v>0</v>
      </c>
      <c r="AJ7" s="0" t="n">
        <f aca="false">SUM(BOQ!$E$2:$E$8)*(1+Inputs!$B$12)*(AJ6-AI6)</f>
        <v>0</v>
      </c>
      <c r="AK7" s="0" t="n">
        <f aca="false">SUM(BOQ!$E$2:$E$8)*(1+Inputs!$B$12)*(AK6-AJ6)</f>
        <v>0</v>
      </c>
      <c r="AL7" s="0" t="n">
        <f aca="false">SUM(BOQ!$E$2:$E$8)*(1+Inputs!$B$12)*(AL6-AK6)</f>
        <v>0</v>
      </c>
      <c r="AM7" s="0" t="n">
        <f aca="false">SUM(BOQ!$E$2:$E$8)*(1+Inputs!$B$12)*(AM6-AL6)</f>
        <v>0</v>
      </c>
      <c r="AN7" s="0" t="n">
        <f aca="false">SUM(BOQ!$E$2:$E$8)*(1+Inputs!$B$12)*(AN6-AM6)</f>
        <v>0</v>
      </c>
      <c r="AO7" s="0" t="n">
        <f aca="false">SUM(BOQ!$E$2:$E$8)*(1+Inputs!$B$12)*(AO6-AN6)</f>
        <v>0</v>
      </c>
      <c r="AP7" s="0" t="n">
        <f aca="false">SUM(BOQ!$E$2:$E$8)*(1+Inputs!$B$12)*(AP6-AO6)</f>
        <v>0</v>
      </c>
      <c r="AQ7" s="0" t="n">
        <f aca="false">SUM(BOQ!$E$2:$E$8)*(1+Inputs!$B$12)*(AQ6-AP6)</f>
        <v>0</v>
      </c>
      <c r="AR7" s="0" t="n">
        <f aca="false">SUM(BOQ!$E$2:$E$8)*(1+Inputs!$B$12)*(AR6-AQ6)</f>
        <v>0</v>
      </c>
      <c r="AS7" s="0" t="n">
        <f aca="false">SUM(BOQ!$E$2:$E$8)*(1+Inputs!$B$12)*(AS6-AR6)</f>
        <v>0</v>
      </c>
      <c r="AT7" s="0" t="n">
        <f aca="false">SUM(BOQ!$E$2:$E$8)*(1+Inputs!$B$12)*(AT6-AS6)</f>
        <v>0</v>
      </c>
    </row>
    <row r="8" customFormat="false" ht="15" hidden="false" customHeight="false" outlineLevel="0" collapsed="false">
      <c r="A8" s="0" t="s">
        <v>36</v>
      </c>
      <c r="B8" s="0" t="n">
        <f aca="false">0</f>
        <v>0</v>
      </c>
      <c r="C8" s="0" t="n">
        <f aca="false">(SUM(BOQ!$E$2:$E$8)*(1+Inputs!$B$5)*(1+Inputs!$B$12))*(C6-B6)</f>
        <v>5358908.45454546</v>
      </c>
      <c r="D8" s="0" t="n">
        <f aca="false">(SUM(BOQ!$E$2:$E$8)*(1+Inputs!$B$5)*(1+Inputs!$B$12))*(D6-C6)</f>
        <v>5358908.45454546</v>
      </c>
      <c r="E8" s="0" t="n">
        <f aca="false">(SUM(BOQ!$E$2:$E$8)*(1+Inputs!$B$5)*(1+Inputs!$B$12))*(E6-D6)</f>
        <v>9646035.21818182</v>
      </c>
      <c r="F8" s="0" t="n">
        <f aca="false">(SUM(BOQ!$E$2:$E$8)*(1+Inputs!$B$5)*(1+Inputs!$B$12))*(F6-E6)</f>
        <v>10717816.9090909</v>
      </c>
      <c r="G8" s="0" t="n">
        <f aca="false">(SUM(BOQ!$E$2:$E$8)*(1+Inputs!$B$5)*(1+Inputs!$B$12))*(G6-F6)</f>
        <v>13933161.9818182</v>
      </c>
      <c r="H8" s="0" t="n">
        <f aca="false">(SUM(BOQ!$E$2:$E$8)*(1+Inputs!$B$5)*(1+Inputs!$B$12))*(H6-G6)</f>
        <v>16076725.3636364</v>
      </c>
      <c r="I8" s="0" t="n">
        <f aca="false">(SUM(BOQ!$E$2:$E$8)*(1+Inputs!$B$5)*(1+Inputs!$B$12))*(I6-H6)</f>
        <v>18220288.7454545</v>
      </c>
      <c r="J8" s="0" t="n">
        <f aca="false">(SUM(BOQ!$E$2:$E$8)*(1+Inputs!$B$5)*(1+Inputs!$B$12))*(J6-I6)</f>
        <v>21435633.8181819</v>
      </c>
      <c r="K8" s="0" t="n">
        <f aca="false">(SUM(BOQ!$E$2:$E$8)*(1+Inputs!$B$5)*(1+Inputs!$B$12))*(K6-J6)</f>
        <v>22150154.9454545</v>
      </c>
      <c r="L8" s="0" t="n">
        <f aca="false">(SUM(BOQ!$E$2:$E$8)*(1+Inputs!$B$5)*(1+Inputs!$B$12))*(L6-K6)</f>
        <v>25008239.4545454</v>
      </c>
      <c r="M8" s="0" t="n">
        <f aca="false">(SUM(BOQ!$E$2:$E$8)*(1+Inputs!$B$5)*(1+Inputs!$B$12))*(M6-L6)</f>
        <v>25008239.4545455</v>
      </c>
      <c r="N8" s="0" t="n">
        <f aca="false">(SUM(BOQ!$E$2:$E$8)*(1+Inputs!$B$5)*(1+Inputs!$B$12))*(N6-M6)</f>
        <v>25008239.4545454</v>
      </c>
      <c r="O8" s="0" t="n">
        <f aca="false">(SUM(BOQ!$E$2:$E$8)*(1+Inputs!$B$5)*(1+Inputs!$B$12))*(O6-N6)</f>
        <v>25008239.4545455</v>
      </c>
      <c r="P8" s="0" t="n">
        <f aca="false">(SUM(BOQ!$E$2:$E$8)*(1+Inputs!$B$5)*(1+Inputs!$B$12))*(P6-O6)</f>
        <v>23579197.2</v>
      </c>
      <c r="Q8" s="0" t="n">
        <f aca="false">(SUM(BOQ!$E$2:$E$8)*(1+Inputs!$B$5)*(1+Inputs!$B$12))*(Q6-P6)</f>
        <v>23221936.6363636</v>
      </c>
      <c r="R8" s="0" t="n">
        <f aca="false">(SUM(BOQ!$E$2:$E$8)*(1+Inputs!$B$5)*(1+Inputs!$B$12))*(R6-Q6)</f>
        <v>22150154.9454546</v>
      </c>
      <c r="S8" s="0" t="n">
        <f aca="false">(SUM(BOQ!$E$2:$E$8)*(1+Inputs!$B$5)*(1+Inputs!$B$12))*(S6-R6)</f>
        <v>21435633.8181817</v>
      </c>
      <c r="T8" s="0" t="n">
        <f aca="false">(SUM(BOQ!$E$2:$E$8)*(1+Inputs!$B$5)*(1+Inputs!$B$12))*(T6-S6)</f>
        <v>20006591.5636364</v>
      </c>
      <c r="U8" s="0" t="n">
        <f aca="false">(SUM(BOQ!$E$2:$E$8)*(1+Inputs!$B$5)*(1+Inputs!$B$12))*(U6-T6)</f>
        <v>17863028.1818182</v>
      </c>
      <c r="V8" s="0" t="n">
        <f aca="false">(SUM(BOQ!$E$2:$E$8)*(1+Inputs!$B$5)*(1+Inputs!$B$12))*(V6-U6)</f>
        <v>16791246.490909</v>
      </c>
      <c r="W8" s="0" t="n">
        <f aca="false">(SUM(BOQ!$E$2:$E$8)*(1+Inputs!$B$5)*(1+Inputs!$B$12))*(W6-V6)</f>
        <v>12504119.7272728</v>
      </c>
      <c r="X8" s="0" t="n">
        <f aca="false">(SUM(BOQ!$E$2:$E$8)*(1+Inputs!$B$5)*(1+Inputs!$B$12))*(X6-W6)</f>
        <v>12504119.7272727</v>
      </c>
      <c r="Y8" s="0" t="n">
        <f aca="false">(SUM(BOQ!$E$2:$E$8)*(1+Inputs!$B$5)*(1+Inputs!$B$12))*(Y6-X6)</f>
        <v>0</v>
      </c>
      <c r="Z8" s="0" t="n">
        <f aca="false">(SUM(BOQ!$E$2:$E$8)*(1+Inputs!$B$5)*(1+Inputs!$B$12))*(Z6-Y6)</f>
        <v>0</v>
      </c>
      <c r="AA8" s="0" t="n">
        <f aca="false">(SUM(BOQ!$E$2:$E$8)*(1+Inputs!$B$5)*(1+Inputs!$B$12))*(AA6-Z6)</f>
        <v>0</v>
      </c>
      <c r="AB8" s="0" t="n">
        <f aca="false">(SUM(BOQ!$E$2:$E$8)*(1+Inputs!$B$5)*(1+Inputs!$B$12))*(AB6-AA6)</f>
        <v>0</v>
      </c>
      <c r="AC8" s="0" t="n">
        <f aca="false">(SUM(BOQ!$E$2:$E$8)*(1+Inputs!$B$5)*(1+Inputs!$B$12))*(AC6-AB6)</f>
        <v>0</v>
      </c>
      <c r="AD8" s="0" t="n">
        <f aca="false">(SUM(BOQ!$E$2:$E$8)*(1+Inputs!$B$5)*(1+Inputs!$B$12))*(AD6-AC6)</f>
        <v>0</v>
      </c>
      <c r="AE8" s="0" t="n">
        <f aca="false">(SUM(BOQ!$E$2:$E$8)*(1+Inputs!$B$5)*(1+Inputs!$B$12))*(AE6-AD6)</f>
        <v>0</v>
      </c>
      <c r="AF8" s="0" t="n">
        <f aca="false">(SUM(BOQ!$E$2:$E$8)*(1+Inputs!$B$5)*(1+Inputs!$B$12))*(AF6-AE6)</f>
        <v>0</v>
      </c>
      <c r="AG8" s="0" t="n">
        <f aca="false">(SUM(BOQ!$E$2:$E$8)*(1+Inputs!$B$5)*(1+Inputs!$B$12))*(AG6-AF6)</f>
        <v>0</v>
      </c>
      <c r="AH8" s="0" t="n">
        <f aca="false">(SUM(BOQ!$E$2:$E$8)*(1+Inputs!$B$5)*(1+Inputs!$B$12))*(AH6-AG6)</f>
        <v>0</v>
      </c>
      <c r="AI8" s="0" t="n">
        <f aca="false">(SUM(BOQ!$E$2:$E$8)*(1+Inputs!$B$5)*(1+Inputs!$B$12))*(AI6-AH6)</f>
        <v>0</v>
      </c>
      <c r="AJ8" s="0" t="n">
        <f aca="false">(SUM(BOQ!$E$2:$E$8)*(1+Inputs!$B$5)*(1+Inputs!$B$12))*(AJ6-AI6)</f>
        <v>0</v>
      </c>
      <c r="AK8" s="0" t="n">
        <f aca="false">(SUM(BOQ!$E$2:$E$8)*(1+Inputs!$B$5)*(1+Inputs!$B$12))*(AK6-AJ6)</f>
        <v>0</v>
      </c>
      <c r="AL8" s="0" t="n">
        <f aca="false">(SUM(BOQ!$E$2:$E$8)*(1+Inputs!$B$5)*(1+Inputs!$B$12))*(AL6-AK6)</f>
        <v>0</v>
      </c>
      <c r="AM8" s="0" t="n">
        <f aca="false">(SUM(BOQ!$E$2:$E$8)*(1+Inputs!$B$5)*(1+Inputs!$B$12))*(AM6-AL6)</f>
        <v>0</v>
      </c>
      <c r="AN8" s="0" t="n">
        <f aca="false">(SUM(BOQ!$E$2:$E$8)*(1+Inputs!$B$5)*(1+Inputs!$B$12))*(AN6-AM6)</f>
        <v>0</v>
      </c>
      <c r="AO8" s="0" t="n">
        <f aca="false">(SUM(BOQ!$E$2:$E$8)*(1+Inputs!$B$5)*(1+Inputs!$B$12))*(AO6-AN6)</f>
        <v>0</v>
      </c>
      <c r="AP8" s="0" t="n">
        <f aca="false">(SUM(BOQ!$E$2:$E$8)*(1+Inputs!$B$5)*(1+Inputs!$B$12))*(AP6-AO6)</f>
        <v>0</v>
      </c>
      <c r="AQ8" s="0" t="n">
        <f aca="false">(SUM(BOQ!$E$2:$E$8)*(1+Inputs!$B$5)*(1+Inputs!$B$12))*(AQ6-AP6)</f>
        <v>0</v>
      </c>
      <c r="AR8" s="0" t="n">
        <f aca="false">(SUM(BOQ!$E$2:$E$8)*(1+Inputs!$B$5)*(1+Inputs!$B$12))*(AR6-AQ6)</f>
        <v>0</v>
      </c>
      <c r="AS8" s="0" t="n">
        <f aca="false">(SUM(BOQ!$E$2:$E$8)*(1+Inputs!$B$5)*(1+Inputs!$B$12))*(AS6-AR6)</f>
        <v>0</v>
      </c>
      <c r="AT8" s="0" t="n">
        <f aca="false">(SUM(BOQ!$E$2:$E$8)*(1+Inputs!$B$5)*(1+Inputs!$B$12))*(AT6-AS6)</f>
        <v>0</v>
      </c>
    </row>
    <row r="9" customFormat="false" ht="15" hidden="false" customHeight="false" outlineLevel="0" collapsed="false">
      <c r="A9" s="0" t="s">
        <v>37</v>
      </c>
      <c r="B9" s="0" t="n">
        <f aca="false">B8*Inputs!$B$14</f>
        <v>0</v>
      </c>
      <c r="C9" s="0" t="n">
        <f aca="false">C8*Inputs!$B$14</f>
        <v>535890.845454546</v>
      </c>
      <c r="D9" s="0" t="n">
        <f aca="false">D8*Inputs!$B$14</f>
        <v>535890.845454546</v>
      </c>
      <c r="E9" s="0" t="n">
        <f aca="false">E8*Inputs!$B$14</f>
        <v>964603.521818182</v>
      </c>
      <c r="F9" s="0" t="n">
        <f aca="false">F8*Inputs!$B$14</f>
        <v>1071781.69090909</v>
      </c>
      <c r="G9" s="0" t="n">
        <f aca="false">G8*Inputs!$B$14</f>
        <v>1393316.19818182</v>
      </c>
      <c r="H9" s="0" t="n">
        <f aca="false">H8*Inputs!$B$14</f>
        <v>1607672.53636364</v>
      </c>
      <c r="I9" s="0" t="n">
        <f aca="false">I8*Inputs!$B$14</f>
        <v>1822028.87454545</v>
      </c>
      <c r="J9" s="0" t="n">
        <f aca="false">J8*Inputs!$B$14</f>
        <v>2143563.38181819</v>
      </c>
      <c r="K9" s="0" t="n">
        <f aca="false">K8*Inputs!$B$14</f>
        <v>2215015.49454545</v>
      </c>
      <c r="L9" s="0" t="n">
        <f aca="false">L8*Inputs!$B$14</f>
        <v>2500823.94545455</v>
      </c>
      <c r="M9" s="0" t="n">
        <f aca="false">M8*Inputs!$B$14</f>
        <v>2500823.94545455</v>
      </c>
      <c r="N9" s="0" t="n">
        <f aca="false">N8*Inputs!$B$14</f>
        <v>2500823.94545454</v>
      </c>
      <c r="O9" s="0" t="n">
        <f aca="false">O8*Inputs!$B$14</f>
        <v>2500823.94545455</v>
      </c>
      <c r="P9" s="0" t="n">
        <f aca="false">P8*Inputs!$B$14</f>
        <v>2357919.72</v>
      </c>
      <c r="Q9" s="0" t="n">
        <f aca="false">Q8*Inputs!$B$14</f>
        <v>2322193.66363636</v>
      </c>
      <c r="R9" s="0" t="n">
        <f aca="false">R8*Inputs!$B$14</f>
        <v>2215015.49454546</v>
      </c>
      <c r="S9" s="0" t="n">
        <f aca="false">S8*Inputs!$B$14</f>
        <v>2143563.38181817</v>
      </c>
      <c r="T9" s="0" t="n">
        <f aca="false">T8*Inputs!$B$14</f>
        <v>2000659.15636364</v>
      </c>
      <c r="U9" s="0" t="n">
        <f aca="false">U8*Inputs!$B$14</f>
        <v>1786302.81818182</v>
      </c>
      <c r="V9" s="0" t="n">
        <f aca="false">V8*Inputs!$B$14</f>
        <v>1679124.6490909</v>
      </c>
      <c r="W9" s="0" t="n">
        <f aca="false">W8*Inputs!$B$14</f>
        <v>1250411.97272728</v>
      </c>
      <c r="X9" s="0" t="n">
        <f aca="false">X8*Inputs!$B$14</f>
        <v>1250411.97272727</v>
      </c>
      <c r="Y9" s="0" t="n">
        <f aca="false">Y8*Inputs!$B$14</f>
        <v>0</v>
      </c>
      <c r="Z9" s="0" t="n">
        <f aca="false">Z8*Inputs!$B$14</f>
        <v>0</v>
      </c>
      <c r="AA9" s="0" t="n">
        <f aca="false">AA8*Inputs!$B$14</f>
        <v>0</v>
      </c>
      <c r="AB9" s="0" t="n">
        <f aca="false">AB8*Inputs!$B$14</f>
        <v>0</v>
      </c>
      <c r="AC9" s="0" t="n">
        <f aca="false">AC8*Inputs!$B$14</f>
        <v>0</v>
      </c>
      <c r="AD9" s="0" t="n">
        <f aca="false">AD8*Inputs!$B$14</f>
        <v>0</v>
      </c>
      <c r="AE9" s="0" t="n">
        <f aca="false">AE8*Inputs!$B$14</f>
        <v>0</v>
      </c>
      <c r="AF9" s="0" t="n">
        <f aca="false">AF8*Inputs!$B$14</f>
        <v>0</v>
      </c>
      <c r="AG9" s="0" t="n">
        <f aca="false">AG8*Inputs!$B$14</f>
        <v>0</v>
      </c>
      <c r="AH9" s="0" t="n">
        <f aca="false">AH8*Inputs!$B$14</f>
        <v>0</v>
      </c>
      <c r="AI9" s="0" t="n">
        <f aca="false">AI8*Inputs!$B$14</f>
        <v>0</v>
      </c>
      <c r="AJ9" s="0" t="n">
        <f aca="false">AJ8*Inputs!$B$14</f>
        <v>0</v>
      </c>
      <c r="AK9" s="0" t="n">
        <f aca="false">AK8*Inputs!$B$14</f>
        <v>0</v>
      </c>
      <c r="AL9" s="0" t="n">
        <f aca="false">AL8*Inputs!$B$14</f>
        <v>0</v>
      </c>
      <c r="AM9" s="0" t="n">
        <f aca="false">AM8*Inputs!$B$14</f>
        <v>0</v>
      </c>
      <c r="AN9" s="0" t="n">
        <f aca="false">AN8*Inputs!$B$14</f>
        <v>0</v>
      </c>
      <c r="AO9" s="0" t="n">
        <f aca="false">AO8*Inputs!$B$14</f>
        <v>0</v>
      </c>
      <c r="AP9" s="0" t="n">
        <f aca="false">AP8*Inputs!$B$14</f>
        <v>0</v>
      </c>
      <c r="AQ9" s="0" t="n">
        <f aca="false">AQ8*Inputs!$B$14</f>
        <v>0</v>
      </c>
      <c r="AR9" s="0" t="n">
        <f aca="false">AR8*Inputs!$B$14</f>
        <v>0</v>
      </c>
      <c r="AS9" s="0" t="n">
        <f aca="false">AS8*Inputs!$B$14</f>
        <v>0</v>
      </c>
      <c r="AT9" s="0" t="n">
        <f aca="false">AT8*Inputs!$B$14</f>
        <v>0</v>
      </c>
    </row>
    <row r="10" customFormat="false" ht="15" hidden="false" customHeight="false" outlineLevel="0" collapsed="false">
      <c r="A10" s="0" t="s">
        <v>38</v>
      </c>
      <c r="B10" s="0" t="n">
        <f aca="false">B8*Inputs!$B$6</f>
        <v>0</v>
      </c>
      <c r="C10" s="0" t="n">
        <f aca="false">C8*Inputs!$B$6</f>
        <v>535890.845454546</v>
      </c>
      <c r="D10" s="0" t="n">
        <f aca="false">D8*Inputs!$B$6</f>
        <v>535890.845454546</v>
      </c>
      <c r="E10" s="0" t="n">
        <f aca="false">E8*Inputs!$B$6</f>
        <v>964603.521818182</v>
      </c>
      <c r="F10" s="0" t="n">
        <f aca="false">F8*Inputs!$B$6</f>
        <v>1071781.69090909</v>
      </c>
      <c r="G10" s="0" t="n">
        <f aca="false">G8*Inputs!$B$6</f>
        <v>1393316.19818182</v>
      </c>
      <c r="H10" s="0" t="n">
        <f aca="false">H8*Inputs!$B$6</f>
        <v>1607672.53636364</v>
      </c>
      <c r="I10" s="0" t="n">
        <f aca="false">I8*Inputs!$B$6</f>
        <v>1822028.87454545</v>
      </c>
      <c r="J10" s="0" t="n">
        <f aca="false">J8*Inputs!$B$6</f>
        <v>2143563.38181819</v>
      </c>
      <c r="K10" s="0" t="n">
        <f aca="false">K8*Inputs!$B$6</f>
        <v>2215015.49454545</v>
      </c>
      <c r="L10" s="0" t="n">
        <f aca="false">L8*Inputs!$B$6</f>
        <v>2500823.94545455</v>
      </c>
      <c r="M10" s="0" t="n">
        <f aca="false">M8*Inputs!$B$6</f>
        <v>2500823.94545455</v>
      </c>
      <c r="N10" s="0" t="n">
        <f aca="false">N8*Inputs!$B$6</f>
        <v>2500823.94545454</v>
      </c>
      <c r="O10" s="0" t="n">
        <f aca="false">O8*Inputs!$B$6</f>
        <v>2500823.94545455</v>
      </c>
      <c r="P10" s="0" t="n">
        <f aca="false">P8*Inputs!$B$6</f>
        <v>2357919.72</v>
      </c>
      <c r="Q10" s="0" t="n">
        <f aca="false">Q8*Inputs!$B$6</f>
        <v>2322193.66363636</v>
      </c>
      <c r="R10" s="0" t="n">
        <f aca="false">R8*Inputs!$B$6</f>
        <v>2215015.49454546</v>
      </c>
      <c r="S10" s="0" t="n">
        <f aca="false">S8*Inputs!$B$6</f>
        <v>2143563.38181817</v>
      </c>
      <c r="T10" s="0" t="n">
        <f aca="false">T8*Inputs!$B$6</f>
        <v>2000659.15636364</v>
      </c>
      <c r="U10" s="0" t="n">
        <f aca="false">U8*Inputs!$B$6</f>
        <v>1786302.81818182</v>
      </c>
      <c r="V10" s="0" t="n">
        <f aca="false">V8*Inputs!$B$6</f>
        <v>1679124.6490909</v>
      </c>
      <c r="W10" s="0" t="n">
        <f aca="false">W8*Inputs!$B$6</f>
        <v>1250411.97272728</v>
      </c>
      <c r="X10" s="0" t="n">
        <f aca="false">X8*Inputs!$B$6</f>
        <v>1250411.97272727</v>
      </c>
      <c r="Y10" s="0" t="n">
        <f aca="false">Y8*Inputs!$B$6</f>
        <v>0</v>
      </c>
      <c r="Z10" s="0" t="n">
        <f aca="false">Z8*Inputs!$B$6</f>
        <v>0</v>
      </c>
      <c r="AA10" s="0" t="n">
        <f aca="false">AA8*Inputs!$B$6</f>
        <v>0</v>
      </c>
      <c r="AB10" s="0" t="n">
        <f aca="false">AB8*Inputs!$B$6</f>
        <v>0</v>
      </c>
      <c r="AC10" s="0" t="n">
        <f aca="false">AC8*Inputs!$B$6</f>
        <v>0</v>
      </c>
      <c r="AD10" s="0" t="n">
        <f aca="false">AD8*Inputs!$B$6</f>
        <v>0</v>
      </c>
      <c r="AE10" s="0" t="n">
        <f aca="false">AE8*Inputs!$B$6</f>
        <v>0</v>
      </c>
      <c r="AF10" s="0" t="n">
        <f aca="false">AF8*Inputs!$B$6</f>
        <v>0</v>
      </c>
      <c r="AG10" s="0" t="n">
        <f aca="false">AG8*Inputs!$B$6</f>
        <v>0</v>
      </c>
      <c r="AH10" s="0" t="n">
        <f aca="false">AH8*Inputs!$B$6</f>
        <v>0</v>
      </c>
      <c r="AI10" s="0" t="n">
        <f aca="false">AI8*Inputs!$B$6</f>
        <v>0</v>
      </c>
      <c r="AJ10" s="0" t="n">
        <f aca="false">AJ8*Inputs!$B$6</f>
        <v>0</v>
      </c>
      <c r="AK10" s="0" t="n">
        <f aca="false">AK8*Inputs!$B$6</f>
        <v>0</v>
      </c>
      <c r="AL10" s="0" t="n">
        <f aca="false">AL8*Inputs!$B$6</f>
        <v>0</v>
      </c>
      <c r="AM10" s="0" t="n">
        <f aca="false">AM8*Inputs!$B$6</f>
        <v>0</v>
      </c>
      <c r="AN10" s="0" t="n">
        <f aca="false">AN8*Inputs!$B$6</f>
        <v>0</v>
      </c>
      <c r="AO10" s="0" t="n">
        <f aca="false">AO8*Inputs!$B$6</f>
        <v>0</v>
      </c>
      <c r="AP10" s="0" t="n">
        <f aca="false">AP8*Inputs!$B$6</f>
        <v>0</v>
      </c>
      <c r="AQ10" s="0" t="n">
        <f aca="false">AQ8*Inputs!$B$6</f>
        <v>0</v>
      </c>
      <c r="AR10" s="0" t="n">
        <f aca="false">AR8*Inputs!$B$6</f>
        <v>0</v>
      </c>
      <c r="AS10" s="0" t="n">
        <f aca="false">AS8*Inputs!$B$6</f>
        <v>0</v>
      </c>
      <c r="AT10" s="0" t="n">
        <f aca="false">AT8*Inputs!$B$6</f>
        <v>0</v>
      </c>
    </row>
    <row r="11" customFormat="false" ht="15" hidden="false" customHeight="false" outlineLevel="0" collapsed="false">
      <c r="A11" s="0" t="s">
        <v>39</v>
      </c>
      <c r="B11" s="0" t="n">
        <f aca="false">B8-B9-B10</f>
        <v>0</v>
      </c>
      <c r="C11" s="0" t="n">
        <f aca="false">C8-C9-C10</f>
        <v>4287126.76363637</v>
      </c>
      <c r="D11" s="0" t="n">
        <f aca="false">D8-D9-D10</f>
        <v>4287126.76363637</v>
      </c>
      <c r="E11" s="0" t="n">
        <f aca="false">E8-E9-E10</f>
        <v>7716828.17454545</v>
      </c>
      <c r="F11" s="0" t="n">
        <f aca="false">F8-F9-F10</f>
        <v>8574253.52727274</v>
      </c>
      <c r="G11" s="0" t="n">
        <f aca="false">G8-G9-G10</f>
        <v>11146529.5854545</v>
      </c>
      <c r="H11" s="0" t="n">
        <f aca="false">H8-H9-H10</f>
        <v>12861380.2909091</v>
      </c>
      <c r="I11" s="0" t="n">
        <f aca="false">I8-I9-I10</f>
        <v>14576230.9963636</v>
      </c>
      <c r="J11" s="0" t="n">
        <f aca="false">J8-J9-J10</f>
        <v>17148507.0545455</v>
      </c>
      <c r="K11" s="0" t="n">
        <f aca="false">K8-K9-K10</f>
        <v>17720123.9563636</v>
      </c>
      <c r="L11" s="0" t="n">
        <f aca="false">L8-L9-L10</f>
        <v>20006591.5636364</v>
      </c>
      <c r="M11" s="0" t="n">
        <f aca="false">M8-M9-M10</f>
        <v>20006591.5636364</v>
      </c>
      <c r="N11" s="0" t="n">
        <f aca="false">N8-N9-N10</f>
        <v>20006591.5636363</v>
      </c>
      <c r="O11" s="0" t="n">
        <f aca="false">O8-O9-O10</f>
        <v>20006591.5636364</v>
      </c>
      <c r="P11" s="0" t="n">
        <f aca="false">P8-P9-P10</f>
        <v>18863357.76</v>
      </c>
      <c r="Q11" s="0" t="n">
        <f aca="false">Q8-Q9-Q10</f>
        <v>18577549.3090909</v>
      </c>
      <c r="R11" s="0" t="n">
        <f aca="false">R8-R9-R10</f>
        <v>17720123.9563637</v>
      </c>
      <c r="S11" s="0" t="n">
        <f aca="false">S8-S9-S10</f>
        <v>17148507.0545454</v>
      </c>
      <c r="T11" s="0" t="n">
        <f aca="false">T8-T9-T10</f>
        <v>16005273.2509091</v>
      </c>
      <c r="U11" s="0" t="n">
        <f aca="false">U8-U9-U10</f>
        <v>14290422.5454546</v>
      </c>
      <c r="V11" s="0" t="n">
        <f aca="false">V8-V9-V10</f>
        <v>13432997.1927272</v>
      </c>
      <c r="W11" s="0" t="n">
        <f aca="false">W8-W9-W10</f>
        <v>10003295.7818182</v>
      </c>
      <c r="X11" s="0" t="n">
        <f aca="false">X8-X9-X10</f>
        <v>10003295.7818182</v>
      </c>
      <c r="Y11" s="0" t="n">
        <f aca="false">Y8-Y9-Y10</f>
        <v>0</v>
      </c>
      <c r="Z11" s="0" t="n">
        <f aca="false">Z8-Z9-Z10</f>
        <v>0</v>
      </c>
      <c r="AA11" s="0" t="n">
        <f aca="false">AA8-AA9-AA10</f>
        <v>0</v>
      </c>
      <c r="AB11" s="0" t="n">
        <f aca="false">AB8-AB9-AB10</f>
        <v>0</v>
      </c>
      <c r="AC11" s="0" t="n">
        <f aca="false">AC8-AC9-AC10</f>
        <v>0</v>
      </c>
      <c r="AD11" s="0" t="n">
        <f aca="false">AD8-AD9-AD10</f>
        <v>0</v>
      </c>
      <c r="AE11" s="0" t="n">
        <f aca="false">AE8-AE9-AE10</f>
        <v>0</v>
      </c>
      <c r="AF11" s="0" t="n">
        <f aca="false">AF8-AF9-AF10</f>
        <v>0</v>
      </c>
      <c r="AG11" s="0" t="n">
        <f aca="false">AG8-AG9-AG10</f>
        <v>0</v>
      </c>
      <c r="AH11" s="0" t="n">
        <f aca="false">AH8-AH9-AH10</f>
        <v>0</v>
      </c>
      <c r="AI11" s="0" t="n">
        <f aca="false">AI8-AI9-AI10</f>
        <v>0</v>
      </c>
      <c r="AJ11" s="0" t="n">
        <f aca="false">AJ8-AJ9-AJ10</f>
        <v>0</v>
      </c>
      <c r="AK11" s="0" t="n">
        <f aca="false">AK8-AK9-AK10</f>
        <v>0</v>
      </c>
      <c r="AL11" s="0" t="n">
        <f aca="false">AL8-AL9-AL10</f>
        <v>0</v>
      </c>
      <c r="AM11" s="0" t="n">
        <f aca="false">AM8-AM9-AM10</f>
        <v>0</v>
      </c>
      <c r="AN11" s="0" t="n">
        <f aca="false">AN8-AN9-AN10</f>
        <v>0</v>
      </c>
      <c r="AO11" s="0" t="n">
        <f aca="false">AO8-AO9-AO10</f>
        <v>0</v>
      </c>
      <c r="AP11" s="0" t="n">
        <f aca="false">AP8-AP9-AP10</f>
        <v>0</v>
      </c>
      <c r="AQ11" s="0" t="n">
        <f aca="false">AQ8-AQ9-AQ10</f>
        <v>0</v>
      </c>
      <c r="AR11" s="0" t="n">
        <f aca="false">AR8-AR9-AR10</f>
        <v>0</v>
      </c>
      <c r="AS11" s="0" t="n">
        <f aca="false">AS8-AS9-AS10</f>
        <v>0</v>
      </c>
      <c r="AT11" s="0" t="n">
        <f aca="false">AT8-AT9-AT10</f>
        <v>0</v>
      </c>
    </row>
    <row r="12" customFormat="false" ht="15" hidden="false" customHeight="false" outlineLevel="0" collapsed="false">
      <c r="A12" s="0" t="s">
        <v>40</v>
      </c>
      <c r="B12" s="0" t="n">
        <f aca="false">0</f>
        <v>0</v>
      </c>
      <c r="C12" s="0" t="n">
        <f aca="true">IF(C$3&gt;ROUNDUP(Inputs!$B$8/30,0),OFFSET(C11,0,-ROUNDUP(Inputs!$B$8/30,0)),0)</f>
        <v>0</v>
      </c>
      <c r="D12" s="0" t="n">
        <f aca="true">IF(D$3&gt;ROUNDUP(Inputs!$B$8/30,0),OFFSET(D11,0,-ROUNDUP(Inputs!$B$8/30,0)),0)</f>
        <v>0</v>
      </c>
      <c r="E12" s="0" t="n">
        <f aca="true">IF(E$3&gt;ROUNDUP(Inputs!$B$8/30,0),OFFSET(E11,0,-ROUNDUP(Inputs!$B$8/30,0)),0)</f>
        <v>4287126.76363637</v>
      </c>
      <c r="F12" s="0" t="n">
        <f aca="true">IF(F$3&gt;ROUNDUP(Inputs!$B$8/30,0),OFFSET(F11,0,-ROUNDUP(Inputs!$B$8/30,0)),0)</f>
        <v>4287126.76363637</v>
      </c>
      <c r="G12" s="0" t="n">
        <f aca="true">IF(G$3&gt;ROUNDUP(Inputs!$B$8/30,0),OFFSET(G11,0,-ROUNDUP(Inputs!$B$8/30,0)),0)</f>
        <v>7716828.17454545</v>
      </c>
      <c r="H12" s="0" t="n">
        <f aca="true">IF(H$3&gt;ROUNDUP(Inputs!$B$8/30,0),OFFSET(H11,0,-ROUNDUP(Inputs!$B$8/30,0)),0)</f>
        <v>8574253.52727274</v>
      </c>
      <c r="I12" s="0" t="n">
        <f aca="true">IF(I$3&gt;ROUNDUP(Inputs!$B$8/30,0),OFFSET(I11,0,-ROUNDUP(Inputs!$B$8/30,0)),0)</f>
        <v>11146529.5854545</v>
      </c>
      <c r="J12" s="0" t="n">
        <f aca="true">IF(J$3&gt;ROUNDUP(Inputs!$B$8/30,0),OFFSET(J11,0,-ROUNDUP(Inputs!$B$8/30,0)),0)</f>
        <v>12861380.2909091</v>
      </c>
      <c r="K12" s="0" t="n">
        <f aca="true">IF(K$3&gt;ROUNDUP(Inputs!$B$8/30,0),OFFSET(K11,0,-ROUNDUP(Inputs!$B$8/30,0)),0)</f>
        <v>14576230.9963636</v>
      </c>
      <c r="L12" s="0" t="n">
        <f aca="true">IF(L$3&gt;ROUNDUP(Inputs!$B$8/30,0),OFFSET(L11,0,-ROUNDUP(Inputs!$B$8/30,0)),0)</f>
        <v>17148507.0545455</v>
      </c>
      <c r="M12" s="0" t="n">
        <f aca="true">IF(M$3&gt;ROUNDUP(Inputs!$B$8/30,0),OFFSET(M11,0,-ROUNDUP(Inputs!$B$8/30,0)),0)</f>
        <v>17720123.9563636</v>
      </c>
      <c r="N12" s="0" t="n">
        <f aca="true">IF(N$3&gt;ROUNDUP(Inputs!$B$8/30,0),OFFSET(N11,0,-ROUNDUP(Inputs!$B$8/30,0)),0)</f>
        <v>20006591.5636364</v>
      </c>
      <c r="O12" s="0" t="n">
        <f aca="true">IF(O$3&gt;ROUNDUP(Inputs!$B$8/30,0),OFFSET(O11,0,-ROUNDUP(Inputs!$B$8/30,0)),0)</f>
        <v>20006591.5636364</v>
      </c>
      <c r="P12" s="0" t="n">
        <f aca="true">IF(P$3&gt;ROUNDUP(Inputs!$B$8/30,0),OFFSET(P11,0,-ROUNDUP(Inputs!$B$8/30,0)),0)</f>
        <v>20006591.5636363</v>
      </c>
      <c r="Q12" s="0" t="n">
        <f aca="true">IF(Q$3&gt;ROUNDUP(Inputs!$B$8/30,0),OFFSET(Q11,0,-ROUNDUP(Inputs!$B$8/30,0)),0)</f>
        <v>20006591.5636364</v>
      </c>
      <c r="R12" s="0" t="n">
        <f aca="true">IF(R$3&gt;ROUNDUP(Inputs!$B$8/30,0),OFFSET(R11,0,-ROUNDUP(Inputs!$B$8/30,0)),0)</f>
        <v>18863357.76</v>
      </c>
      <c r="S12" s="0" t="n">
        <f aca="true">IF(S$3&gt;ROUNDUP(Inputs!$B$8/30,0),OFFSET(S11,0,-ROUNDUP(Inputs!$B$8/30,0)),0)</f>
        <v>18577549.3090909</v>
      </c>
      <c r="T12" s="0" t="n">
        <f aca="true">IF(T$3&gt;ROUNDUP(Inputs!$B$8/30,0),OFFSET(T11,0,-ROUNDUP(Inputs!$B$8/30,0)),0)</f>
        <v>17720123.9563637</v>
      </c>
      <c r="U12" s="0" t="n">
        <f aca="true">IF(U$3&gt;ROUNDUP(Inputs!$B$8/30,0),OFFSET(U11,0,-ROUNDUP(Inputs!$B$8/30,0)),0)</f>
        <v>17148507.0545454</v>
      </c>
      <c r="V12" s="0" t="n">
        <f aca="true">IF(V$3&gt;ROUNDUP(Inputs!$B$8/30,0),OFFSET(V11,0,-ROUNDUP(Inputs!$B$8/30,0)),0)</f>
        <v>16005273.2509091</v>
      </c>
      <c r="W12" s="0" t="n">
        <f aca="true">IF(W$3&gt;ROUNDUP(Inputs!$B$8/30,0),OFFSET(W11,0,-ROUNDUP(Inputs!$B$8/30,0)),0)</f>
        <v>14290422.5454546</v>
      </c>
      <c r="X12" s="0" t="n">
        <f aca="true">IF(X$3&gt;ROUNDUP(Inputs!$B$8/30,0),OFFSET(X11,0,-ROUNDUP(Inputs!$B$8/30,0)),0)</f>
        <v>13432997.1927272</v>
      </c>
      <c r="Y12" s="0" t="n">
        <f aca="true">IF(Y$3&gt;ROUNDUP(Inputs!$B$8/30,0),OFFSET(Y11,0,-ROUNDUP(Inputs!$B$8/30,0)),0)</f>
        <v>10003295.7818182</v>
      </c>
      <c r="Z12" s="0" t="n">
        <f aca="true">IF(Z$3&gt;ROUNDUP(Inputs!$B$8/30,0),OFFSET(Z11,0,-ROUNDUP(Inputs!$B$8/30,0)),0)</f>
        <v>10003295.7818182</v>
      </c>
      <c r="AA12" s="0" t="n">
        <f aca="true">IF(AA$3&gt;ROUNDUP(Inputs!$B$8/30,0),OFFSET(AA11,0,-ROUNDUP(Inputs!$B$8/30,0)),0)</f>
        <v>0</v>
      </c>
      <c r="AB12" s="0" t="n">
        <f aca="true">IF(AB$3&gt;ROUNDUP(Inputs!$B$8/30,0),OFFSET(AB11,0,-ROUNDUP(Inputs!$B$8/30,0)),0)</f>
        <v>0</v>
      </c>
      <c r="AC12" s="0" t="n">
        <f aca="true">IF(AC$3&gt;ROUNDUP(Inputs!$B$8/30,0),OFFSET(AC11,0,-ROUNDUP(Inputs!$B$8/30,0)),0)</f>
        <v>0</v>
      </c>
      <c r="AD12" s="0" t="n">
        <f aca="true">IF(AD$3&gt;ROUNDUP(Inputs!$B$8/30,0),OFFSET(AD11,0,-ROUNDUP(Inputs!$B$8/30,0)),0)</f>
        <v>0</v>
      </c>
      <c r="AE12" s="0" t="n">
        <f aca="true">IF(AE$3&gt;ROUNDUP(Inputs!$B$8/30,0),OFFSET(AE11,0,-ROUNDUP(Inputs!$B$8/30,0)),0)</f>
        <v>0</v>
      </c>
      <c r="AF12" s="0" t="n">
        <f aca="true">IF(AF$3&gt;ROUNDUP(Inputs!$B$8/30,0),OFFSET(AF11,0,-ROUNDUP(Inputs!$B$8/30,0)),0)</f>
        <v>0</v>
      </c>
      <c r="AG12" s="0" t="n">
        <f aca="true">IF(AG$3&gt;ROUNDUP(Inputs!$B$8/30,0),OFFSET(AG11,0,-ROUNDUP(Inputs!$B$8/30,0)),0)</f>
        <v>0</v>
      </c>
      <c r="AH12" s="0" t="n">
        <f aca="true">IF(AH$3&gt;ROUNDUP(Inputs!$B$8/30,0),OFFSET(AH11,0,-ROUNDUP(Inputs!$B$8/30,0)),0)</f>
        <v>0</v>
      </c>
      <c r="AI12" s="0" t="n">
        <f aca="true">IF(AI$3&gt;ROUNDUP(Inputs!$B$8/30,0),OFFSET(AI11,0,-ROUNDUP(Inputs!$B$8/30,0)),0)</f>
        <v>0</v>
      </c>
      <c r="AJ12" s="0" t="n">
        <f aca="true">IF(AJ$3&gt;ROUNDUP(Inputs!$B$8/30,0),OFFSET(AJ11,0,-ROUNDUP(Inputs!$B$8/30,0)),0)</f>
        <v>0</v>
      </c>
      <c r="AK12" s="0" t="n">
        <f aca="true">IF(AK$3&gt;ROUNDUP(Inputs!$B$8/30,0),OFFSET(AK11,0,-ROUNDUP(Inputs!$B$8/30,0)),0)</f>
        <v>0</v>
      </c>
      <c r="AL12" s="0" t="n">
        <f aca="true">IF(AL$3&gt;ROUNDUP(Inputs!$B$8/30,0),OFFSET(AL11,0,-ROUNDUP(Inputs!$B$8/30,0)),0)</f>
        <v>0</v>
      </c>
      <c r="AM12" s="0" t="n">
        <f aca="true">IF(AM$3&gt;ROUNDUP(Inputs!$B$8/30,0),OFFSET(AM11,0,-ROUNDUP(Inputs!$B$8/30,0)),0)</f>
        <v>0</v>
      </c>
      <c r="AN12" s="0" t="n">
        <f aca="true">IF(AN$3&gt;ROUNDUP(Inputs!$B$8/30,0),OFFSET(AN11,0,-ROUNDUP(Inputs!$B$8/30,0)),0)</f>
        <v>0</v>
      </c>
      <c r="AO12" s="0" t="n">
        <f aca="true">IF(AO$3&gt;ROUNDUP(Inputs!$B$8/30,0),OFFSET(AO11,0,-ROUNDUP(Inputs!$B$8/30,0)),0)</f>
        <v>0</v>
      </c>
      <c r="AP12" s="0" t="n">
        <f aca="true">IF(AP$3&gt;ROUNDUP(Inputs!$B$8/30,0),OFFSET(AP11,0,-ROUNDUP(Inputs!$B$8/30,0)),0)</f>
        <v>0</v>
      </c>
      <c r="AQ12" s="0" t="n">
        <f aca="true">IF(AQ$3&gt;ROUNDUP(Inputs!$B$8/30,0),OFFSET(AQ11,0,-ROUNDUP(Inputs!$B$8/30,0)),0)</f>
        <v>0</v>
      </c>
      <c r="AR12" s="0" t="n">
        <f aca="true">IF(AR$3&gt;ROUNDUP(Inputs!$B$8/30,0),OFFSET(AR11,0,-ROUNDUP(Inputs!$B$8/30,0)),0)</f>
        <v>0</v>
      </c>
      <c r="AS12" s="0" t="n">
        <f aca="true">IF(AS$3&gt;ROUNDUP(Inputs!$B$8/30,0),OFFSET(AS11,0,-ROUNDUP(Inputs!$B$8/30,0)),0)</f>
        <v>0</v>
      </c>
      <c r="AT12" s="0" t="n">
        <f aca="true">IF(AT$3&gt;ROUNDUP(Inputs!$B$8/30,0),OFFSET(AT11,0,-ROUNDUP(Inputs!$B$8/30,0)),0)</f>
        <v>0</v>
      </c>
    </row>
    <row r="13" customFormat="false" ht="15" hidden="false" customHeight="false" outlineLevel="0" collapsed="false">
      <c r="A13" s="0" t="s">
        <v>41</v>
      </c>
      <c r="B13" s="0" t="n">
        <f aca="false">IF(B$3=(Inputs!$B$4+Inputs!$B$11),SUM($B$10:B10)/2,0)+IF(B$3=(Inputs!$B$4+Inputs!$B$11)+Inputs!$B$7,SUM($B$10:$AT$10)/2,0)</f>
        <v>0</v>
      </c>
      <c r="C13" s="0" t="n">
        <f aca="false">IF(C$3=(Inputs!$B$4+Inputs!$B$11),SUM($B$10:C10)/2,0)+IF(C$3=(Inputs!$B$4+Inputs!$B$11)+Inputs!$B$7,SUM($B$10:$AT$10)/2,0)</f>
        <v>0</v>
      </c>
      <c r="D13" s="0" t="n">
        <f aca="false">IF(D$3=(Inputs!$B$4+Inputs!$B$11),SUM($B$10:D10)/2,0)+IF(D$3=(Inputs!$B$4+Inputs!$B$11)+Inputs!$B$7,SUM($B$10:$AT$10)/2,0)</f>
        <v>0</v>
      </c>
      <c r="E13" s="0" t="n">
        <f aca="false">IF(E$3=(Inputs!$B$4+Inputs!$B$11),SUM($B$10:E10)/2,0)+IF(E$3=(Inputs!$B$4+Inputs!$B$11)+Inputs!$B$7,SUM($B$10:$AT$10)/2,0)</f>
        <v>0</v>
      </c>
      <c r="F13" s="0" t="n">
        <f aca="false">IF(F$3=(Inputs!$B$4+Inputs!$B$11),SUM($B$10:F10)/2,0)+IF(F$3=(Inputs!$B$4+Inputs!$B$11)+Inputs!$B$7,SUM($B$10:$AT$10)/2,0)</f>
        <v>0</v>
      </c>
      <c r="G13" s="0" t="n">
        <f aca="false">IF(G$3=(Inputs!$B$4+Inputs!$B$11),SUM($B$10:G10)/2,0)+IF(G$3=(Inputs!$B$4+Inputs!$B$11)+Inputs!$B$7,SUM($B$10:$AT$10)/2,0)</f>
        <v>0</v>
      </c>
      <c r="H13" s="0" t="n">
        <f aca="false">IF(H$3=(Inputs!$B$4+Inputs!$B$11),SUM($B$10:H10)/2,0)+IF(H$3=(Inputs!$B$4+Inputs!$B$11)+Inputs!$B$7,SUM($B$10:$AT$10)/2,0)</f>
        <v>0</v>
      </c>
      <c r="I13" s="0" t="n">
        <f aca="false">IF(I$3=(Inputs!$B$4+Inputs!$B$11),SUM($B$10:I10)/2,0)+IF(I$3=(Inputs!$B$4+Inputs!$B$11)+Inputs!$B$7,SUM($B$10:$AT$10)/2,0)</f>
        <v>0</v>
      </c>
      <c r="J13" s="0" t="n">
        <f aca="false">IF(J$3=(Inputs!$B$4+Inputs!$B$11),SUM($B$10:J10)/2,0)+IF(J$3=(Inputs!$B$4+Inputs!$B$11)+Inputs!$B$7,SUM($B$10:$AT$10)/2,0)</f>
        <v>0</v>
      </c>
      <c r="K13" s="0" t="n">
        <f aca="false">IF(K$3=(Inputs!$B$4+Inputs!$B$11),SUM($B$10:K10)/2,0)+IF(K$3=(Inputs!$B$4+Inputs!$B$11)+Inputs!$B$7,SUM($B$10:$AT$10)/2,0)</f>
        <v>0</v>
      </c>
      <c r="L13" s="0" t="n">
        <f aca="false">IF(L$3=(Inputs!$B$4+Inputs!$B$11),SUM($B$10:L10)/2,0)+IF(L$3=(Inputs!$B$4+Inputs!$B$11)+Inputs!$B$7,SUM($B$10:$AT$10)/2,0)</f>
        <v>0</v>
      </c>
      <c r="M13" s="0" t="n">
        <f aca="false">IF(M$3=(Inputs!$B$4+Inputs!$B$11),SUM($B$10:M10)/2,0)+IF(M$3=(Inputs!$B$4+Inputs!$B$11)+Inputs!$B$7,SUM($B$10:$AT$10)/2,0)</f>
        <v>0</v>
      </c>
      <c r="N13" s="0" t="n">
        <f aca="false">IF(N$3=(Inputs!$B$4+Inputs!$B$11),SUM($B$10:N10)/2,0)+IF(N$3=(Inputs!$B$4+Inputs!$B$11)+Inputs!$B$7,SUM($B$10:$AT$10)/2,0)</f>
        <v>0</v>
      </c>
      <c r="O13" s="0" t="n">
        <f aca="false">IF(O$3=(Inputs!$B$4+Inputs!$B$11),SUM($B$10:O10)/2,0)+IF(O$3=(Inputs!$B$4+Inputs!$B$11)+Inputs!$B$7,SUM($B$10:$AT$10)/2,0)</f>
        <v>0</v>
      </c>
      <c r="P13" s="0" t="n">
        <f aca="false">IF(P$3=(Inputs!$B$4+Inputs!$B$11),SUM($B$10:P10)/2,0)+IF(P$3=(Inputs!$B$4+Inputs!$B$11)+Inputs!$B$7,SUM($B$10:$AT$10)/2,0)</f>
        <v>0</v>
      </c>
      <c r="Q13" s="0" t="n">
        <f aca="false">IF(Q$3=(Inputs!$B$4+Inputs!$B$11),SUM($B$10:Q10)/2,0)+IF(Q$3=(Inputs!$B$4+Inputs!$B$11)+Inputs!$B$7,SUM($B$10:$AT$10)/2,0)</f>
        <v>0</v>
      </c>
      <c r="R13" s="0" t="n">
        <f aca="false">IF(R$3=(Inputs!$B$4+Inputs!$B$11),SUM($B$10:R10)/2,0)+IF(R$3=(Inputs!$B$4+Inputs!$B$11)+Inputs!$B$7,SUM($B$10:$AT$10)/2,0)</f>
        <v>0</v>
      </c>
      <c r="S13" s="0" t="n">
        <f aca="false">IF(S$3=(Inputs!$B$4+Inputs!$B$11),SUM($B$10:S10)/2,0)+IF(S$3=(Inputs!$B$4+Inputs!$B$11)+Inputs!$B$7,SUM($B$10:$AT$10)/2,0)</f>
        <v>0</v>
      </c>
      <c r="T13" s="0" t="n">
        <f aca="false">IF(T$3=(Inputs!$B$4+Inputs!$B$11),SUM($B$10:T10)/2,0)+IF(T$3=(Inputs!$B$4+Inputs!$B$11)+Inputs!$B$7,SUM($B$10:$AT$10)/2,0)</f>
        <v>0</v>
      </c>
      <c r="U13" s="0" t="n">
        <f aca="false">IF(U$3=(Inputs!$B$4+Inputs!$B$11),SUM($B$10:U10)/2,0)+IF(U$3=(Inputs!$B$4+Inputs!$B$11)+Inputs!$B$7,SUM($B$10:$AT$10)/2,0)</f>
        <v>0</v>
      </c>
      <c r="V13" s="0" t="n">
        <f aca="false">IF(V$3=(Inputs!$B$4+Inputs!$B$11),SUM($B$10:V10)/2,0)+IF(V$3=(Inputs!$B$4+Inputs!$B$11)+Inputs!$B$7,SUM($B$10:$AT$10)/2,0)</f>
        <v>0</v>
      </c>
      <c r="W13" s="0" t="n">
        <f aca="false">IF(W$3=(Inputs!$B$4+Inputs!$B$11),SUM($B$10:W10)/2,0)+IF(W$3=(Inputs!$B$4+Inputs!$B$11)+Inputs!$B$7,SUM($B$10:$AT$10)/2,0)</f>
        <v>0</v>
      </c>
      <c r="X13" s="0" t="n">
        <f aca="false">IF(X$3=(Inputs!$B$4+Inputs!$B$11),SUM($B$10:X10)/2,0)+IF(X$3=(Inputs!$B$4+Inputs!$B$11)+Inputs!$B$7,SUM($B$10:$AT$10)/2,0)</f>
        <v>19649331</v>
      </c>
      <c r="Y13" s="0" t="n">
        <f aca="false">IF(Y$3=(Inputs!$B$4+Inputs!$B$11),SUM($B$10:Y10)/2,0)+IF(Y$3=(Inputs!$B$4+Inputs!$B$11)+Inputs!$B$7,SUM($B$10:$AT$10)/2,0)</f>
        <v>0</v>
      </c>
      <c r="Z13" s="0" t="n">
        <f aca="false">IF(Z$3=(Inputs!$B$4+Inputs!$B$11),SUM($B$10:Z10)/2,0)+IF(Z$3=(Inputs!$B$4+Inputs!$B$11)+Inputs!$B$7,SUM($B$10:$AT$10)/2,0)</f>
        <v>0</v>
      </c>
      <c r="AA13" s="0" t="n">
        <f aca="false">IF(AA$3=(Inputs!$B$4+Inputs!$B$11),SUM($B$10:AA10)/2,0)+IF(AA$3=(Inputs!$B$4+Inputs!$B$11)+Inputs!$B$7,SUM($B$10:$AT$10)/2,0)</f>
        <v>0</v>
      </c>
      <c r="AB13" s="0" t="n">
        <f aca="false">IF(AB$3=(Inputs!$B$4+Inputs!$B$11),SUM($B$10:AB10)/2,0)+IF(AB$3=(Inputs!$B$4+Inputs!$B$11)+Inputs!$B$7,SUM($B$10:$AT$10)/2,0)</f>
        <v>0</v>
      </c>
      <c r="AC13" s="0" t="n">
        <f aca="false">IF(AC$3=(Inputs!$B$4+Inputs!$B$11),SUM($B$10:AC10)/2,0)+IF(AC$3=(Inputs!$B$4+Inputs!$B$11)+Inputs!$B$7,SUM($B$10:$AT$10)/2,0)</f>
        <v>0</v>
      </c>
      <c r="AD13" s="0" t="n">
        <f aca="false">IF(AD$3=(Inputs!$B$4+Inputs!$B$11),SUM($B$10:AD10)/2,0)+IF(AD$3=(Inputs!$B$4+Inputs!$B$11)+Inputs!$B$7,SUM($B$10:$AT$10)/2,0)</f>
        <v>0</v>
      </c>
      <c r="AE13" s="0" t="n">
        <f aca="false">IF(AE$3=(Inputs!$B$4+Inputs!$B$11),SUM($B$10:AE10)/2,0)+IF(AE$3=(Inputs!$B$4+Inputs!$B$11)+Inputs!$B$7,SUM($B$10:$AT$10)/2,0)</f>
        <v>0</v>
      </c>
      <c r="AF13" s="0" t="n">
        <f aca="false">IF(AF$3=(Inputs!$B$4+Inputs!$B$11),SUM($B$10:AF10)/2,0)+IF(AF$3=(Inputs!$B$4+Inputs!$B$11)+Inputs!$B$7,SUM($B$10:$AT$10)/2,0)</f>
        <v>0</v>
      </c>
      <c r="AG13" s="0" t="n">
        <f aca="false">IF(AG$3=(Inputs!$B$4+Inputs!$B$11),SUM($B$10:AG10)/2,0)+IF(AG$3=(Inputs!$B$4+Inputs!$B$11)+Inputs!$B$7,SUM($B$10:$AT$10)/2,0)</f>
        <v>0</v>
      </c>
      <c r="AH13" s="0" t="n">
        <f aca="false">IF(AH$3=(Inputs!$B$4+Inputs!$B$11),SUM($B$10:AH10)/2,0)+IF(AH$3=(Inputs!$B$4+Inputs!$B$11)+Inputs!$B$7,SUM($B$10:$AT$10)/2,0)</f>
        <v>0</v>
      </c>
      <c r="AI13" s="0" t="n">
        <f aca="false">IF(AI$3=(Inputs!$B$4+Inputs!$B$11),SUM($B$10:AI10)/2,0)+IF(AI$3=(Inputs!$B$4+Inputs!$B$11)+Inputs!$B$7,SUM($B$10:$AT$10)/2,0)</f>
        <v>0</v>
      </c>
      <c r="AJ13" s="0" t="n">
        <f aca="false">IF(AJ$3=(Inputs!$B$4+Inputs!$B$11),SUM($B$10:AJ10)/2,0)+IF(AJ$3=(Inputs!$B$4+Inputs!$B$11)+Inputs!$B$7,SUM($B$10:$AT$10)/2,0)</f>
        <v>19649331</v>
      </c>
      <c r="AK13" s="0" t="n">
        <f aca="false">IF(AK$3=(Inputs!$B$4+Inputs!$B$11),SUM($B$10:AK10)/2,0)+IF(AK$3=(Inputs!$B$4+Inputs!$B$11)+Inputs!$B$7,SUM($B$10:$AT$10)/2,0)</f>
        <v>0</v>
      </c>
      <c r="AL13" s="0" t="n">
        <f aca="false">IF(AL$3=(Inputs!$B$4+Inputs!$B$11),SUM($B$10:AL10)/2,0)+IF(AL$3=(Inputs!$B$4+Inputs!$B$11)+Inputs!$B$7,SUM($B$10:$AT$10)/2,0)</f>
        <v>0</v>
      </c>
      <c r="AM13" s="0" t="n">
        <f aca="false">IF(AM$3=(Inputs!$B$4+Inputs!$B$11),SUM($B$10:AM10)/2,0)+IF(AM$3=(Inputs!$B$4+Inputs!$B$11)+Inputs!$B$7,SUM($B$10:$AT$10)/2,0)</f>
        <v>0</v>
      </c>
      <c r="AN13" s="0" t="n">
        <f aca="false">IF(AN$3=(Inputs!$B$4+Inputs!$B$11),SUM($B$10:AN10)/2,0)+IF(AN$3=(Inputs!$B$4+Inputs!$B$11)+Inputs!$B$7,SUM($B$10:$AT$10)/2,0)</f>
        <v>0</v>
      </c>
      <c r="AO13" s="0" t="n">
        <f aca="false">IF(AO$3=(Inputs!$B$4+Inputs!$B$11),SUM($B$10:AO10)/2,0)+IF(AO$3=(Inputs!$B$4+Inputs!$B$11)+Inputs!$B$7,SUM($B$10:$AT$10)/2,0)</f>
        <v>0</v>
      </c>
      <c r="AP13" s="0" t="n">
        <f aca="false">IF(AP$3=(Inputs!$B$4+Inputs!$B$11),SUM($B$10:AP10)/2,0)+IF(AP$3=(Inputs!$B$4+Inputs!$B$11)+Inputs!$B$7,SUM($B$10:$AT$10)/2,0)</f>
        <v>0</v>
      </c>
      <c r="AQ13" s="0" t="n">
        <f aca="false">IF(AQ$3=(Inputs!$B$4+Inputs!$B$11),SUM($B$10:AQ10)/2,0)+IF(AQ$3=(Inputs!$B$4+Inputs!$B$11)+Inputs!$B$7,SUM($B$10:$AT$10)/2,0)</f>
        <v>0</v>
      </c>
      <c r="AR13" s="0" t="n">
        <f aca="false">IF(AR$3=(Inputs!$B$4+Inputs!$B$11),SUM($B$10:AR10)/2,0)+IF(AR$3=(Inputs!$B$4+Inputs!$B$11)+Inputs!$B$7,SUM($B$10:$AT$10)/2,0)</f>
        <v>0</v>
      </c>
      <c r="AS13" s="0" t="n">
        <f aca="false">IF(AS$3=(Inputs!$B$4+Inputs!$B$11),SUM($B$10:AS10)/2,0)+IF(AS$3=(Inputs!$B$4+Inputs!$B$11)+Inputs!$B$7,SUM($B$10:$AT$10)/2,0)</f>
        <v>0</v>
      </c>
      <c r="AT13" s="0" t="n">
        <f aca="false">IF(AT$3=(Inputs!$B$4+Inputs!$B$11),SUM($B$10:AT10)/2,0)+IF(AT$3=(Inputs!$B$4+Inputs!$B$11)+Inputs!$B$7,SUM($B$10:$AT$10)/2,0)</f>
        <v>0</v>
      </c>
    </row>
    <row r="14" customFormat="false" ht="15" hidden="false" customHeight="false" outlineLevel="0" collapsed="false">
      <c r="A14" s="0" t="s">
        <v>42</v>
      </c>
      <c r="B14" s="0" t="n">
        <f aca="false">IF(B$3=0,(SUM(BOQ!$E$2:$E$8)*(1+Inputs!$B$5)*(1+Inputs!$B$12))*Inputs!$B$14,0)</f>
        <v>39298662</v>
      </c>
      <c r="C14" s="0" t="n">
        <f aca="false">IF(C$3=0,(SUM(BOQ!$E$2:$E$8)*(1+Inputs!$B$5)*(1+Inputs!$B$12))*Inputs!$B$14,0)</f>
        <v>0</v>
      </c>
      <c r="D14" s="0" t="n">
        <f aca="false">IF(D$3=0,(SUM(BOQ!$E$2:$E$8)*(1+Inputs!$B$5)*(1+Inputs!$B$12))*Inputs!$B$14,0)</f>
        <v>0</v>
      </c>
      <c r="E14" s="0" t="n">
        <f aca="false">IF(E$3=0,(SUM(BOQ!$E$2:$E$8)*(1+Inputs!$B$5)*(1+Inputs!$B$12))*Inputs!$B$14,0)</f>
        <v>0</v>
      </c>
      <c r="F14" s="0" t="n">
        <f aca="false">IF(F$3=0,(SUM(BOQ!$E$2:$E$8)*(1+Inputs!$B$5)*(1+Inputs!$B$12))*Inputs!$B$14,0)</f>
        <v>0</v>
      </c>
      <c r="G14" s="0" t="n">
        <f aca="false">IF(G$3=0,(SUM(BOQ!$E$2:$E$8)*(1+Inputs!$B$5)*(1+Inputs!$B$12))*Inputs!$B$14,0)</f>
        <v>0</v>
      </c>
      <c r="H14" s="0" t="n">
        <f aca="false">IF(H$3=0,(SUM(BOQ!$E$2:$E$8)*(1+Inputs!$B$5)*(1+Inputs!$B$12))*Inputs!$B$14,0)</f>
        <v>0</v>
      </c>
      <c r="I14" s="0" t="n">
        <f aca="false">IF(I$3=0,(SUM(BOQ!$E$2:$E$8)*(1+Inputs!$B$5)*(1+Inputs!$B$12))*Inputs!$B$14,0)</f>
        <v>0</v>
      </c>
      <c r="J14" s="0" t="n">
        <f aca="false">IF(J$3=0,(SUM(BOQ!$E$2:$E$8)*(1+Inputs!$B$5)*(1+Inputs!$B$12))*Inputs!$B$14,0)</f>
        <v>0</v>
      </c>
      <c r="K14" s="0" t="n">
        <f aca="false">IF(K$3=0,(SUM(BOQ!$E$2:$E$8)*(1+Inputs!$B$5)*(1+Inputs!$B$12))*Inputs!$B$14,0)</f>
        <v>0</v>
      </c>
      <c r="L14" s="0" t="n">
        <f aca="false">IF(L$3=0,(SUM(BOQ!$E$2:$E$8)*(1+Inputs!$B$5)*(1+Inputs!$B$12))*Inputs!$B$14,0)</f>
        <v>0</v>
      </c>
      <c r="M14" s="0" t="n">
        <f aca="false">IF(M$3=0,(SUM(BOQ!$E$2:$E$8)*(1+Inputs!$B$5)*(1+Inputs!$B$12))*Inputs!$B$14,0)</f>
        <v>0</v>
      </c>
      <c r="N14" s="0" t="n">
        <f aca="false">IF(N$3=0,(SUM(BOQ!$E$2:$E$8)*(1+Inputs!$B$5)*(1+Inputs!$B$12))*Inputs!$B$14,0)</f>
        <v>0</v>
      </c>
      <c r="O14" s="0" t="n">
        <f aca="false">IF(O$3=0,(SUM(BOQ!$E$2:$E$8)*(1+Inputs!$B$5)*(1+Inputs!$B$12))*Inputs!$B$14,0)</f>
        <v>0</v>
      </c>
      <c r="P14" s="0" t="n">
        <f aca="false">IF(P$3=0,(SUM(BOQ!$E$2:$E$8)*(1+Inputs!$B$5)*(1+Inputs!$B$12))*Inputs!$B$14,0)</f>
        <v>0</v>
      </c>
      <c r="Q14" s="0" t="n">
        <f aca="false">IF(Q$3=0,(SUM(BOQ!$E$2:$E$8)*(1+Inputs!$B$5)*(1+Inputs!$B$12))*Inputs!$B$14,0)</f>
        <v>0</v>
      </c>
      <c r="R14" s="0" t="n">
        <f aca="false">IF(R$3=0,(SUM(BOQ!$E$2:$E$8)*(1+Inputs!$B$5)*(1+Inputs!$B$12))*Inputs!$B$14,0)</f>
        <v>0</v>
      </c>
      <c r="S14" s="0" t="n">
        <f aca="false">IF(S$3=0,(SUM(BOQ!$E$2:$E$8)*(1+Inputs!$B$5)*(1+Inputs!$B$12))*Inputs!$B$14,0)</f>
        <v>0</v>
      </c>
      <c r="T14" s="0" t="n">
        <f aca="false">IF(T$3=0,(SUM(BOQ!$E$2:$E$8)*(1+Inputs!$B$5)*(1+Inputs!$B$12))*Inputs!$B$14,0)</f>
        <v>0</v>
      </c>
      <c r="U14" s="0" t="n">
        <f aca="false">IF(U$3=0,(SUM(BOQ!$E$2:$E$8)*(1+Inputs!$B$5)*(1+Inputs!$B$12))*Inputs!$B$14,0)</f>
        <v>0</v>
      </c>
      <c r="V14" s="0" t="n">
        <f aca="false">IF(V$3=0,(SUM(BOQ!$E$2:$E$8)*(1+Inputs!$B$5)*(1+Inputs!$B$12))*Inputs!$B$14,0)</f>
        <v>0</v>
      </c>
      <c r="W14" s="0" t="n">
        <f aca="false">IF(W$3=0,(SUM(BOQ!$E$2:$E$8)*(1+Inputs!$B$5)*(1+Inputs!$B$12))*Inputs!$B$14,0)</f>
        <v>0</v>
      </c>
      <c r="X14" s="0" t="n">
        <f aca="false">IF(X$3=0,(SUM(BOQ!$E$2:$E$8)*(1+Inputs!$B$5)*(1+Inputs!$B$12))*Inputs!$B$14,0)</f>
        <v>0</v>
      </c>
      <c r="Y14" s="0" t="n">
        <f aca="false">IF(Y$3=0,(SUM(BOQ!$E$2:$E$8)*(1+Inputs!$B$5)*(1+Inputs!$B$12))*Inputs!$B$14,0)</f>
        <v>0</v>
      </c>
      <c r="Z14" s="0" t="n">
        <f aca="false">IF(Z$3=0,(SUM(BOQ!$E$2:$E$8)*(1+Inputs!$B$5)*(1+Inputs!$B$12))*Inputs!$B$14,0)</f>
        <v>0</v>
      </c>
      <c r="AA14" s="0" t="n">
        <f aca="false">IF(AA$3=0,(SUM(BOQ!$E$2:$E$8)*(1+Inputs!$B$5)*(1+Inputs!$B$12))*Inputs!$B$14,0)</f>
        <v>0</v>
      </c>
      <c r="AB14" s="0" t="n">
        <f aca="false">IF(AB$3=0,(SUM(BOQ!$E$2:$E$8)*(1+Inputs!$B$5)*(1+Inputs!$B$12))*Inputs!$B$14,0)</f>
        <v>0</v>
      </c>
      <c r="AC14" s="0" t="n">
        <f aca="false">IF(AC$3=0,(SUM(BOQ!$E$2:$E$8)*(1+Inputs!$B$5)*(1+Inputs!$B$12))*Inputs!$B$14,0)</f>
        <v>0</v>
      </c>
      <c r="AD14" s="0" t="n">
        <f aca="false">IF(AD$3=0,(SUM(BOQ!$E$2:$E$8)*(1+Inputs!$B$5)*(1+Inputs!$B$12))*Inputs!$B$14,0)</f>
        <v>0</v>
      </c>
      <c r="AE14" s="0" t="n">
        <f aca="false">IF(AE$3=0,(SUM(BOQ!$E$2:$E$8)*(1+Inputs!$B$5)*(1+Inputs!$B$12))*Inputs!$B$14,0)</f>
        <v>0</v>
      </c>
      <c r="AF14" s="0" t="n">
        <f aca="false">IF(AF$3=0,(SUM(BOQ!$E$2:$E$8)*(1+Inputs!$B$5)*(1+Inputs!$B$12))*Inputs!$B$14,0)</f>
        <v>0</v>
      </c>
      <c r="AG14" s="0" t="n">
        <f aca="false">IF(AG$3=0,(SUM(BOQ!$E$2:$E$8)*(1+Inputs!$B$5)*(1+Inputs!$B$12))*Inputs!$B$14,0)</f>
        <v>0</v>
      </c>
      <c r="AH14" s="0" t="n">
        <f aca="false">IF(AH$3=0,(SUM(BOQ!$E$2:$E$8)*(1+Inputs!$B$5)*(1+Inputs!$B$12))*Inputs!$B$14,0)</f>
        <v>0</v>
      </c>
      <c r="AI14" s="0" t="n">
        <f aca="false">IF(AI$3=0,(SUM(BOQ!$E$2:$E$8)*(1+Inputs!$B$5)*(1+Inputs!$B$12))*Inputs!$B$14,0)</f>
        <v>0</v>
      </c>
      <c r="AJ14" s="0" t="n">
        <f aca="false">IF(AJ$3=0,(SUM(BOQ!$E$2:$E$8)*(1+Inputs!$B$5)*(1+Inputs!$B$12))*Inputs!$B$14,0)</f>
        <v>0</v>
      </c>
      <c r="AK14" s="0" t="n">
        <f aca="false">IF(AK$3=0,(SUM(BOQ!$E$2:$E$8)*(1+Inputs!$B$5)*(1+Inputs!$B$12))*Inputs!$B$14,0)</f>
        <v>0</v>
      </c>
      <c r="AL14" s="0" t="n">
        <f aca="false">IF(AL$3=0,(SUM(BOQ!$E$2:$E$8)*(1+Inputs!$B$5)*(1+Inputs!$B$12))*Inputs!$B$14,0)</f>
        <v>0</v>
      </c>
      <c r="AM14" s="0" t="n">
        <f aca="false">IF(AM$3=0,(SUM(BOQ!$E$2:$E$8)*(1+Inputs!$B$5)*(1+Inputs!$B$12))*Inputs!$B$14,0)</f>
        <v>0</v>
      </c>
      <c r="AN14" s="0" t="n">
        <f aca="false">IF(AN$3=0,(SUM(BOQ!$E$2:$E$8)*(1+Inputs!$B$5)*(1+Inputs!$B$12))*Inputs!$B$14,0)</f>
        <v>0</v>
      </c>
      <c r="AO14" s="0" t="n">
        <f aca="false">IF(AO$3=0,(SUM(BOQ!$E$2:$E$8)*(1+Inputs!$B$5)*(1+Inputs!$B$12))*Inputs!$B$14,0)</f>
        <v>0</v>
      </c>
      <c r="AP14" s="0" t="n">
        <f aca="false">IF(AP$3=0,(SUM(BOQ!$E$2:$E$8)*(1+Inputs!$B$5)*(1+Inputs!$B$12))*Inputs!$B$14,0)</f>
        <v>0</v>
      </c>
      <c r="AQ14" s="0" t="n">
        <f aca="false">IF(AQ$3=0,(SUM(BOQ!$E$2:$E$8)*(1+Inputs!$B$5)*(1+Inputs!$B$12))*Inputs!$B$14,0)</f>
        <v>0</v>
      </c>
      <c r="AR14" s="0" t="n">
        <f aca="false">IF(AR$3=0,(SUM(BOQ!$E$2:$E$8)*(1+Inputs!$B$5)*(1+Inputs!$B$12))*Inputs!$B$14,0)</f>
        <v>0</v>
      </c>
      <c r="AS14" s="0" t="n">
        <f aca="false">IF(AS$3=0,(SUM(BOQ!$E$2:$E$8)*(1+Inputs!$B$5)*(1+Inputs!$B$12))*Inputs!$B$14,0)</f>
        <v>0</v>
      </c>
      <c r="AT14" s="0" t="n">
        <f aca="false">IF(AT$3=0,(SUM(BOQ!$E$2:$E$8)*(1+Inputs!$B$5)*(1+Inputs!$B$12))*Inputs!$B$14,0)</f>
        <v>0</v>
      </c>
    </row>
    <row r="15" customFormat="false" ht="15" hidden="false" customHeight="false" outlineLevel="0" collapsed="false">
      <c r="A15" s="0" t="s">
        <v>43</v>
      </c>
      <c r="B15" s="0" t="n">
        <f aca="false">IF(B$3=(Inputs!$B$4+Inputs!$B$11),MIN(Inputs!$B$10,Inputs!$B$9*Inputs!$B$11)*(SUM(BOQ!$E$2:$E$8)*(1+Inputs!$B$5)*(1+Inputs!$B$12)),0)</f>
        <v>0</v>
      </c>
      <c r="C15" s="0" t="n">
        <f aca="false">IF(C$3=(Inputs!$B$4+Inputs!$B$11),MIN(Inputs!$B$10,Inputs!$B$9*Inputs!$B$11)*(SUM(BOQ!$E$2:$E$8)*(1+Inputs!$B$5)*(1+Inputs!$B$12)),0)</f>
        <v>0</v>
      </c>
      <c r="D15" s="0" t="n">
        <f aca="false">IF(D$3=(Inputs!$B$4+Inputs!$B$11),MIN(Inputs!$B$10,Inputs!$B$9*Inputs!$B$11)*(SUM(BOQ!$E$2:$E$8)*(1+Inputs!$B$5)*(1+Inputs!$B$12)),0)</f>
        <v>0</v>
      </c>
      <c r="E15" s="0" t="n">
        <f aca="false">IF(E$3=(Inputs!$B$4+Inputs!$B$11),MIN(Inputs!$B$10,Inputs!$B$9*Inputs!$B$11)*(SUM(BOQ!$E$2:$E$8)*(1+Inputs!$B$5)*(1+Inputs!$B$12)),0)</f>
        <v>0</v>
      </c>
      <c r="F15" s="0" t="n">
        <f aca="false">IF(F$3=(Inputs!$B$4+Inputs!$B$11),MIN(Inputs!$B$10,Inputs!$B$9*Inputs!$B$11)*(SUM(BOQ!$E$2:$E$8)*(1+Inputs!$B$5)*(1+Inputs!$B$12)),0)</f>
        <v>0</v>
      </c>
      <c r="G15" s="0" t="n">
        <f aca="false">IF(G$3=(Inputs!$B$4+Inputs!$B$11),MIN(Inputs!$B$10,Inputs!$B$9*Inputs!$B$11)*(SUM(BOQ!$E$2:$E$8)*(1+Inputs!$B$5)*(1+Inputs!$B$12)),0)</f>
        <v>0</v>
      </c>
      <c r="H15" s="0" t="n">
        <f aca="false">IF(H$3=(Inputs!$B$4+Inputs!$B$11),MIN(Inputs!$B$10,Inputs!$B$9*Inputs!$B$11)*(SUM(BOQ!$E$2:$E$8)*(1+Inputs!$B$5)*(1+Inputs!$B$12)),0)</f>
        <v>0</v>
      </c>
      <c r="I15" s="0" t="n">
        <f aca="false">IF(I$3=(Inputs!$B$4+Inputs!$B$11),MIN(Inputs!$B$10,Inputs!$B$9*Inputs!$B$11)*(SUM(BOQ!$E$2:$E$8)*(1+Inputs!$B$5)*(1+Inputs!$B$12)),0)</f>
        <v>0</v>
      </c>
      <c r="J15" s="0" t="n">
        <f aca="false">IF(J$3=(Inputs!$B$4+Inputs!$B$11),MIN(Inputs!$B$10,Inputs!$B$9*Inputs!$B$11)*(SUM(BOQ!$E$2:$E$8)*(1+Inputs!$B$5)*(1+Inputs!$B$12)),0)</f>
        <v>0</v>
      </c>
      <c r="K15" s="0" t="n">
        <f aca="false">IF(K$3=(Inputs!$B$4+Inputs!$B$11),MIN(Inputs!$B$10,Inputs!$B$9*Inputs!$B$11)*(SUM(BOQ!$E$2:$E$8)*(1+Inputs!$B$5)*(1+Inputs!$B$12)),0)</f>
        <v>0</v>
      </c>
      <c r="L15" s="0" t="n">
        <f aca="false">IF(L$3=(Inputs!$B$4+Inputs!$B$11),MIN(Inputs!$B$10,Inputs!$B$9*Inputs!$B$11)*(SUM(BOQ!$E$2:$E$8)*(1+Inputs!$B$5)*(1+Inputs!$B$12)),0)</f>
        <v>0</v>
      </c>
      <c r="M15" s="0" t="n">
        <f aca="false">IF(M$3=(Inputs!$B$4+Inputs!$B$11),MIN(Inputs!$B$10,Inputs!$B$9*Inputs!$B$11)*(SUM(BOQ!$E$2:$E$8)*(1+Inputs!$B$5)*(1+Inputs!$B$12)),0)</f>
        <v>0</v>
      </c>
      <c r="N15" s="0" t="n">
        <f aca="false">IF(N$3=(Inputs!$B$4+Inputs!$B$11),MIN(Inputs!$B$10,Inputs!$B$9*Inputs!$B$11)*(SUM(BOQ!$E$2:$E$8)*(1+Inputs!$B$5)*(1+Inputs!$B$12)),0)</f>
        <v>0</v>
      </c>
      <c r="O15" s="0" t="n">
        <f aca="false">IF(O$3=(Inputs!$B$4+Inputs!$B$11),MIN(Inputs!$B$10,Inputs!$B$9*Inputs!$B$11)*(SUM(BOQ!$E$2:$E$8)*(1+Inputs!$B$5)*(1+Inputs!$B$12)),0)</f>
        <v>0</v>
      </c>
      <c r="P15" s="0" t="n">
        <f aca="false">IF(P$3=(Inputs!$B$4+Inputs!$B$11),MIN(Inputs!$B$10,Inputs!$B$9*Inputs!$B$11)*(SUM(BOQ!$E$2:$E$8)*(1+Inputs!$B$5)*(1+Inputs!$B$12)),0)</f>
        <v>0</v>
      </c>
      <c r="Q15" s="0" t="n">
        <f aca="false">IF(Q$3=(Inputs!$B$4+Inputs!$B$11),MIN(Inputs!$B$10,Inputs!$B$9*Inputs!$B$11)*(SUM(BOQ!$E$2:$E$8)*(1+Inputs!$B$5)*(1+Inputs!$B$12)),0)</f>
        <v>0</v>
      </c>
      <c r="R15" s="0" t="n">
        <f aca="false">IF(R$3=(Inputs!$B$4+Inputs!$B$11),MIN(Inputs!$B$10,Inputs!$B$9*Inputs!$B$11)*(SUM(BOQ!$E$2:$E$8)*(1+Inputs!$B$5)*(1+Inputs!$B$12)),0)</f>
        <v>0</v>
      </c>
      <c r="S15" s="0" t="n">
        <f aca="false">IF(S$3=(Inputs!$B$4+Inputs!$B$11),MIN(Inputs!$B$10,Inputs!$B$9*Inputs!$B$11)*(SUM(BOQ!$E$2:$E$8)*(1+Inputs!$B$5)*(1+Inputs!$B$12)),0)</f>
        <v>0</v>
      </c>
      <c r="T15" s="0" t="n">
        <f aca="false">IF(T$3=(Inputs!$B$4+Inputs!$B$11),MIN(Inputs!$B$10,Inputs!$B$9*Inputs!$B$11)*(SUM(BOQ!$E$2:$E$8)*(1+Inputs!$B$5)*(1+Inputs!$B$12)),0)</f>
        <v>0</v>
      </c>
      <c r="U15" s="0" t="n">
        <f aca="false">IF(U$3=(Inputs!$B$4+Inputs!$B$11),MIN(Inputs!$B$10,Inputs!$B$9*Inputs!$B$11)*(SUM(BOQ!$E$2:$E$8)*(1+Inputs!$B$5)*(1+Inputs!$B$12)),0)</f>
        <v>0</v>
      </c>
      <c r="V15" s="0" t="n">
        <f aca="false">IF(V$3=(Inputs!$B$4+Inputs!$B$11),MIN(Inputs!$B$10,Inputs!$B$9*Inputs!$B$11)*(SUM(BOQ!$E$2:$E$8)*(1+Inputs!$B$5)*(1+Inputs!$B$12)),0)</f>
        <v>0</v>
      </c>
      <c r="W15" s="0" t="n">
        <f aca="false">IF(W$3=(Inputs!$B$4+Inputs!$B$11),MIN(Inputs!$B$10,Inputs!$B$9*Inputs!$B$11)*(SUM(BOQ!$E$2:$E$8)*(1+Inputs!$B$5)*(1+Inputs!$B$12)),0)</f>
        <v>0</v>
      </c>
      <c r="X15" s="0" t="n">
        <f aca="false">IF(X$3=(Inputs!$B$4+Inputs!$B$11),MIN(Inputs!$B$10,Inputs!$B$9*Inputs!$B$11)*(SUM(BOQ!$E$2:$E$8)*(1+Inputs!$B$5)*(1+Inputs!$B$12)),0)</f>
        <v>0</v>
      </c>
      <c r="Y15" s="0" t="n">
        <f aca="false">IF(Y$3=(Inputs!$B$4+Inputs!$B$11),MIN(Inputs!$B$10,Inputs!$B$9*Inputs!$B$11)*(SUM(BOQ!$E$2:$E$8)*(1+Inputs!$B$5)*(1+Inputs!$B$12)),0)</f>
        <v>0</v>
      </c>
      <c r="Z15" s="0" t="n">
        <f aca="false">IF(Z$3=(Inputs!$B$4+Inputs!$B$11),MIN(Inputs!$B$10,Inputs!$B$9*Inputs!$B$11)*(SUM(BOQ!$E$2:$E$8)*(1+Inputs!$B$5)*(1+Inputs!$B$12)),0)</f>
        <v>0</v>
      </c>
      <c r="AA15" s="0" t="n">
        <f aca="false">IF(AA$3=(Inputs!$B$4+Inputs!$B$11),MIN(Inputs!$B$10,Inputs!$B$9*Inputs!$B$11)*(SUM(BOQ!$E$2:$E$8)*(1+Inputs!$B$5)*(1+Inputs!$B$12)),0)</f>
        <v>0</v>
      </c>
      <c r="AB15" s="0" t="n">
        <f aca="false">IF(AB$3=(Inputs!$B$4+Inputs!$B$11),MIN(Inputs!$B$10,Inputs!$B$9*Inputs!$B$11)*(SUM(BOQ!$E$2:$E$8)*(1+Inputs!$B$5)*(1+Inputs!$B$12)),0)</f>
        <v>0</v>
      </c>
      <c r="AC15" s="0" t="n">
        <f aca="false">IF(AC$3=(Inputs!$B$4+Inputs!$B$11),MIN(Inputs!$B$10,Inputs!$B$9*Inputs!$B$11)*(SUM(BOQ!$E$2:$E$8)*(1+Inputs!$B$5)*(1+Inputs!$B$12)),0)</f>
        <v>0</v>
      </c>
      <c r="AD15" s="0" t="n">
        <f aca="false">IF(AD$3=(Inputs!$B$4+Inputs!$B$11),MIN(Inputs!$B$10,Inputs!$B$9*Inputs!$B$11)*(SUM(BOQ!$E$2:$E$8)*(1+Inputs!$B$5)*(1+Inputs!$B$12)),0)</f>
        <v>0</v>
      </c>
      <c r="AE15" s="0" t="n">
        <f aca="false">IF(AE$3=(Inputs!$B$4+Inputs!$B$11),MIN(Inputs!$B$10,Inputs!$B$9*Inputs!$B$11)*(SUM(BOQ!$E$2:$E$8)*(1+Inputs!$B$5)*(1+Inputs!$B$12)),0)</f>
        <v>0</v>
      </c>
      <c r="AF15" s="0" t="n">
        <f aca="false">IF(AF$3=(Inputs!$B$4+Inputs!$B$11),MIN(Inputs!$B$10,Inputs!$B$9*Inputs!$B$11)*(SUM(BOQ!$E$2:$E$8)*(1+Inputs!$B$5)*(1+Inputs!$B$12)),0)</f>
        <v>0</v>
      </c>
      <c r="AG15" s="0" t="n">
        <f aca="false">IF(AG$3=(Inputs!$B$4+Inputs!$B$11),MIN(Inputs!$B$10,Inputs!$B$9*Inputs!$B$11)*(SUM(BOQ!$E$2:$E$8)*(1+Inputs!$B$5)*(1+Inputs!$B$12)),0)</f>
        <v>0</v>
      </c>
      <c r="AH15" s="0" t="n">
        <f aca="false">IF(AH$3=(Inputs!$B$4+Inputs!$B$11),MIN(Inputs!$B$10,Inputs!$B$9*Inputs!$B$11)*(SUM(BOQ!$E$2:$E$8)*(1+Inputs!$B$5)*(1+Inputs!$B$12)),0)</f>
        <v>0</v>
      </c>
      <c r="AI15" s="0" t="n">
        <f aca="false">IF(AI$3=(Inputs!$B$4+Inputs!$B$11),MIN(Inputs!$B$10,Inputs!$B$9*Inputs!$B$11)*(SUM(BOQ!$E$2:$E$8)*(1+Inputs!$B$5)*(1+Inputs!$B$12)),0)</f>
        <v>0</v>
      </c>
      <c r="AJ15" s="0" t="n">
        <f aca="false">IF(AJ$3=(Inputs!$B$4+Inputs!$B$11),MIN(Inputs!$B$10,Inputs!$B$9*Inputs!$B$11)*(SUM(BOQ!$E$2:$E$8)*(1+Inputs!$B$5)*(1+Inputs!$B$12)),0)</f>
        <v>0</v>
      </c>
      <c r="AK15" s="0" t="n">
        <f aca="false">IF(AK$3=(Inputs!$B$4+Inputs!$B$11),MIN(Inputs!$B$10,Inputs!$B$9*Inputs!$B$11)*(SUM(BOQ!$E$2:$E$8)*(1+Inputs!$B$5)*(1+Inputs!$B$12)),0)</f>
        <v>0</v>
      </c>
      <c r="AL15" s="0" t="n">
        <f aca="false">IF(AL$3=(Inputs!$B$4+Inputs!$B$11),MIN(Inputs!$B$10,Inputs!$B$9*Inputs!$B$11)*(SUM(BOQ!$E$2:$E$8)*(1+Inputs!$B$5)*(1+Inputs!$B$12)),0)</f>
        <v>0</v>
      </c>
      <c r="AM15" s="0" t="n">
        <f aca="false">IF(AM$3=(Inputs!$B$4+Inputs!$B$11),MIN(Inputs!$B$10,Inputs!$B$9*Inputs!$B$11)*(SUM(BOQ!$E$2:$E$8)*(1+Inputs!$B$5)*(1+Inputs!$B$12)),0)</f>
        <v>0</v>
      </c>
      <c r="AN15" s="0" t="n">
        <f aca="false">IF(AN$3=(Inputs!$B$4+Inputs!$B$11),MIN(Inputs!$B$10,Inputs!$B$9*Inputs!$B$11)*(SUM(BOQ!$E$2:$E$8)*(1+Inputs!$B$5)*(1+Inputs!$B$12)),0)</f>
        <v>0</v>
      </c>
      <c r="AO15" s="0" t="n">
        <f aca="false">IF(AO$3=(Inputs!$B$4+Inputs!$B$11),MIN(Inputs!$B$10,Inputs!$B$9*Inputs!$B$11)*(SUM(BOQ!$E$2:$E$8)*(1+Inputs!$B$5)*(1+Inputs!$B$12)),0)</f>
        <v>0</v>
      </c>
      <c r="AP15" s="0" t="n">
        <f aca="false">IF(AP$3=(Inputs!$B$4+Inputs!$B$11),MIN(Inputs!$B$10,Inputs!$B$9*Inputs!$B$11)*(SUM(BOQ!$E$2:$E$8)*(1+Inputs!$B$5)*(1+Inputs!$B$12)),0)</f>
        <v>0</v>
      </c>
      <c r="AQ15" s="0" t="n">
        <f aca="false">IF(AQ$3=(Inputs!$B$4+Inputs!$B$11),MIN(Inputs!$B$10,Inputs!$B$9*Inputs!$B$11)*(SUM(BOQ!$E$2:$E$8)*(1+Inputs!$B$5)*(1+Inputs!$B$12)),0)</f>
        <v>0</v>
      </c>
      <c r="AR15" s="0" t="n">
        <f aca="false">IF(AR$3=(Inputs!$B$4+Inputs!$B$11),MIN(Inputs!$B$10,Inputs!$B$9*Inputs!$B$11)*(SUM(BOQ!$E$2:$E$8)*(1+Inputs!$B$5)*(1+Inputs!$B$12)),0)</f>
        <v>0</v>
      </c>
      <c r="AS15" s="0" t="n">
        <f aca="false">IF(AS$3=(Inputs!$B$4+Inputs!$B$11),MIN(Inputs!$B$10,Inputs!$B$9*Inputs!$B$11)*(SUM(BOQ!$E$2:$E$8)*(1+Inputs!$B$5)*(1+Inputs!$B$12)),0)</f>
        <v>0</v>
      </c>
      <c r="AT15" s="0" t="n">
        <f aca="false">IF(AT$3=(Inputs!$B$4+Inputs!$B$11),MIN(Inputs!$B$10,Inputs!$B$9*Inputs!$B$11)*(SUM(BOQ!$E$2:$E$8)*(1+Inputs!$B$5)*(1+Inputs!$B$12)),0)</f>
        <v>0</v>
      </c>
    </row>
    <row r="16" customFormat="false" ht="15" hidden="false" customHeight="false" outlineLevel="0" collapsed="false">
      <c r="A16" s="0" t="s">
        <v>44</v>
      </c>
      <c r="B16" s="0" t="n">
        <f aca="false">B12+B13+B14-B7-B15</f>
        <v>39298662</v>
      </c>
      <c r="C16" s="0" t="n">
        <f aca="false">C12+C13+C14-C7-C15</f>
        <v>-4827845.45454546</v>
      </c>
      <c r="D16" s="0" t="n">
        <f aca="false">D12+D13+D14-D7-D15</f>
        <v>-4827845.45454546</v>
      </c>
      <c r="E16" s="0" t="n">
        <f aca="false">E12+E13+E14-E7-E15</f>
        <v>-4402995.05454545</v>
      </c>
      <c r="F16" s="0" t="n">
        <f aca="false">F12+F13+F14-F7-F15</f>
        <v>-5368564.14545455</v>
      </c>
      <c r="G16" s="0" t="n">
        <f aca="false">G12+G13+G14-G7-G15</f>
        <v>-4835570.00727272</v>
      </c>
      <c r="H16" s="0" t="n">
        <f aca="false">H12+H13+H14-H7-H15</f>
        <v>-5909282.83636363</v>
      </c>
      <c r="I16" s="0" t="n">
        <f aca="false">I12+I13+I14-I7-I15</f>
        <v>-5268144.96000001</v>
      </c>
      <c r="J16" s="0" t="n">
        <f aca="false">J12+J13+J14-J7-J15</f>
        <v>-6450001.52727275</v>
      </c>
      <c r="K16" s="0" t="n">
        <f aca="false">K12+K13+K14-K7-K15</f>
        <v>-5378863.54909088</v>
      </c>
      <c r="L16" s="0" t="n">
        <f aca="false">L12+L13+L14-L7-L15</f>
        <v>-5381438.39999997</v>
      </c>
      <c r="M16" s="0" t="n">
        <f aca="false">M12+M13+M14-M7-M15</f>
        <v>-4809821.49818187</v>
      </c>
      <c r="N16" s="0" t="n">
        <f aca="false">N12+N13+N14-N7-N15</f>
        <v>-2523353.89090907</v>
      </c>
      <c r="O16" s="0" t="n">
        <f aca="false">O12+O13+O14-O7-O15</f>
        <v>-2523353.89090909</v>
      </c>
      <c r="P16" s="0" t="n">
        <f aca="false">P12+P13+P14-P7-P15</f>
        <v>-1235928.43636364</v>
      </c>
      <c r="Q16" s="0" t="n">
        <f aca="false">Q12+Q13+Q14-Q7-Q15</f>
        <v>-914072.072727244</v>
      </c>
      <c r="R16" s="0" t="n">
        <f aca="false">R12+R13+R14-R7-R15</f>
        <v>-1091736.78545461</v>
      </c>
      <c r="S16" s="0" t="n">
        <f aca="false">S12+S13+S14-S7-S15</f>
        <v>-733832.509090837</v>
      </c>
      <c r="T16" s="0" t="n">
        <f aca="false">T12+T13+T14-T7-T15</f>
        <v>-303832.407272715</v>
      </c>
      <c r="U16" s="0" t="n">
        <f aca="false">U12+U13+U14-U7-U15</f>
        <v>1055688.87272718</v>
      </c>
      <c r="V16" s="0" t="n">
        <f aca="false">V12+V13+V14-V7-V15</f>
        <v>878024.160000077</v>
      </c>
      <c r="W16" s="0" t="n">
        <f aca="false">W12+W13+W14-W7-W15</f>
        <v>3025449.81818179</v>
      </c>
      <c r="X16" s="0" t="n">
        <f aca="false">X12+X13+X14-X7-X15</f>
        <v>21817355.4654545</v>
      </c>
      <c r="Y16" s="0" t="n">
        <f aca="false">Y12+Y13+Y14-Y7-Y15</f>
        <v>10003295.7818182</v>
      </c>
      <c r="Z16" s="0" t="n">
        <f aca="false">Z12+Z13+Z14-Z7-Z15</f>
        <v>10003295.7818182</v>
      </c>
      <c r="AA16" s="0" t="n">
        <f aca="false">AA12+AA13+AA14-AA7-AA15</f>
        <v>0</v>
      </c>
      <c r="AB16" s="0" t="n">
        <f aca="false">AB12+AB13+AB14-AB7-AB15</f>
        <v>0</v>
      </c>
      <c r="AC16" s="0" t="n">
        <f aca="false">AC12+AC13+AC14-AC7-AC15</f>
        <v>0</v>
      </c>
      <c r="AD16" s="0" t="n">
        <f aca="false">AD12+AD13+AD14-AD7-AD15</f>
        <v>0</v>
      </c>
      <c r="AE16" s="0" t="n">
        <f aca="false">AE12+AE13+AE14-AE7-AE15</f>
        <v>0</v>
      </c>
      <c r="AF16" s="0" t="n">
        <f aca="false">AF12+AF13+AF14-AF7-AF15</f>
        <v>0</v>
      </c>
      <c r="AG16" s="0" t="n">
        <f aca="false">AG12+AG13+AG14-AG7-AG15</f>
        <v>0</v>
      </c>
      <c r="AH16" s="0" t="n">
        <f aca="false">AH12+AH13+AH14-AH7-AH15</f>
        <v>0</v>
      </c>
      <c r="AI16" s="0" t="n">
        <f aca="false">AI12+AI13+AI14-AI7-AI15</f>
        <v>0</v>
      </c>
      <c r="AJ16" s="0" t="n">
        <f aca="false">AJ12+AJ13+AJ14-AJ7-AJ15</f>
        <v>19649331</v>
      </c>
      <c r="AK16" s="0" t="n">
        <f aca="false">AK12+AK13+AK14-AK7-AK15</f>
        <v>0</v>
      </c>
      <c r="AL16" s="0" t="n">
        <f aca="false">AL12+AL13+AL14-AL7-AL15</f>
        <v>0</v>
      </c>
      <c r="AM16" s="0" t="n">
        <f aca="false">AM12+AM13+AM14-AM7-AM15</f>
        <v>0</v>
      </c>
      <c r="AN16" s="0" t="n">
        <f aca="false">AN12+AN13+AN14-AN7-AN15</f>
        <v>0</v>
      </c>
      <c r="AO16" s="0" t="n">
        <f aca="false">AO12+AO13+AO14-AO7-AO15</f>
        <v>0</v>
      </c>
      <c r="AP16" s="0" t="n">
        <f aca="false">AP12+AP13+AP14-AP7-AP15</f>
        <v>0</v>
      </c>
      <c r="AQ16" s="0" t="n">
        <f aca="false">AQ12+AQ13+AQ14-AQ7-AQ15</f>
        <v>0</v>
      </c>
      <c r="AR16" s="0" t="n">
        <f aca="false">AR12+AR13+AR14-AR7-AR15</f>
        <v>0</v>
      </c>
      <c r="AS16" s="0" t="n">
        <f aca="false">AS12+AS13+AS14-AS7-AS15</f>
        <v>0</v>
      </c>
      <c r="AT16" s="0" t="n">
        <f aca="false">AT12+AT13+AT14-AT7-AT15</f>
        <v>0</v>
      </c>
    </row>
    <row r="17" customFormat="false" ht="15" hidden="false" customHeight="false" outlineLevel="0" collapsed="false">
      <c r="A17" s="0" t="s">
        <v>45</v>
      </c>
      <c r="B17" s="0" t="n">
        <f aca="false">SUM($B$16:B16)</f>
        <v>39298662</v>
      </c>
      <c r="C17" s="0" t="n">
        <f aca="false">SUM($B$16:C16)</f>
        <v>34470816.5454546</v>
      </c>
      <c r="D17" s="0" t="n">
        <f aca="false">SUM($B$16:D16)</f>
        <v>29642971.0909091</v>
      </c>
      <c r="E17" s="0" t="n">
        <f aca="false">SUM($B$16:E16)</f>
        <v>25239976.0363636</v>
      </c>
      <c r="F17" s="0" t="n">
        <f aca="false">SUM($B$16:F16)</f>
        <v>19871411.8909091</v>
      </c>
      <c r="G17" s="0" t="n">
        <f aca="false">SUM($B$16:G16)</f>
        <v>15035841.8836364</v>
      </c>
      <c r="H17" s="0" t="n">
        <f aca="false">SUM($B$16:H16)</f>
        <v>9126559.04727275</v>
      </c>
      <c r="I17" s="0" t="n">
        <f aca="false">SUM($B$16:I16)</f>
        <v>3858414.08727274</v>
      </c>
      <c r="J17" s="0" t="n">
        <f aca="false">SUM($B$16:J16)</f>
        <v>-2591587.44000001</v>
      </c>
      <c r="K17" s="0" t="n">
        <f aca="false">SUM($B$16:K16)</f>
        <v>-7970450.98909089</v>
      </c>
      <c r="L17" s="0" t="n">
        <f aca="false">SUM($B$16:L16)</f>
        <v>-13351889.3890909</v>
      </c>
      <c r="M17" s="0" t="n">
        <f aca="false">SUM($B$16:M16)</f>
        <v>-18161710.8872727</v>
      </c>
      <c r="N17" s="0" t="n">
        <f aca="false">SUM($B$16:N16)</f>
        <v>-20685064.7781818</v>
      </c>
      <c r="O17" s="0" t="n">
        <f aca="false">SUM($B$16:O16)</f>
        <v>-23208418.6690909</v>
      </c>
      <c r="P17" s="0" t="n">
        <f aca="false">SUM($B$16:P16)</f>
        <v>-24444347.1054545</v>
      </c>
      <c r="Q17" s="0" t="n">
        <f aca="false">SUM($B$16:Q16)</f>
        <v>-25358419.1781818</v>
      </c>
      <c r="R17" s="0" t="n">
        <f aca="false">SUM($B$16:R16)</f>
        <v>-26450155.9636364</v>
      </c>
      <c r="S17" s="0" t="n">
        <f aca="false">SUM($B$16:S16)</f>
        <v>-27183988.4727272</v>
      </c>
      <c r="T17" s="0" t="n">
        <f aca="false">SUM($B$16:T16)</f>
        <v>-27487820.8799999</v>
      </c>
      <c r="U17" s="0" t="n">
        <f aca="false">SUM($B$16:U16)</f>
        <v>-26432132.0072728</v>
      </c>
      <c r="V17" s="0" t="n">
        <f aca="false">SUM($B$16:V16)</f>
        <v>-25554107.8472727</v>
      </c>
      <c r="W17" s="0" t="n">
        <f aca="false">SUM($B$16:W16)</f>
        <v>-22528658.0290909</v>
      </c>
      <c r="X17" s="0" t="n">
        <f aca="false">SUM($B$16:X16)</f>
        <v>-711302.563636348</v>
      </c>
      <c r="Y17" s="0" t="n">
        <f aca="false">SUM($B$16:Y16)</f>
        <v>9291993.21818188</v>
      </c>
      <c r="Z17" s="0" t="n">
        <f aca="false">SUM($B$16:Z16)</f>
        <v>19295289</v>
      </c>
      <c r="AA17" s="0" t="n">
        <f aca="false">SUM($B$16:AA16)</f>
        <v>19295289</v>
      </c>
      <c r="AB17" s="0" t="n">
        <f aca="false">SUM($B$16:AB16)</f>
        <v>19295289</v>
      </c>
      <c r="AC17" s="0" t="n">
        <f aca="false">SUM($B$16:AC16)</f>
        <v>19295289</v>
      </c>
      <c r="AD17" s="0" t="n">
        <f aca="false">SUM($B$16:AD16)</f>
        <v>19295289</v>
      </c>
      <c r="AE17" s="0" t="n">
        <f aca="false">SUM($B$16:AE16)</f>
        <v>19295289</v>
      </c>
      <c r="AF17" s="0" t="n">
        <f aca="false">SUM($B$16:AF16)</f>
        <v>19295289</v>
      </c>
      <c r="AG17" s="0" t="n">
        <f aca="false">SUM($B$16:AG16)</f>
        <v>19295289</v>
      </c>
      <c r="AH17" s="0" t="n">
        <f aca="false">SUM($B$16:AH16)</f>
        <v>19295289</v>
      </c>
      <c r="AI17" s="0" t="n">
        <f aca="false">SUM($B$16:AI16)</f>
        <v>19295289</v>
      </c>
      <c r="AJ17" s="0" t="n">
        <f aca="false">SUM($B$16:AJ16)</f>
        <v>38944620</v>
      </c>
      <c r="AK17" s="0" t="n">
        <f aca="false">SUM($B$16:AK16)</f>
        <v>38944620</v>
      </c>
      <c r="AL17" s="0" t="n">
        <f aca="false">SUM($B$16:AL16)</f>
        <v>38944620</v>
      </c>
      <c r="AM17" s="0" t="n">
        <f aca="false">SUM($B$16:AM16)</f>
        <v>38944620</v>
      </c>
      <c r="AN17" s="0" t="n">
        <f aca="false">SUM($B$16:AN16)</f>
        <v>38944620</v>
      </c>
      <c r="AO17" s="0" t="n">
        <f aca="false">SUM($B$16:AO16)</f>
        <v>38944620</v>
      </c>
      <c r="AP17" s="0" t="n">
        <f aca="false">SUM($B$16:AP16)</f>
        <v>38944620</v>
      </c>
      <c r="AQ17" s="0" t="n">
        <f aca="false">SUM($B$16:AQ16)</f>
        <v>38944620</v>
      </c>
      <c r="AR17" s="0" t="n">
        <f aca="false">SUM($B$16:AR16)</f>
        <v>38944620</v>
      </c>
      <c r="AS17" s="0" t="n">
        <f aca="false">SUM($B$16:AS16)</f>
        <v>38944620</v>
      </c>
      <c r="AT17" s="0" t="n">
        <f aca="false">SUM($B$16:AT16)</f>
        <v>38944620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46</v>
      </c>
      <c r="B3" s="4" t="n">
        <f aca="false">SUM(BOQ!$E$2:$E$8)*(1+Inputs!$B$5)*(1+Inputs!$B$12)</f>
        <v>392986620</v>
      </c>
    </row>
    <row r="4" customFormat="false" ht="15" hidden="false" customHeight="false" outlineLevel="0" collapsed="false">
      <c r="A4" s="0" t="s">
        <v>47</v>
      </c>
      <c r="B4" s="4" t="n">
        <f aca="false">SUM('Cash Flow'!$B$16:$AT$16)</f>
        <v>38944620</v>
      </c>
    </row>
    <row r="5" customFormat="false" ht="15" hidden="false" customHeight="false" outlineLevel="0" collapsed="false">
      <c r="A5" s="0" t="s">
        <v>48</v>
      </c>
      <c r="B5" s="3" t="n">
        <f aca="false">B4/B3</f>
        <v>0.0990990990990992</v>
      </c>
    </row>
    <row r="6" customFormat="false" ht="15" hidden="false" customHeight="false" outlineLevel="0" collapsed="false">
      <c r="A6" s="0" t="s">
        <v>49</v>
      </c>
      <c r="B6" s="4" t="n">
        <f aca="false">-MIN('Cash Flow'!$B$17:$AT$17)</f>
        <v>27487820.8799999</v>
      </c>
    </row>
    <row r="7" customFormat="false" ht="15" hidden="false" customHeight="false" outlineLevel="0" collapsed="false">
      <c r="A7" s="0" t="s">
        <v>50</v>
      </c>
      <c r="B7" s="4" t="n">
        <f aca="false">NPV((1+Inputs!$B$13)^(1/12)-1,'Cash Flow'!$B$16:$AT$16)</f>
        <v>30841371.2127391</v>
      </c>
    </row>
    <row r="8" customFormat="false" ht="15" hidden="false" customHeight="false" outlineLevel="0" collapsed="false">
      <c r="A8" s="0" t="s">
        <v>51</v>
      </c>
      <c r="B8" s="4" t="n">
        <f aca="false">SUM('Cash Flow'!$B$15:$AT$15)</f>
        <v>0</v>
      </c>
    </row>
    <row r="9" customFormat="false" ht="15" hidden="false" customHeight="false" outlineLevel="0" collapsed="false">
      <c r="A9" s="0" t="s">
        <v>52</v>
      </c>
      <c r="B9" s="4" t="n">
        <f aca="false">SUMPRODUCT(((BOQ!$D$2:$D$8="Structure")+(BOQ!$D$2:$D$8="Envelope")&gt;0)*BOQ!$E$2:$E$8)</f>
        <v>138220000</v>
      </c>
    </row>
    <row r="10" customFormat="false" ht="15" hidden="false" customHeight="false" outlineLevel="0" collapsed="false">
      <c r="A10" s="0" t="s">
        <v>53</v>
      </c>
      <c r="B10" s="4" t="n">
        <f aca="false">B4</f>
        <v>38944620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2026-10-17T19:36:24Z</dcterms:created>
  <dc:creator>openpyxl</dc:creator>
  <dc:description/>
  <dc:language>en-US</dc:language>
  <cp:lastModifiedBy/>
  <dcterms:modified xsi:type="dcterms:W3CDTF">2026-10-17T19:36:24Z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