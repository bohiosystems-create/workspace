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Loans" sheetId="2" state="visible" r:id="rId4"/>
    <sheet name="Fund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<sst xmlns="http://schemas.openxmlformats.org/spreadsheetml/2006/main" count="40" uniqueCount="40">
  <si>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HARBOUR LENDING FUND II – REAL ESTATE DEBT (USD m)</t>
  </si>
  <si>
    <t xml:space="preserve">LP equity (USD m)</t>
  </si>
  <si>
    <t xml:space="preserve">Fund leverage (debt to equity)</t>
  </si>
  <si>
    <t xml:space="preserve">Cost of fund leverage</t>
  </si>
  <si>
    <t xml:space="preserve">Management fee on equity</t>
  </si>
  <si>
    <t xml:space="preserve">Incentive fee hurdle (net return a year)</t>
  </si>
  <si>
    <t xml:space="preserve">Incentive fee above the hurdle</t>
  </si>
  <si>
    <t xml:space="preserve">Defaulted loan recovery</t>
  </si>
  <si>
    <t xml:space="preserve">Fund expenses a year (USD m)</t>
  </si>
  <si>
    <t xml:space="preserve">Loan</t>
  </si>
  <si>
    <t xml:space="preserve">Amount (USD m)</t>
  </si>
  <si>
    <t xml:space="preserve">Coupon</t>
  </si>
  <si>
    <t xml:space="preserve">LTV</t>
  </si>
  <si>
    <t xml:space="preserve">Maturity (year)</t>
  </si>
  <si>
    <t xml:space="preserve">Defaults in year</t>
  </si>
  <si>
    <t xml:space="preserve">Chicago office</t>
  </si>
  <si>
    <t xml:space="preserve">Austin multifamily</t>
  </si>
  <si>
    <t xml:space="preserve">Miami hotel</t>
  </si>
  <si>
    <t xml:space="preserve">Denver industrial</t>
  </si>
  <si>
    <t xml:space="preserve">Phoenix BTR</t>
  </si>
  <si>
    <t xml:space="preserve">Seattle life science</t>
  </si>
  <si>
    <t xml:space="preserve">Atlanta retail</t>
  </si>
  <si>
    <t xml:space="preserve">Dallas student</t>
  </si>
  <si>
    <t xml:space="preserve">Year</t>
  </si>
  <si>
    <t xml:space="preserve">Loans outstanding</t>
  </si>
  <si>
    <t xml:space="preserve">Interest income</t>
  </si>
  <si>
    <t xml:space="preserve">Default loss</t>
  </si>
  <si>
    <t xml:space="preserve">Principal back</t>
  </si>
  <si>
    <t xml:space="preserve">Leverage cost</t>
  </si>
  <si>
    <t xml:space="preserve">Management fee</t>
  </si>
  <si>
    <t xml:space="preserve">Expenses</t>
  </si>
  <si>
    <t xml:space="preserve">Net income before incentive</t>
  </si>
  <si>
    <t xml:space="preserve">Incentive fee</t>
  </si>
  <si>
    <t xml:space="preserve">Net to LPs</t>
  </si>
  <si>
    <t xml:space="preserve">Net IRR to LPs</t>
  </si>
  <si>
    <t xml:space="preserve">Weighted average coupon</t>
  </si>
  <si>
    <t xml:space="preserve">Weighted average LTV</t>
  </si>
  <si>
    <t xml:space="preserve">Credit losses (USD m)</t>
  </si>
  <si>
    <t xml:space="preserve">Incentive fees (USD m)</t>
  </si>
  <si>
    <t xml:space="preserve">Net income to LPs (USD 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</si>
</sst>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0\x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450</v>
      </c>
    </row>
    <row r="4" customFormat="false" ht="15" hidden="false" customHeight="false" outlineLevel="0" collapsed="false">
      <c r="A4" s="0" t="s">
        <v>2</v>
      </c>
      <c r="B4" s="2" t="n">
        <v>0.5</v>
      </c>
    </row>
    <row r="5" customFormat="false" ht="15" hidden="false" customHeight="false" outlineLevel="0" collapsed="false">
      <c r="A5" s="0" t="s">
        <v>3</v>
      </c>
      <c r="B5" s="3" t="n">
        <v>0.058</v>
      </c>
    </row>
    <row r="6" customFormat="false" ht="15" hidden="false" customHeight="false" outlineLevel="0" collapsed="false">
      <c r="A6" s="0" t="s">
        <v>4</v>
      </c>
      <c r="B6" s="3" t="n">
        <v>0.0075</v>
      </c>
    </row>
    <row r="7" customFormat="false" ht="15" hidden="false" customHeight="false" outlineLevel="0" collapsed="false">
      <c r="A7" s="0" t="s">
        <v>5</v>
      </c>
      <c r="B7" s="3" t="n">
        <v>0.06</v>
      </c>
    </row>
    <row r="8" customFormat="false" ht="15" hidden="false" customHeight="false" outlineLevel="0" collapsed="false">
      <c r="A8" s="0" t="s">
        <v>6</v>
      </c>
      <c r="B8" s="3" t="n">
        <v>0.15</v>
      </c>
    </row>
    <row r="9" customFormat="false" ht="15" hidden="false" customHeight="false" outlineLevel="0" collapsed="false">
      <c r="A9" s="0" t="s">
        <v>7</v>
      </c>
      <c r="B9" s="3" t="n">
        <v>0.8</v>
      </c>
    </row>
    <row r="10" customFormat="false" ht="15" hidden="false" customHeight="false" outlineLevel="0" collapsed="false">
      <c r="A10" s="0" t="s">
        <v>8</v>
      </c>
      <c r="B10" s="1" t="n">
        <v>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</row>
    <row r="2" customFormat="false" ht="15" hidden="false" customHeight="false" outlineLevel="0" collapsed="false">
      <c r="A2" s="0" t="s">
        <v>15</v>
      </c>
      <c r="B2" s="0" t="n">
        <v>120</v>
      </c>
      <c r="C2" s="3" t="n">
        <v>0.085</v>
      </c>
      <c r="D2" s="3" t="n">
        <v>0.62</v>
      </c>
      <c r="E2" s="0" t="n">
        <v>3</v>
      </c>
      <c r="F2" s="0" t="n">
        <v>0</v>
      </c>
    </row>
    <row r="3" customFormat="false" ht="15" hidden="false" customHeight="false" outlineLevel="0" collapsed="false">
      <c r="A3" s="0" t="s">
        <v>16</v>
      </c>
      <c r="B3" s="0" t="n">
        <v>95</v>
      </c>
      <c r="C3" s="3" t="n">
        <v>0.078</v>
      </c>
      <c r="D3" s="3" t="n">
        <v>0.68</v>
      </c>
      <c r="E3" s="0" t="n">
        <v>4</v>
      </c>
      <c r="F3" s="0" t="n">
        <v>0</v>
      </c>
    </row>
    <row r="4" customFormat="false" ht="15" hidden="false" customHeight="false" outlineLevel="0" collapsed="false">
      <c r="A4" s="0" t="s">
        <v>17</v>
      </c>
      <c r="B4" s="0" t="n">
        <v>80</v>
      </c>
      <c r="C4" s="3" t="n">
        <v>0.098</v>
      </c>
      <c r="D4" s="3" t="n">
        <v>0.6</v>
      </c>
      <c r="E4" s="0" t="n">
        <v>3</v>
      </c>
      <c r="F4" s="0" t="n">
        <v>2</v>
      </c>
    </row>
    <row r="5" customFormat="false" ht="15" hidden="false" customHeight="false" outlineLevel="0" collapsed="false">
      <c r="A5" s="0" t="s">
        <v>18</v>
      </c>
      <c r="B5" s="0" t="n">
        <v>110</v>
      </c>
      <c r="C5" s="3" t="n">
        <v>0.072</v>
      </c>
      <c r="D5" s="3" t="n">
        <v>0.55</v>
      </c>
      <c r="E5" s="0" t="n">
        <v>5</v>
      </c>
      <c r="F5" s="0" t="n">
        <v>0</v>
      </c>
    </row>
    <row r="6" customFormat="false" ht="15" hidden="false" customHeight="false" outlineLevel="0" collapsed="false">
      <c r="A6" s="0" t="s">
        <v>19</v>
      </c>
      <c r="B6" s="0" t="n">
        <v>70</v>
      </c>
      <c r="C6" s="3" t="n">
        <v>0.081</v>
      </c>
      <c r="D6" s="3" t="n">
        <v>0.7</v>
      </c>
      <c r="E6" s="0" t="n">
        <v>4</v>
      </c>
      <c r="F6" s="0" t="n">
        <v>0</v>
      </c>
    </row>
    <row r="7" customFormat="false" ht="15" hidden="false" customHeight="false" outlineLevel="0" collapsed="false">
      <c r="A7" s="0" t="s">
        <v>20</v>
      </c>
      <c r="B7" s="0" t="n">
        <v>90</v>
      </c>
      <c r="C7" s="3" t="n">
        <v>0.093</v>
      </c>
      <c r="D7" s="3" t="n">
        <v>0.58</v>
      </c>
      <c r="E7" s="0" t="n">
        <v>5</v>
      </c>
      <c r="F7" s="0" t="n">
        <v>0</v>
      </c>
    </row>
    <row r="8" customFormat="false" ht="15" hidden="false" customHeight="false" outlineLevel="0" collapsed="false">
      <c r="A8" s="0" t="s">
        <v>21</v>
      </c>
      <c r="B8" s="0" t="n">
        <v>60</v>
      </c>
      <c r="C8" s="3" t="n">
        <v>0.105</v>
      </c>
      <c r="D8" s="3" t="n">
        <v>0.64</v>
      </c>
      <c r="E8" s="0" t="n">
        <v>2</v>
      </c>
      <c r="F8" s="0" t="n">
        <v>0</v>
      </c>
    </row>
    <row r="9" customFormat="false" ht="15" hidden="false" customHeight="false" outlineLevel="0" collapsed="false">
      <c r="A9" s="0" t="s">
        <v>22</v>
      </c>
      <c r="B9" s="0" t="n">
        <v>75</v>
      </c>
      <c r="C9" s="3" t="n">
        <v>0.079</v>
      </c>
      <c r="D9" s="3" t="n">
        <v>0.66</v>
      </c>
      <c r="E9" s="0" t="n">
        <v>4</v>
      </c>
      <c r="F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</row>
    <row r="4" customFormat="false" ht="15" hidden="false" customHeight="false" outlineLevel="0" collapsed="false">
      <c r="A4" s="0" t="s">
        <v>24</v>
      </c>
      <c r="B4" s="0" t="n">
        <f aca="false">SUMPRODUCT((Loans!$E$2:$E$9&gt;B$3)*((Loans!$F$2:$F$9=0)+(Loans!$F$2:$F$9&gt;B$3)&gt;0)*Loans!$B$2:$B$9)</f>
        <v>700</v>
      </c>
      <c r="C4" s="0" t="n">
        <f aca="false">SUMPRODUCT((Loans!$E$2:$E$9&gt;C$3)*((Loans!$F$2:$F$9=0)+(Loans!$F$2:$F$9&gt;C$3)&gt;0)*Loans!$B$2:$B$9)</f>
        <v>700</v>
      </c>
      <c r="D4" s="0" t="n">
        <f aca="false">SUMPRODUCT((Loans!$E$2:$E$9&gt;D$3)*((Loans!$F$2:$F$9=0)+(Loans!$F$2:$F$9&gt;D$3)&gt;0)*Loans!$B$2:$B$9)</f>
        <v>560</v>
      </c>
      <c r="E4" s="0" t="n">
        <f aca="false">SUMPRODUCT((Loans!$E$2:$E$9&gt;E$3)*((Loans!$F$2:$F$9=0)+(Loans!$F$2:$F$9&gt;E$3)&gt;0)*Loans!$B$2:$B$9)</f>
        <v>440</v>
      </c>
      <c r="F4" s="0" t="n">
        <f aca="false">SUMPRODUCT((Loans!$E$2:$E$9&gt;F$3)*((Loans!$F$2:$F$9=0)+(Loans!$F$2:$F$9&gt;F$3)&gt;0)*Loans!$B$2:$B$9)</f>
        <v>200</v>
      </c>
      <c r="G4" s="0" t="n">
        <f aca="false">SUMPRODUCT((Loans!$E$2:$E$9&gt;G$3)*((Loans!$F$2:$F$9=0)+(Loans!$F$2:$F$9&gt;G$3)&gt;0)*Loans!$B$2:$B$9)</f>
        <v>0</v>
      </c>
    </row>
    <row r="5" customFormat="false" ht="15" hidden="false" customHeight="false" outlineLevel="0" collapsed="false">
      <c r="A5" s="0" t="s">
        <v>25</v>
      </c>
      <c r="B5" s="0" t="n">
        <f aca="false">0</f>
        <v>0</v>
      </c>
      <c r="C5" s="0" t="n">
        <f aca="false">SUMPRODUCT((Loans!$E$2:$E$9&gt;=C$3)*((Loans!$F$2:$F$9=0)+(Loans!$F$2:$F$9&gt;C$3)&gt;0)*Loans!$B$2:$B$9*Loans!$C$2:$C$9)</f>
        <v>59.635</v>
      </c>
      <c r="D5" s="0" t="n">
        <f aca="false">SUMPRODUCT((Loans!$E$2:$E$9&gt;=D$3)*((Loans!$F$2:$F$9=0)+(Loans!$F$2:$F$9&gt;D$3)&gt;0)*Loans!$B$2:$B$9*Loans!$C$2:$C$9)</f>
        <v>51.795</v>
      </c>
      <c r="E5" s="0" t="n">
        <f aca="false">SUMPRODUCT((Loans!$E$2:$E$9&gt;=E$3)*((Loans!$F$2:$F$9=0)+(Loans!$F$2:$F$9&gt;E$3)&gt;0)*Loans!$B$2:$B$9*Loans!$C$2:$C$9)</f>
        <v>45.495</v>
      </c>
      <c r="F5" s="0" t="n">
        <f aca="false">SUMPRODUCT((Loans!$E$2:$E$9&gt;=F$3)*((Loans!$F$2:$F$9=0)+(Loans!$F$2:$F$9&gt;F$3)&gt;0)*Loans!$B$2:$B$9*Loans!$C$2:$C$9)</f>
        <v>35.295</v>
      </c>
      <c r="G5" s="0" t="n">
        <f aca="false">SUMPRODUCT((Loans!$E$2:$E$9&gt;=G$3)*((Loans!$F$2:$F$9=0)+(Loans!$F$2:$F$9&gt;G$3)&gt;0)*Loans!$B$2:$B$9*Loans!$C$2:$C$9)</f>
        <v>16.29</v>
      </c>
    </row>
    <row r="6" customFormat="false" ht="15" hidden="false" customHeight="false" outlineLevel="0" collapsed="false">
      <c r="A6" s="0" t="s">
        <v>26</v>
      </c>
      <c r="B6" s="0" t="n">
        <f aca="false">0</f>
        <v>0</v>
      </c>
      <c r="C6" s="0" t="n">
        <f aca="false">SUMPRODUCT((Loans!$F$2:$F$9=C$3)*Loans!$B$2:$B$9)*(1-Inputs!$B$9)</f>
        <v>0</v>
      </c>
      <c r="D6" s="0" t="n">
        <f aca="false">SUMPRODUCT((Loans!$F$2:$F$9=D$3)*Loans!$B$2:$B$9)*(1-Inputs!$B$9)</f>
        <v>16</v>
      </c>
      <c r="E6" s="0" t="n">
        <f aca="false">SUMPRODUCT((Loans!$F$2:$F$9=E$3)*Loans!$B$2:$B$9)*(1-Inputs!$B$9)</f>
        <v>0</v>
      </c>
      <c r="F6" s="0" t="n">
        <f aca="false">SUMPRODUCT((Loans!$F$2:$F$9=F$3)*Loans!$B$2:$B$9)*(1-Inputs!$B$9)</f>
        <v>0</v>
      </c>
      <c r="G6" s="0" t="n">
        <f aca="false">SUMPRODUCT((Loans!$F$2:$F$9=G$3)*Loans!$B$2:$B$9)*(1-Inputs!$B$9)</f>
        <v>0</v>
      </c>
    </row>
    <row r="7" customFormat="false" ht="15" hidden="false" customHeight="false" outlineLevel="0" collapsed="false">
      <c r="A7" s="0" t="s">
        <v>27</v>
      </c>
      <c r="B7" s="0" t="n">
        <f aca="false">0</f>
        <v>0</v>
      </c>
      <c r="C7" s="0" t="n">
        <f aca="false">SUMPRODUCT((Loans!$E$2:$E$9=C$3)*(Loans!$F$2:$F$9=0)*Loans!$B$2:$B$9)+SUMPRODUCT((Loans!$F$2:$F$9=C$3)*Loans!$B$2:$B$9)*Inputs!$B$9</f>
        <v>0</v>
      </c>
      <c r="D7" s="0" t="n">
        <f aca="false">SUMPRODUCT((Loans!$E$2:$E$9=D$3)*(Loans!$F$2:$F$9=0)*Loans!$B$2:$B$9)+SUMPRODUCT((Loans!$F$2:$F$9=D$3)*Loans!$B$2:$B$9)*Inputs!$B$9</f>
        <v>124</v>
      </c>
      <c r="E7" s="0" t="n">
        <f aca="false">SUMPRODUCT((Loans!$E$2:$E$9=E$3)*(Loans!$F$2:$F$9=0)*Loans!$B$2:$B$9)+SUMPRODUCT((Loans!$F$2:$F$9=E$3)*Loans!$B$2:$B$9)*Inputs!$B$9</f>
        <v>120</v>
      </c>
      <c r="F7" s="0" t="n">
        <f aca="false">SUMPRODUCT((Loans!$E$2:$E$9=F$3)*(Loans!$F$2:$F$9=0)*Loans!$B$2:$B$9)+SUMPRODUCT((Loans!$F$2:$F$9=F$3)*Loans!$B$2:$B$9)*Inputs!$B$9</f>
        <v>240</v>
      </c>
      <c r="G7" s="0" t="n">
        <f aca="false">SUMPRODUCT((Loans!$E$2:$E$9=G$3)*(Loans!$F$2:$F$9=0)*Loans!$B$2:$B$9)+SUMPRODUCT((Loans!$F$2:$F$9=G$3)*Loans!$B$2:$B$9)*Inputs!$B$9</f>
        <v>200</v>
      </c>
    </row>
    <row r="8" customFormat="false" ht="15" hidden="false" customHeight="false" outlineLevel="0" collapsed="false">
      <c r="A8" s="0" t="s">
        <v>28</v>
      </c>
      <c r="B8" s="0" t="n">
        <f aca="false">0</f>
        <v>0</v>
      </c>
      <c r="C8" s="0" t="n">
        <f aca="false">MIN(Inputs!$B$3*Inputs!$B$4,B4*Inputs!$B$4/(1+Inputs!$B$4))*Inputs!$B$5</f>
        <v>13.05</v>
      </c>
      <c r="D8" s="0" t="n">
        <f aca="false">MIN(Inputs!$B$3*Inputs!$B$4,C4*Inputs!$B$4/(1+Inputs!$B$4))*Inputs!$B$5</f>
        <v>13.05</v>
      </c>
      <c r="E8" s="0" t="n">
        <f aca="false">MIN(Inputs!$B$3*Inputs!$B$4,D4*Inputs!$B$4/(1+Inputs!$B$4))*Inputs!$B$5</f>
        <v>10.8266666666667</v>
      </c>
      <c r="F8" s="0" t="n">
        <f aca="false">MIN(Inputs!$B$3*Inputs!$B$4,E4*Inputs!$B$4/(1+Inputs!$B$4))*Inputs!$B$5</f>
        <v>8.50666666666667</v>
      </c>
      <c r="G8" s="0" t="n">
        <f aca="false">MIN(Inputs!$B$3*Inputs!$B$4,F4*Inputs!$B$4/(1+Inputs!$B$4))*Inputs!$B$5</f>
        <v>3.86666666666667</v>
      </c>
    </row>
    <row r="9" customFormat="false" ht="15" hidden="false" customHeight="false" outlineLevel="0" collapsed="false">
      <c r="A9" s="0" t="s">
        <v>29</v>
      </c>
      <c r="B9" s="0" t="n">
        <f aca="false">0</f>
        <v>0</v>
      </c>
      <c r="C9" s="0" t="n">
        <f aca="false">Inputs!$B$3*Inputs!$B$6</f>
        <v>3.375</v>
      </c>
      <c r="D9" s="0" t="n">
        <f aca="false">Inputs!$B$3*Inputs!$B$6</f>
        <v>3.375</v>
      </c>
      <c r="E9" s="0" t="n">
        <f aca="false">Inputs!$B$3*Inputs!$B$6</f>
        <v>3.375</v>
      </c>
      <c r="F9" s="0" t="n">
        <f aca="false">Inputs!$B$3*Inputs!$B$6</f>
        <v>3.375</v>
      </c>
      <c r="G9" s="0" t="n">
        <f aca="false">Inputs!$B$3*Inputs!$B$6</f>
        <v>3.375</v>
      </c>
    </row>
    <row r="10" customFormat="false" ht="15" hidden="false" customHeight="false" outlineLevel="0" collapsed="false">
      <c r="A10" s="0" t="s">
        <v>30</v>
      </c>
      <c r="B10" s="0" t="n">
        <f aca="false">0</f>
        <v>0</v>
      </c>
      <c r="C10" s="1" t="n">
        <f aca="false">Inputs!$B$10</f>
        <v>2.2</v>
      </c>
      <c r="D10" s="1" t="n">
        <f aca="false">Inputs!$B$10</f>
        <v>2.2</v>
      </c>
      <c r="E10" s="1" t="n">
        <f aca="false">Inputs!$B$10</f>
        <v>2.2</v>
      </c>
      <c r="F10" s="1" t="n">
        <f aca="false">Inputs!$B$10</f>
        <v>2.2</v>
      </c>
      <c r="G10" s="1" t="n">
        <f aca="false">Inputs!$B$10</f>
        <v>2.2</v>
      </c>
    </row>
    <row r="11" customFormat="false" ht="15" hidden="false" customHeight="false" outlineLevel="0" collapsed="false">
      <c r="A11" s="0" t="s">
        <v>31</v>
      </c>
      <c r="B11" s="0" t="n">
        <f aca="false">B5-B6-B8-B9-B10</f>
        <v>0</v>
      </c>
      <c r="C11" s="0" t="n">
        <f aca="false">C5-C6-C8-C9-C10</f>
        <v>41.01</v>
      </c>
      <c r="D11" s="0" t="n">
        <f aca="false">D5-D6-D8-D9-D10</f>
        <v>17.17</v>
      </c>
      <c r="E11" s="0" t="n">
        <f aca="false">E5-E6-E8-E9-E10</f>
        <v>29.0933333333333</v>
      </c>
      <c r="F11" s="0" t="n">
        <f aca="false">F5-F6-F8-F9-F10</f>
        <v>21.2133333333333</v>
      </c>
      <c r="G11" s="0" t="n">
        <f aca="false">G5-G6-G8-G9-G10</f>
        <v>6.84833333333333</v>
      </c>
    </row>
    <row r="12" customFormat="false" ht="15" hidden="false" customHeight="false" outlineLevel="0" collapsed="false">
      <c r="A12" s="0" t="s">
        <v>32</v>
      </c>
      <c r="B12" s="0" t="n">
        <f aca="false">0</f>
        <v>0</v>
      </c>
      <c r="C12" s="0" t="n">
        <f aca="false">MAX(0,C11-Inputs!$B$3*Inputs!$B$7)*Inputs!$B$8</f>
        <v>2.1015</v>
      </c>
      <c r="D12" s="0" t="n">
        <f aca="false">MAX(0,D11-Inputs!$B$3*Inputs!$B$7)*Inputs!$B$8</f>
        <v>0</v>
      </c>
      <c r="E12" s="0" t="n">
        <f aca="false">MAX(0,E11-Inputs!$B$3*Inputs!$B$7)*Inputs!$B$8</f>
        <v>0.314</v>
      </c>
      <c r="F12" s="0" t="n">
        <f aca="false">MAX(0,F11-Inputs!$B$3*Inputs!$B$7)*Inputs!$B$8</f>
        <v>0</v>
      </c>
      <c r="G12" s="0" t="n">
        <f aca="false">MAX(0,G11-Inputs!$B$3*Inputs!$B$7)*Inputs!$B$8</f>
        <v>0</v>
      </c>
    </row>
    <row r="13" customFormat="false" ht="15" hidden="false" customHeight="false" outlineLevel="0" collapsed="false">
      <c r="A13" s="0" t="s">
        <v>33</v>
      </c>
      <c r="B13" s="0" t="n">
        <f aca="false">-Inputs!$B$3</f>
        <v>-450</v>
      </c>
      <c r="C13" s="0" t="n">
        <f aca="false">C11-C12+C7*Inputs!$B$3/SUM(Loans!$B$2:$B$9)</f>
        <v>38.9085</v>
      </c>
      <c r="D13" s="0" t="n">
        <f aca="false">D11-D12+D7*Inputs!$B$3/SUM(Loans!$B$2:$B$9)</f>
        <v>96.8842857142857</v>
      </c>
      <c r="E13" s="0" t="n">
        <f aca="false">E11-E12+E7*Inputs!$B$3/SUM(Loans!$B$2:$B$9)</f>
        <v>105.92219047619</v>
      </c>
      <c r="F13" s="0" t="n">
        <f aca="false">F11-F12+F7*Inputs!$B$3/SUM(Loans!$B$2:$B$9)</f>
        <v>175.499047619048</v>
      </c>
      <c r="G13" s="0" t="n">
        <f aca="false">G11-G12+G7*Inputs!$B$3/SUM(Loans!$B$2:$B$9)</f>
        <v>135.419761904762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34</v>
      </c>
      <c r="B3" s="3" t="n">
        <f aca="false">IRR(Fund!$B$13:$G$13)</f>
        <v>0.0614329743438113</v>
      </c>
    </row>
    <row r="4" customFormat="false" ht="15" hidden="false" customHeight="false" outlineLevel="0" collapsed="false">
      <c r="A4" s="0" t="s">
        <v>35</v>
      </c>
      <c r="B4" s="3" t="n">
        <f aca="false">SUMPRODUCT(Loans!B2:B9,Loans!C2:C9)/SUM(Loans!B2:B9)</f>
        <v>0.0851928571428571</v>
      </c>
    </row>
    <row r="5" customFormat="false" ht="15" hidden="false" customHeight="false" outlineLevel="0" collapsed="false">
      <c r="A5" s="0" t="s">
        <v>36</v>
      </c>
      <c r="B5" s="3" t="n">
        <f aca="false">SUMPRODUCT(Loans!B2:B9,Loans!D2:D9)/SUM(Loans!B2:B9)</f>
        <v>0.623714285714286</v>
      </c>
    </row>
    <row r="6" customFormat="false" ht="15" hidden="false" customHeight="false" outlineLevel="0" collapsed="false">
      <c r="A6" s="0" t="s">
        <v>37</v>
      </c>
      <c r="B6" s="1" t="n">
        <f aca="false">SUM(Fund!$B$6:$G$6)</f>
        <v>16</v>
      </c>
    </row>
    <row r="7" customFormat="false" ht="15" hidden="false" customHeight="false" outlineLevel="0" collapsed="false">
      <c r="A7" s="0" t="s">
        <v>38</v>
      </c>
      <c r="B7" s="1" t="n">
        <f aca="false">SUM(Fund!$B$12:$G$12)</f>
        <v>2.4155</v>
      </c>
    </row>
    <row r="8" customFormat="false" ht="15" hidden="false" customHeight="false" outlineLevel="0" collapsed="false">
      <c r="A8" s="0" t="s">
        <v>39</v>
      </c>
      <c r="B8" s="1" t="n">
        <f aca="false">SUM(Fund!$B$13:$G$13)</f>
        <v>102.633785714286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2026-10-18T01:10:31Z</dcterms:created>
  <dc:creator>openpyxl</dc:creator>
  <dc:description/>
  <dc:language>en-US</dc:language>
  <cp:lastModifiedBy/>
  <dcterms:modified xsi:type="dcterms:W3CDTF">2026-10-18T01:10:31Z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