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enancy" sheetId="2" state="visible" r:id="rId4"/>
    <sheet name="Rent" sheetId="3" state="visible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<sst xmlns="http://schemas.openxmlformats.org/spreadsheetml/2006/main" count="64" uniqueCount="60">
  <si>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70 FENCHURCH AVENUE – MULTI-LET OFFICE DCF (GBP)</t>
  </si>
  <si>
    <t xml:space="preserve">Valuation date</t>
  </si>
  <si>
    <t xml:space="preserve">Purchase price (£)</t>
  </si>
  <si>
    <t xml:space="preserve">Purchase costs</t>
  </si>
  <si>
    <t xml:space="preserve">ERV growth a year</t>
  </si>
  <si>
    <t xml:space="preserve">Void on a new letting (months)</t>
  </si>
  <si>
    <t xml:space="preserve">Rent free, new letting (months)</t>
  </si>
  <si>
    <t xml:space="preserve">Rent free, renewal (months)</t>
  </si>
  <si>
    <t xml:space="preserve">Fit-out contribution, new (£/sq ft)</t>
  </si>
  <si>
    <t xml:space="preserve">Fit-out contribution, renewal (£/sq ft)</t>
  </si>
  <si>
    <t xml:space="preserve">Letting fees (% of first-year rent)</t>
  </si>
  <si>
    <t xml:space="preserve">Non-recoverable costs (% of rent)</t>
  </si>
  <si>
    <t xml:space="preserve">Discount rate</t>
  </si>
  <si>
    <t xml:space="preserve">Exit yield</t>
  </si>
  <si>
    <t xml:space="preserve">Sale costs</t>
  </si>
  <si>
    <t xml:space="preserve">Floor</t>
  </si>
  <si>
    <t xml:space="preserve">Tenant</t>
  </si>
  <si>
    <t xml:space="preserve">Area (sq ft)</t>
  </si>
  <si>
    <t xml:space="preserve">Passing rent (£/sq ft)</t>
  </si>
  <si>
    <t xml:space="preserve">Lease expiry</t>
  </si>
  <si>
    <t xml:space="preserve">ERV (£/sq ft)</t>
  </si>
  <si>
    <t xml:space="preserve">Renewal probability</t>
  </si>
  <si>
    <t xml:space="preserve">Ground</t>
  </si>
  <si>
    <t xml:space="preserve">Fenchurch Retail</t>
  </si>
  <si>
    <t xml:space="preserve">1</t>
  </si>
  <si>
    <t xml:space="preserve">Halden Insurance</t>
  </si>
  <si>
    <t xml:space="preserve">2</t>
  </si>
  <si>
    <t xml:space="preserve">3</t>
  </si>
  <si>
    <t xml:space="preserve">Marlow Legal</t>
  </si>
  <si>
    <t xml:space="preserve">4</t>
  </si>
  <si>
    <t xml:space="preserve">Vacant</t>
  </si>
  <si>
    <t xml:space="preserve">5</t>
  </si>
  <si>
    <t xml:space="preserve">Coral Re</t>
  </si>
  <si>
    <t xml:space="preserve">6</t>
  </si>
  <si>
    <t xml:space="preserve">Tessel Bank</t>
  </si>
  <si>
    <t xml:space="preserve">7</t>
  </si>
  <si>
    <t xml:space="preserve">8</t>
  </si>
  <si>
    <t xml:space="preserve">Arkwright Partners</t>
  </si>
  <si>
    <t xml:space="preserve">9</t>
  </si>
  <si>
    <t xml:space="preserve">10</t>
  </si>
  <si>
    <t xml:space="preserve">Nimbus Capital</t>
  </si>
  <si>
    <t xml:space="preserve">11</t>
  </si>
  <si>
    <t xml:space="preserve">Year</t>
  </si>
  <si>
    <t xml:space="preserve">Year start</t>
  </si>
  <si>
    <t xml:space="preserve">Year start date</t>
  </si>
  <si>
    <t xml:space="preserve">Tenant rows: rent received (probability-weighted)</t>
  </si>
  <si>
    <t xml:space="preserve">Rent received</t>
  </si>
  <si>
    <t xml:space="preserve">Leasing costs (probability-weighted)</t>
  </si>
  <si>
    <t xml:space="preserve">Non-recoverable costs</t>
  </si>
  <si>
    <t xml:space="preserve">Net operating income</t>
  </si>
  <si>
    <t xml:space="preserve">Exit value</t>
  </si>
  <si>
    <t xml:space="preserve">Net cash flow</t>
  </si>
  <si>
    <t xml:space="preserve">Net present value (£)</t>
  </si>
  <si>
    <t xml:space="preserve">Value less price and costs (£)</t>
  </si>
  <si>
    <t xml:space="preserve">Unlevered IRR</t>
  </si>
  <si>
    <t xml:space="preserve">Year 1 net operating income (£)</t>
  </si>
  <si>
    <t xml:space="preserve">Net initial yield</t>
  </si>
  <si>
    <t xml:space="preserve">WAULT to expiry (years)</t>
  </si>
  <si>
    <t xml:space="preserve">Exit value (£)</t>
  </si>
  <si>
    <t xml:space="preserve">IRR cash flow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</si>
</sst>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.00%"/>
    <numFmt numFmtId="168" formatCode="0"/>
    <numFmt numFmtId="169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46023</v>
      </c>
    </row>
    <row r="4" customFormat="false" ht="15" hidden="false" customHeight="false" outlineLevel="0" collapsed="false">
      <c r="A4" s="0" t="s">
        <v>2</v>
      </c>
      <c r="B4" s="2" t="n">
        <v>245000000</v>
      </c>
    </row>
    <row r="5" customFormat="false" ht="15" hidden="false" customHeight="false" outlineLevel="0" collapsed="false">
      <c r="A5" s="0" t="s">
        <v>3</v>
      </c>
      <c r="B5" s="3" t="n">
        <v>0.068</v>
      </c>
    </row>
    <row r="6" customFormat="false" ht="15" hidden="false" customHeight="false" outlineLevel="0" collapsed="false">
      <c r="A6" s="0" t="s">
        <v>4</v>
      </c>
      <c r="B6" s="3" t="n">
        <v>0.025</v>
      </c>
    </row>
    <row r="7" customFormat="false" ht="15" hidden="false" customHeight="false" outlineLevel="0" collapsed="false">
      <c r="A7" s="0" t="s">
        <v>5</v>
      </c>
      <c r="B7" s="4" t="n">
        <v>12</v>
      </c>
    </row>
    <row r="8" customFormat="false" ht="15" hidden="false" customHeight="false" outlineLevel="0" collapsed="false">
      <c r="A8" s="0" t="s">
        <v>6</v>
      </c>
      <c r="B8" s="4" t="n">
        <v>18</v>
      </c>
    </row>
    <row r="9" customFormat="false" ht="15" hidden="false" customHeight="false" outlineLevel="0" collapsed="false">
      <c r="A9" s="0" t="s">
        <v>7</v>
      </c>
      <c r="B9" s="4" t="n">
        <v>6</v>
      </c>
    </row>
    <row r="10" customFormat="false" ht="15" hidden="false" customHeight="false" outlineLevel="0" collapsed="false">
      <c r="A10" s="0" t="s">
        <v>8</v>
      </c>
      <c r="B10" s="2" t="n">
        <v>60</v>
      </c>
    </row>
    <row r="11" customFormat="false" ht="15" hidden="false" customHeight="false" outlineLevel="0" collapsed="false">
      <c r="A11" s="0" t="s">
        <v>9</v>
      </c>
      <c r="B11" s="2" t="n">
        <v>20</v>
      </c>
    </row>
    <row r="12" customFormat="false" ht="15" hidden="false" customHeight="false" outlineLevel="0" collapsed="false">
      <c r="A12" s="0" t="s">
        <v>10</v>
      </c>
      <c r="B12" s="3" t="n">
        <v>0.15</v>
      </c>
    </row>
    <row r="13" customFormat="false" ht="15" hidden="false" customHeight="false" outlineLevel="0" collapsed="false">
      <c r="A13" s="0" t="s">
        <v>11</v>
      </c>
      <c r="B13" s="3" t="n">
        <v>0.04</v>
      </c>
    </row>
    <row r="14" customFormat="false" ht="15" hidden="false" customHeight="false" outlineLevel="0" collapsed="false">
      <c r="A14" s="0" t="s">
        <v>12</v>
      </c>
      <c r="B14" s="3" t="n">
        <v>0.075</v>
      </c>
    </row>
    <row r="15" customFormat="false" ht="15" hidden="false" customHeight="false" outlineLevel="0" collapsed="false">
      <c r="A15" s="0" t="s">
        <v>13</v>
      </c>
      <c r="B15" s="3" t="n">
        <v>0.0525</v>
      </c>
    </row>
    <row r="16" customFormat="false" ht="15" hidden="false" customHeight="false" outlineLevel="0" collapsed="false">
      <c r="A16" s="0" t="s">
        <v>14</v>
      </c>
      <c r="B16" s="3" t="n">
        <v>0.018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n">
        <v>12000</v>
      </c>
      <c r="D2" s="5" t="n">
        <v>72</v>
      </c>
      <c r="E2" s="1" t="n">
        <v>48023</v>
      </c>
      <c r="F2" s="5" t="n">
        <v>70</v>
      </c>
      <c r="G2" s="3" t="n">
        <v>0.6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n">
        <v>21000</v>
      </c>
      <c r="D3" s="5" t="n">
        <v>61.5</v>
      </c>
      <c r="E3" s="1" t="n">
        <v>46470</v>
      </c>
      <c r="F3" s="5" t="n">
        <v>68</v>
      </c>
      <c r="G3" s="3" t="n">
        <v>0.55</v>
      </c>
    </row>
    <row r="4" customFormat="false" ht="15" hidden="false" customHeight="false" outlineLevel="0" collapsed="false">
      <c r="A4" s="0" t="s">
        <v>26</v>
      </c>
      <c r="B4" s="0" t="s">
        <v>25</v>
      </c>
      <c r="C4" s="0" t="n">
        <v>21000</v>
      </c>
      <c r="D4" s="5" t="n">
        <v>61.5</v>
      </c>
      <c r="E4" s="1" t="n">
        <v>46470</v>
      </c>
      <c r="F4" s="5" t="n">
        <v>68</v>
      </c>
      <c r="G4" s="3" t="n">
        <v>0.55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n">
        <v>21000</v>
      </c>
      <c r="D5" s="5" t="n">
        <v>64</v>
      </c>
      <c r="E5" s="1" t="n">
        <v>47389</v>
      </c>
      <c r="F5" s="5" t="n">
        <v>68</v>
      </c>
      <c r="G5" s="3" t="n">
        <v>0.7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21000</v>
      </c>
      <c r="D6" s="5" t="n">
        <v>0</v>
      </c>
      <c r="E6" s="1" t="n">
        <v>46023</v>
      </c>
      <c r="F6" s="5" t="n">
        <v>68</v>
      </c>
      <c r="G6" s="3" t="n">
        <v>0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n">
        <v>20500</v>
      </c>
      <c r="D7" s="5" t="n">
        <v>66</v>
      </c>
      <c r="E7" s="1" t="n">
        <v>48572</v>
      </c>
      <c r="F7" s="5" t="n">
        <v>69</v>
      </c>
      <c r="G7" s="3" t="n">
        <v>0.65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n">
        <v>20500</v>
      </c>
      <c r="D8" s="5" t="n">
        <v>63</v>
      </c>
      <c r="E8" s="1" t="n">
        <v>46927</v>
      </c>
      <c r="F8" s="5" t="n">
        <v>69</v>
      </c>
      <c r="G8" s="3" t="n">
        <v>0.5</v>
      </c>
    </row>
    <row r="9" customFormat="false" ht="15" hidden="false" customHeight="false" outlineLevel="0" collapsed="false">
      <c r="A9" s="0" t="s">
        <v>35</v>
      </c>
      <c r="B9" s="0" t="s">
        <v>34</v>
      </c>
      <c r="C9" s="0" t="n">
        <v>20500</v>
      </c>
      <c r="D9" s="5" t="n">
        <v>63</v>
      </c>
      <c r="E9" s="1" t="n">
        <v>46927</v>
      </c>
      <c r="F9" s="5" t="n">
        <v>69</v>
      </c>
      <c r="G9" s="3" t="n">
        <v>0.5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n">
        <v>19000</v>
      </c>
      <c r="D10" s="5" t="n">
        <v>70</v>
      </c>
      <c r="E10" s="1" t="n">
        <v>49027</v>
      </c>
      <c r="F10" s="5" t="n">
        <v>72</v>
      </c>
      <c r="G10" s="3" t="n">
        <v>0.6</v>
      </c>
    </row>
    <row r="11" customFormat="false" ht="15" hidden="false" customHeight="false" outlineLevel="0" collapsed="false">
      <c r="A11" s="0" t="s">
        <v>38</v>
      </c>
      <c r="B11" s="0" t="s">
        <v>37</v>
      </c>
      <c r="C11" s="0" t="n">
        <v>19000</v>
      </c>
      <c r="D11" s="5" t="n">
        <v>70</v>
      </c>
      <c r="E11" s="1" t="n">
        <v>49027</v>
      </c>
      <c r="F11" s="5" t="n">
        <v>72</v>
      </c>
      <c r="G11" s="3" t="n">
        <v>0.6</v>
      </c>
    </row>
    <row r="12" customFormat="false" ht="15" hidden="false" customHeight="false" outlineLevel="0" collapsed="false">
      <c r="A12" s="0" t="s">
        <v>39</v>
      </c>
      <c r="B12" s="0" t="s">
        <v>40</v>
      </c>
      <c r="C12" s="0" t="n">
        <v>17000</v>
      </c>
      <c r="D12" s="5" t="n">
        <v>78</v>
      </c>
      <c r="E12" s="1" t="n">
        <v>47841</v>
      </c>
      <c r="F12" s="5" t="n">
        <v>76</v>
      </c>
      <c r="G12" s="3" t="n">
        <v>0.45</v>
      </c>
    </row>
    <row r="13" customFormat="false" ht="15" hidden="false" customHeight="false" outlineLevel="0" collapsed="false">
      <c r="A13" s="0" t="s">
        <v>41</v>
      </c>
      <c r="B13" s="0" t="s">
        <v>40</v>
      </c>
      <c r="C13" s="0" t="n">
        <v>17000</v>
      </c>
      <c r="D13" s="5" t="n">
        <v>78</v>
      </c>
      <c r="E13" s="1" t="n">
        <v>47841</v>
      </c>
      <c r="F13" s="5" t="n">
        <v>76</v>
      </c>
      <c r="G13" s="3" t="n">
        <v>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42</v>
      </c>
      <c r="B2" s="0" t="s">
        <v>43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n">
        <v>10</v>
      </c>
      <c r="M2" s="0" t="n">
        <v>11</v>
      </c>
    </row>
    <row r="3" customFormat="false" ht="15" hidden="false" customHeight="false" outlineLevel="0" collapsed="false">
      <c r="A3" s="0" t="s">
        <v>44</v>
      </c>
      <c r="C3" s="1" t="n">
        <f aca="false">EDATE(Inputs!$B$3,12*0)</f>
        <v>46023</v>
      </c>
      <c r="D3" s="1" t="n">
        <f aca="false">EDATE(Inputs!$B$3,12*1)</f>
        <v>46388</v>
      </c>
      <c r="E3" s="1" t="n">
        <f aca="false">EDATE(Inputs!$B$3,12*2)</f>
        <v>46753</v>
      </c>
      <c r="F3" s="1" t="n">
        <f aca="false">EDATE(Inputs!$B$3,12*3)</f>
        <v>47119</v>
      </c>
      <c r="G3" s="1" t="n">
        <f aca="false">EDATE(Inputs!$B$3,12*4)</f>
        <v>47484</v>
      </c>
      <c r="H3" s="1" t="n">
        <f aca="false">EDATE(Inputs!$B$3,12*5)</f>
        <v>47849</v>
      </c>
      <c r="I3" s="1" t="n">
        <f aca="false">EDATE(Inputs!$B$3,12*6)</f>
        <v>48214</v>
      </c>
      <c r="J3" s="1" t="n">
        <f aca="false">EDATE(Inputs!$B$3,12*7)</f>
        <v>48580</v>
      </c>
      <c r="K3" s="1" t="n">
        <f aca="false">EDATE(Inputs!$B$3,12*8)</f>
        <v>48945</v>
      </c>
      <c r="L3" s="1" t="n">
        <f aca="false">EDATE(Inputs!$B$3,12*9)</f>
        <v>49310</v>
      </c>
      <c r="M3" s="1" t="n">
        <f aca="false">EDATE(Inputs!$B$3,12*10)</f>
        <v>49675</v>
      </c>
    </row>
    <row r="4" customFormat="false" ht="15" hidden="false" customHeight="false" outlineLevel="0" collapsed="false">
      <c r="A4" s="0" t="s">
        <v>45</v>
      </c>
    </row>
    <row r="5" customFormat="false" ht="15" hidden="false" customHeight="false" outlineLevel="0" collapsed="false">
      <c r="A5" s="0" t="str">
        <f aca="false">Tenancy!B2&amp;" · "&amp;Tenancy!A2</f>
        <v>Fenchurch Retail · Ground</v>
      </c>
      <c r="C5" s="0" t="n">
        <f aca="false">Tenancy!$C$2*(Tenancy!$D$2*MAX(0,MIN(1,YEARFRAC(C$3,MIN(Tenancy!$E$2,EDATE(C$3,12)),1)*(Tenancy!$E$2&gt;C$3)))+Tenancy!$F$2*(1+Inputs!$B$6)^(C$2-1)*IF(Tenancy!$E$2&lt;EDATE(C$3,12),Tenancy!$G$2*MAX(0,MAX(0,MIN(12,DATEDIF(MAX(Tenancy!$E$2,C$3),EDATE(C$3,12),"m")))-MAX(0,Inputs!$B$9-IF(Tenancy!$E$2&lt;C$3,DATEDIF(Tenancy!$E$2,C$3,"m"),0)))/12+(1-Tenancy!$G$2)*MAX(0,MAX(0,MIN(12,DATEDIF(MAX(Tenancy!$E$2,C$3),EDATE(C$3,12),"m")))-MAX(0,Inputs!$B$7+Inputs!$B$8-IF(Tenancy!$E$2&lt;C$3,DATEDIF(Tenancy!$E$2,C$3,"m"),0)))/12,0))</f>
        <v>864000</v>
      </c>
      <c r="D5" s="0" t="n">
        <f aca="false">Tenancy!$C$2*(Tenancy!$D$2*MAX(0,MIN(1,YEARFRAC(D$3,MIN(Tenancy!$E$2,EDATE(D$3,12)),1)*(Tenancy!$E$2&gt;D$3)))+Tenancy!$F$2*(1+Inputs!$B$6)^(D$2-1)*IF(Tenancy!$E$2&lt;EDATE(D$3,12),Tenancy!$G$2*MAX(0,MAX(0,MIN(12,DATEDIF(MAX(Tenancy!$E$2,D$3),EDATE(D$3,12),"m")))-MAX(0,Inputs!$B$9-IF(Tenancy!$E$2&lt;D$3,DATEDIF(Tenancy!$E$2,D$3,"m"),0)))/12+(1-Tenancy!$G$2)*MAX(0,MAX(0,MIN(12,DATEDIF(MAX(Tenancy!$E$2,D$3),EDATE(D$3,12),"m")))-MAX(0,Inputs!$B$7+Inputs!$B$8-IF(Tenancy!$E$2&lt;D$3,DATEDIF(Tenancy!$E$2,D$3,"m"),0)))/12,0))</f>
        <v>864000</v>
      </c>
      <c r="E5" s="0" t="n">
        <f aca="false">Tenancy!$C$2*(Tenancy!$D$2*MAX(0,MIN(1,YEARFRAC(E$3,MIN(Tenancy!$E$2,EDATE(E$3,12)),1)*(Tenancy!$E$2&gt;E$3)))+Tenancy!$F$2*(1+Inputs!$B$6)^(E$2-1)*IF(Tenancy!$E$2&lt;EDATE(E$3,12),Tenancy!$G$2*MAX(0,MAX(0,MIN(12,DATEDIF(MAX(Tenancy!$E$2,E$3),EDATE(E$3,12),"m")))-MAX(0,Inputs!$B$9-IF(Tenancy!$E$2&lt;E$3,DATEDIF(Tenancy!$E$2,E$3,"m"),0)))/12+(1-Tenancy!$G$2)*MAX(0,MAX(0,MIN(12,DATEDIF(MAX(Tenancy!$E$2,E$3),EDATE(E$3,12),"m")))-MAX(0,Inputs!$B$7+Inputs!$B$8-IF(Tenancy!$E$2&lt;E$3,DATEDIF(Tenancy!$E$2,E$3,"m"),0)))/12,0))</f>
        <v>864000</v>
      </c>
      <c r="F5" s="0" t="n">
        <f aca="false">Tenancy!$C$2*(Tenancy!$D$2*MAX(0,MIN(1,YEARFRAC(F$3,MIN(Tenancy!$E$2,EDATE(F$3,12)),1)*(Tenancy!$E$2&gt;F$3)))+Tenancy!$F$2*(1+Inputs!$B$6)^(F$2-1)*IF(Tenancy!$E$2&lt;EDATE(F$3,12),Tenancy!$G$2*MAX(0,MAX(0,MIN(12,DATEDIF(MAX(Tenancy!$E$2,F$3),EDATE(F$3,12),"m")))-MAX(0,Inputs!$B$9-IF(Tenancy!$E$2&lt;F$3,DATEDIF(Tenancy!$E$2,F$3,"m"),0)))/12+(1-Tenancy!$G$2)*MAX(0,MAX(0,MIN(12,DATEDIF(MAX(Tenancy!$E$2,F$3),EDATE(F$3,12),"m")))-MAX(0,Inputs!$B$7+Inputs!$B$8-IF(Tenancy!$E$2&lt;F$3,DATEDIF(Tenancy!$E$2,F$3,"m"),0)))/12,0))</f>
        <v>864000</v>
      </c>
      <c r="G5" s="0" t="n">
        <f aca="false">Tenancy!$C$2*(Tenancy!$D$2*MAX(0,MIN(1,YEARFRAC(G$3,MIN(Tenancy!$E$2,EDATE(G$3,12)),1)*(Tenancy!$E$2&gt;G$3)))+Tenancy!$F$2*(1+Inputs!$B$6)^(G$2-1)*IF(Tenancy!$E$2&lt;EDATE(G$3,12),Tenancy!$G$2*MAX(0,MAX(0,MIN(12,DATEDIF(MAX(Tenancy!$E$2,G$3),EDATE(G$3,12),"m")))-MAX(0,Inputs!$B$9-IF(Tenancy!$E$2&lt;G$3,DATEDIF(Tenancy!$E$2,G$3,"m"),0)))/12+(1-Tenancy!$G$2)*MAX(0,MAX(0,MIN(12,DATEDIF(MAX(Tenancy!$E$2,G$3),EDATE(G$3,12),"m")))-MAX(0,Inputs!$B$7+Inputs!$B$8-IF(Tenancy!$E$2&lt;G$3,DATEDIF(Tenancy!$E$2,G$3,"m"),0)))/12,0))</f>
        <v>864000</v>
      </c>
      <c r="H5" s="0" t="n">
        <f aca="false">Tenancy!$C$2*(Tenancy!$D$2*MAX(0,MIN(1,YEARFRAC(H$3,MIN(Tenancy!$E$2,EDATE(H$3,12)),1)*(Tenancy!$E$2&gt;H$3)))+Tenancy!$F$2*(1+Inputs!$B$6)^(H$2-1)*IF(Tenancy!$E$2&lt;EDATE(H$3,12),Tenancy!$G$2*MAX(0,MAX(0,MIN(12,DATEDIF(MAX(Tenancy!$E$2,H$3),EDATE(H$3,12),"m")))-MAX(0,Inputs!$B$9-IF(Tenancy!$E$2&lt;H$3,DATEDIF(Tenancy!$E$2,H$3,"m"),0)))/12+(1-Tenancy!$G$2)*MAX(0,MAX(0,MIN(12,DATEDIF(MAX(Tenancy!$E$2,H$3),EDATE(H$3,12),"m")))-MAX(0,Inputs!$B$7+Inputs!$B$8-IF(Tenancy!$E$2&lt;H$3,DATEDIF(Tenancy!$E$2,H$3,"m"),0)))/12,0))</f>
        <v>411879.452054795</v>
      </c>
      <c r="I5" s="0" t="n">
        <f aca="false">Tenancy!$C$2*(Tenancy!$D$2*MAX(0,MIN(1,YEARFRAC(I$3,MIN(Tenancy!$E$2,EDATE(I$3,12)),1)*(Tenancy!$E$2&gt;I$3)))+Tenancy!$F$2*(1+Inputs!$B$6)^(I$2-1)*IF(Tenancy!$E$2&lt;EDATE(I$3,12),Tenancy!$G$2*MAX(0,MAX(0,MIN(12,DATEDIF(MAX(Tenancy!$E$2,I$3),EDATE(I$3,12),"m")))-MAX(0,Inputs!$B$9-IF(Tenancy!$E$2&lt;I$3,DATEDIF(Tenancy!$E$2,I$3,"m"),0)))/12+(1-Tenancy!$G$2)*MAX(0,MAX(0,MIN(12,DATEDIF(MAX(Tenancy!$E$2,I$3),EDATE(I$3,12),"m")))-MAX(0,Inputs!$B$7+Inputs!$B$8-IF(Tenancy!$E$2&lt;I$3,DATEDIF(Tenancy!$E$2,I$3,"m"),0)))/12,0))</f>
        <v>584485.482779297</v>
      </c>
      <c r="J5" s="0" t="n">
        <f aca="false">Tenancy!$C$2*(Tenancy!$D$2*MAX(0,MIN(1,YEARFRAC(J$3,MIN(Tenancy!$E$2,EDATE(J$3,12)),1)*(Tenancy!$E$2&gt;J$3)))+Tenancy!$F$2*(1+Inputs!$B$6)^(J$2-1)*IF(Tenancy!$E$2&lt;EDATE(J$3,12),Tenancy!$G$2*MAX(0,MAX(0,MIN(12,DATEDIF(MAX(Tenancy!$E$2,J$3),EDATE(J$3,12),"m")))-MAX(0,Inputs!$B$9-IF(Tenancy!$E$2&lt;J$3,DATEDIF(Tenancy!$E$2,J$3,"m"),0)))/12+(1-Tenancy!$G$2)*MAX(0,MAX(0,MIN(12,DATEDIF(MAX(Tenancy!$E$2,J$3),EDATE(J$3,12),"m")))-MAX(0,Inputs!$B$7+Inputs!$B$8-IF(Tenancy!$E$2&lt;J$3,DATEDIF(Tenancy!$E$2,J$3,"m"),0)))/12,0))</f>
        <v>599097.619848779</v>
      </c>
      <c r="K5" s="0" t="n">
        <f aca="false">Tenancy!$C$2*(Tenancy!$D$2*MAX(0,MIN(1,YEARFRAC(K$3,MIN(Tenancy!$E$2,EDATE(K$3,12)),1)*(Tenancy!$E$2&gt;K$3)))+Tenancy!$F$2*(1+Inputs!$B$6)^(K$2-1)*IF(Tenancy!$E$2&lt;EDATE(K$3,12),Tenancy!$G$2*MAX(0,MAX(0,MIN(12,DATEDIF(MAX(Tenancy!$E$2,K$3),EDATE(K$3,12),"m")))-MAX(0,Inputs!$B$9-IF(Tenancy!$E$2&lt;K$3,DATEDIF(Tenancy!$E$2,K$3,"m"),0)))/12+(1-Tenancy!$G$2)*MAX(0,MAX(0,MIN(12,DATEDIF(MAX(Tenancy!$E$2,K$3),EDATE(K$3,12),"m")))-MAX(0,Inputs!$B$7+Inputs!$B$8-IF(Tenancy!$E$2&lt;K$3,DATEDIF(Tenancy!$E$2,K$3,"m"),0)))/12,0))</f>
        <v>1023458.43390833</v>
      </c>
      <c r="L5" s="0" t="n">
        <f aca="false">Tenancy!$C$2*(Tenancy!$D$2*MAX(0,MIN(1,YEARFRAC(L$3,MIN(Tenancy!$E$2,EDATE(L$3,12)),1)*(Tenancy!$E$2&gt;L$3)))+Tenancy!$F$2*(1+Inputs!$B$6)^(L$2-1)*IF(Tenancy!$E$2&lt;EDATE(L$3,12),Tenancy!$G$2*MAX(0,MAX(0,MIN(12,DATEDIF(MAX(Tenancy!$E$2,L$3),EDATE(L$3,12),"m")))-MAX(0,Inputs!$B$9-IF(Tenancy!$E$2&lt;L$3,DATEDIF(Tenancy!$E$2,L$3,"m"),0)))/12+(1-Tenancy!$G$2)*MAX(0,MAX(0,MIN(12,DATEDIF(MAX(Tenancy!$E$2,L$3),EDATE(L$3,12),"m")))-MAX(0,Inputs!$B$7+Inputs!$B$8-IF(Tenancy!$E$2&lt;L$3,DATEDIF(Tenancy!$E$2,L$3,"m"),0)))/12,0))</f>
        <v>1049044.89475604</v>
      </c>
      <c r="M5" s="2" t="n">
        <f aca="false">Tenancy!$C$2*(Tenancy!$D$2*MAX(0,MIN(1,YEARFRAC(M$3,MIN(Tenancy!$E$2,EDATE(M$3,12)),1)*(Tenancy!$E$2&gt;M$3)))+Tenancy!$F$2*(1+Inputs!$B$6)^(M$2-1)*IF(Tenancy!$E$2&lt;EDATE(M$3,12),Tenancy!$G$2*MAX(0,MAX(0,MIN(12,DATEDIF(MAX(Tenancy!$E$2,M$3),EDATE(M$3,12),"m")))-MAX(0,Inputs!$B$9-IF(Tenancy!$E$2&lt;M$3,DATEDIF(Tenancy!$E$2,M$3,"m"),0)))/12+(1-Tenancy!$G$2)*MAX(0,MAX(0,MIN(12,DATEDIF(MAX(Tenancy!$E$2,M$3),EDATE(M$3,12),"m")))-MAX(0,Inputs!$B$7+Inputs!$B$8-IF(Tenancy!$E$2&lt;M$3,DATEDIF(Tenancy!$E$2,M$3,"m"),0)))/12,0))</f>
        <v>1075271.01712494</v>
      </c>
    </row>
    <row r="6" customFormat="false" ht="15" hidden="false" customHeight="false" outlineLevel="0" collapsed="false">
      <c r="A6" s="0" t="str">
        <f aca="false">Tenancy!B3&amp;" · "&amp;Tenancy!A3</f>
        <v>Halden Insurance · 1</v>
      </c>
      <c r="C6" s="0" t="n">
        <f aca="false">Tenancy!$C$3*(Tenancy!$D$3*MAX(0,MIN(1,YEARFRAC(C$3,MIN(Tenancy!$E$3,EDATE(C$3,12)),1)*(Tenancy!$E$3&gt;C$3)))+Tenancy!$F$3*(1+Inputs!$B$6)^(C$2-1)*IF(Tenancy!$E$3&lt;EDATE(C$3,12),Tenancy!$G$3*MAX(0,MAX(0,MIN(12,DATEDIF(MAX(Tenancy!$E$3,C$3),EDATE(C$3,12),"m")))-MAX(0,Inputs!$B$9-IF(Tenancy!$E$3&lt;C$3,DATEDIF(Tenancy!$E$3,C$3,"m"),0)))/12+(1-Tenancy!$G$3)*MAX(0,MAX(0,MIN(12,DATEDIF(MAX(Tenancy!$E$3,C$3),EDATE(C$3,12),"m")))-MAX(0,Inputs!$B$7+Inputs!$B$8-IF(Tenancy!$E$3&lt;C$3,DATEDIF(Tenancy!$E$3,C$3,"m"),0)))/12,0))</f>
        <v>1291500</v>
      </c>
      <c r="D6" s="0" t="n">
        <f aca="false">Tenancy!$C$3*(Tenancy!$D$3*MAX(0,MIN(1,YEARFRAC(D$3,MIN(Tenancy!$E$3,EDATE(D$3,12)),1)*(Tenancy!$E$3&gt;D$3)))+Tenancy!$F$3*(1+Inputs!$B$6)^(D$2-1)*IF(Tenancy!$E$3&lt;EDATE(D$3,12),Tenancy!$G$3*MAX(0,MAX(0,MIN(12,DATEDIF(MAX(Tenancy!$E$3,D$3),EDATE(D$3,12),"m")))-MAX(0,Inputs!$B$9-IF(Tenancy!$E$3&lt;D$3,DATEDIF(Tenancy!$E$3,D$3,"m"),0)))/12+(1-Tenancy!$G$3)*MAX(0,MAX(0,MIN(12,DATEDIF(MAX(Tenancy!$E$3,D$3),EDATE(D$3,12),"m")))-MAX(0,Inputs!$B$7+Inputs!$B$8-IF(Tenancy!$E$3&lt;D$3,DATEDIF(Tenancy!$E$3,D$3,"m"),0)))/12,0))</f>
        <v>491403.955479452</v>
      </c>
      <c r="E6" s="0" t="n">
        <f aca="false">Tenancy!$C$3*(Tenancy!$D$3*MAX(0,MIN(1,YEARFRAC(E$3,MIN(Tenancy!$E$3,EDATE(E$3,12)),1)*(Tenancy!$E$3&gt;E$3)))+Tenancy!$F$3*(1+Inputs!$B$6)^(E$2-1)*IF(Tenancy!$E$3&lt;EDATE(E$3,12),Tenancy!$G$3*MAX(0,MAX(0,MIN(12,DATEDIF(MAX(Tenancy!$E$3,E$3),EDATE(E$3,12),"m")))-MAX(0,Inputs!$B$9-IF(Tenancy!$E$3&lt;E$3,DATEDIF(Tenancy!$E$3,E$3,"m"),0)))/12+(1-Tenancy!$G$3)*MAX(0,MAX(0,MIN(12,DATEDIF(MAX(Tenancy!$E$3,E$3),EDATE(E$3,12),"m")))-MAX(0,Inputs!$B$7+Inputs!$B$8-IF(Tenancy!$E$3&lt;E$3,DATEDIF(Tenancy!$E$3,E$3,"m"),0)))/12,0))</f>
        <v>825160.875</v>
      </c>
      <c r="F6" s="0" t="n">
        <f aca="false">Tenancy!$C$3*(Tenancy!$D$3*MAX(0,MIN(1,YEARFRAC(F$3,MIN(Tenancy!$E$3,EDATE(F$3,12)),1)*(Tenancy!$E$3&gt;F$3)))+Tenancy!$F$3*(1+Inputs!$B$6)^(F$2-1)*IF(Tenancy!$E$3&lt;EDATE(F$3,12),Tenancy!$G$3*MAX(0,MAX(0,MIN(12,DATEDIF(MAX(Tenancy!$E$3,F$3),EDATE(F$3,12),"m")))-MAX(0,Inputs!$B$9-IF(Tenancy!$E$3&lt;F$3,DATEDIF(Tenancy!$E$3,F$3,"m"),0)))/12+(1-Tenancy!$G$3)*MAX(0,MAX(0,MIN(12,DATEDIF(MAX(Tenancy!$E$3,F$3),EDATE(F$3,12),"m")))-MAX(0,Inputs!$B$7+Inputs!$B$8-IF(Tenancy!$E$3&lt;F$3,DATEDIF(Tenancy!$E$3,F$3,"m"),0)))/12,0))</f>
        <v>1018792.37578125</v>
      </c>
      <c r="G6" s="0" t="n">
        <f aca="false">Tenancy!$C$3*(Tenancy!$D$3*MAX(0,MIN(1,YEARFRAC(G$3,MIN(Tenancy!$E$3,EDATE(G$3,12)),1)*(Tenancy!$E$3&gt;G$3)))+Tenancy!$F$3*(1+Inputs!$B$6)^(G$2-1)*IF(Tenancy!$E$3&lt;EDATE(G$3,12),Tenancy!$G$3*MAX(0,MAX(0,MIN(12,DATEDIF(MAX(Tenancy!$E$3,G$3),EDATE(G$3,12),"m")))-MAX(0,Inputs!$B$9-IF(Tenancy!$E$3&lt;G$3,DATEDIF(Tenancy!$E$3,G$3,"m"),0)))/12+(1-Tenancy!$G$3)*MAX(0,MAX(0,MIN(12,DATEDIF(MAX(Tenancy!$E$3,G$3),EDATE(G$3,12),"m")))-MAX(0,Inputs!$B$7+Inputs!$B$8-IF(Tenancy!$E$3&lt;G$3,DATEDIF(Tenancy!$E$3,G$3,"m"),0)))/12,0))</f>
        <v>1576244.8078125</v>
      </c>
      <c r="H6" s="0" t="n">
        <f aca="false">Tenancy!$C$3*(Tenancy!$D$3*MAX(0,MIN(1,YEARFRAC(H$3,MIN(Tenancy!$E$3,EDATE(H$3,12)),1)*(Tenancy!$E$3&gt;H$3)))+Tenancy!$F$3*(1+Inputs!$B$6)^(H$2-1)*IF(Tenancy!$E$3&lt;EDATE(H$3,12),Tenancy!$G$3*MAX(0,MAX(0,MIN(12,DATEDIF(MAX(Tenancy!$E$3,H$3),EDATE(H$3,12),"m")))-MAX(0,Inputs!$B$9-IF(Tenancy!$E$3&lt;H$3,DATEDIF(Tenancy!$E$3,H$3,"m"),0)))/12+(1-Tenancy!$G$3)*MAX(0,MAX(0,MIN(12,DATEDIF(MAX(Tenancy!$E$3,H$3),EDATE(H$3,12),"m")))-MAX(0,Inputs!$B$7+Inputs!$B$8-IF(Tenancy!$E$3&lt;H$3,DATEDIF(Tenancy!$E$3,H$3,"m"),0)))/12,0))</f>
        <v>1615650.92800781</v>
      </c>
      <c r="I6" s="0" t="n">
        <f aca="false">Tenancy!$C$3*(Tenancy!$D$3*MAX(0,MIN(1,YEARFRAC(I$3,MIN(Tenancy!$E$3,EDATE(I$3,12)),1)*(Tenancy!$E$3&gt;I$3)))+Tenancy!$F$3*(1+Inputs!$B$6)^(I$2-1)*IF(Tenancy!$E$3&lt;EDATE(I$3,12),Tenancy!$G$3*MAX(0,MAX(0,MIN(12,DATEDIF(MAX(Tenancy!$E$3,I$3),EDATE(I$3,12),"m")))-MAX(0,Inputs!$B$9-IF(Tenancy!$E$3&lt;I$3,DATEDIF(Tenancy!$E$3,I$3,"m"),0)))/12+(1-Tenancy!$G$3)*MAX(0,MAX(0,MIN(12,DATEDIF(MAX(Tenancy!$E$3,I$3),EDATE(I$3,12),"m")))-MAX(0,Inputs!$B$7+Inputs!$B$8-IF(Tenancy!$E$3&lt;I$3,DATEDIF(Tenancy!$E$3,I$3,"m"),0)))/12,0))</f>
        <v>1656042.20120801</v>
      </c>
      <c r="J6" s="0" t="n">
        <f aca="false">Tenancy!$C$3*(Tenancy!$D$3*MAX(0,MIN(1,YEARFRAC(J$3,MIN(Tenancy!$E$3,EDATE(J$3,12)),1)*(Tenancy!$E$3&gt;J$3)))+Tenancy!$F$3*(1+Inputs!$B$6)^(J$2-1)*IF(Tenancy!$E$3&lt;EDATE(J$3,12),Tenancy!$G$3*MAX(0,MAX(0,MIN(12,DATEDIF(MAX(Tenancy!$E$3,J$3),EDATE(J$3,12),"m")))-MAX(0,Inputs!$B$9-IF(Tenancy!$E$3&lt;J$3,DATEDIF(Tenancy!$E$3,J$3,"m"),0)))/12+(1-Tenancy!$G$3)*MAX(0,MAX(0,MIN(12,DATEDIF(MAX(Tenancy!$E$3,J$3),EDATE(J$3,12),"m")))-MAX(0,Inputs!$B$7+Inputs!$B$8-IF(Tenancy!$E$3&lt;J$3,DATEDIF(Tenancy!$E$3,J$3,"m"),0)))/12,0))</f>
        <v>1697443.25623821</v>
      </c>
      <c r="K6" s="0" t="n">
        <f aca="false">Tenancy!$C$3*(Tenancy!$D$3*MAX(0,MIN(1,YEARFRAC(K$3,MIN(Tenancy!$E$3,EDATE(K$3,12)),1)*(Tenancy!$E$3&gt;K$3)))+Tenancy!$F$3*(1+Inputs!$B$6)^(K$2-1)*IF(Tenancy!$E$3&lt;EDATE(K$3,12),Tenancy!$G$3*MAX(0,MAX(0,MIN(12,DATEDIF(MAX(Tenancy!$E$3,K$3),EDATE(K$3,12),"m")))-MAX(0,Inputs!$B$9-IF(Tenancy!$E$3&lt;K$3,DATEDIF(Tenancy!$E$3,K$3,"m"),0)))/12+(1-Tenancy!$G$3)*MAX(0,MAX(0,MIN(12,DATEDIF(MAX(Tenancy!$E$3,K$3),EDATE(K$3,12),"m")))-MAX(0,Inputs!$B$7+Inputs!$B$8-IF(Tenancy!$E$3&lt;K$3,DATEDIF(Tenancy!$E$3,K$3,"m"),0)))/12,0))</f>
        <v>1739879.33764416</v>
      </c>
      <c r="L6" s="0" t="n">
        <f aca="false">Tenancy!$C$3*(Tenancy!$D$3*MAX(0,MIN(1,YEARFRAC(L$3,MIN(Tenancy!$E$3,EDATE(L$3,12)),1)*(Tenancy!$E$3&gt;L$3)))+Tenancy!$F$3*(1+Inputs!$B$6)^(L$2-1)*IF(Tenancy!$E$3&lt;EDATE(L$3,12),Tenancy!$G$3*MAX(0,MAX(0,MIN(12,DATEDIF(MAX(Tenancy!$E$3,L$3),EDATE(L$3,12),"m")))-MAX(0,Inputs!$B$9-IF(Tenancy!$E$3&lt;L$3,DATEDIF(Tenancy!$E$3,L$3,"m"),0)))/12+(1-Tenancy!$G$3)*MAX(0,MAX(0,MIN(12,DATEDIF(MAX(Tenancy!$E$3,L$3),EDATE(L$3,12),"m")))-MAX(0,Inputs!$B$7+Inputs!$B$8-IF(Tenancy!$E$3&lt;L$3,DATEDIF(Tenancy!$E$3,L$3,"m"),0)))/12,0))</f>
        <v>1783376.32108527</v>
      </c>
      <c r="M6" s="2" t="n">
        <f aca="false">Tenancy!$C$3*(Tenancy!$D$3*MAX(0,MIN(1,YEARFRAC(M$3,MIN(Tenancy!$E$3,EDATE(M$3,12)),1)*(Tenancy!$E$3&gt;M$3)))+Tenancy!$F$3*(1+Inputs!$B$6)^(M$2-1)*IF(Tenancy!$E$3&lt;EDATE(M$3,12),Tenancy!$G$3*MAX(0,MAX(0,MIN(12,DATEDIF(MAX(Tenancy!$E$3,M$3),EDATE(M$3,12),"m")))-MAX(0,Inputs!$B$9-IF(Tenancy!$E$3&lt;M$3,DATEDIF(Tenancy!$E$3,M$3,"m"),0)))/12+(1-Tenancy!$G$3)*MAX(0,MAX(0,MIN(12,DATEDIF(MAX(Tenancy!$E$3,M$3),EDATE(M$3,12),"m")))-MAX(0,Inputs!$B$7+Inputs!$B$8-IF(Tenancy!$E$3&lt;M$3,DATEDIF(Tenancy!$E$3,M$3,"m"),0)))/12,0))</f>
        <v>1827960.7291124</v>
      </c>
    </row>
    <row r="7" customFormat="false" ht="15" hidden="false" customHeight="false" outlineLevel="0" collapsed="false">
      <c r="A7" s="0" t="str">
        <f aca="false">Tenancy!B4&amp;" · "&amp;Tenancy!A4</f>
        <v>Halden Insurance · 2</v>
      </c>
      <c r="C7" s="0" t="n">
        <f aca="false">Tenancy!$C$4*(Tenancy!$D$4*MAX(0,MIN(1,YEARFRAC(C$3,MIN(Tenancy!$E$4,EDATE(C$3,12)),1)*(Tenancy!$E$4&gt;C$3)))+Tenancy!$F$4*(1+Inputs!$B$6)^(C$2-1)*IF(Tenancy!$E$4&lt;EDATE(C$3,12),Tenancy!$G$4*MAX(0,MAX(0,MIN(12,DATEDIF(MAX(Tenancy!$E$4,C$3),EDATE(C$3,12),"m")))-MAX(0,Inputs!$B$9-IF(Tenancy!$E$4&lt;C$3,DATEDIF(Tenancy!$E$4,C$3,"m"),0)))/12+(1-Tenancy!$G$4)*MAX(0,MAX(0,MIN(12,DATEDIF(MAX(Tenancy!$E$4,C$3),EDATE(C$3,12),"m")))-MAX(0,Inputs!$B$7+Inputs!$B$8-IF(Tenancy!$E$4&lt;C$3,DATEDIF(Tenancy!$E$4,C$3,"m"),0)))/12,0))</f>
        <v>1291500</v>
      </c>
      <c r="D7" s="0" t="n">
        <f aca="false">Tenancy!$C$4*(Tenancy!$D$4*MAX(0,MIN(1,YEARFRAC(D$3,MIN(Tenancy!$E$4,EDATE(D$3,12)),1)*(Tenancy!$E$4&gt;D$3)))+Tenancy!$F$4*(1+Inputs!$B$6)^(D$2-1)*IF(Tenancy!$E$4&lt;EDATE(D$3,12),Tenancy!$G$4*MAX(0,MAX(0,MIN(12,DATEDIF(MAX(Tenancy!$E$4,D$3),EDATE(D$3,12),"m")))-MAX(0,Inputs!$B$9-IF(Tenancy!$E$4&lt;D$3,DATEDIF(Tenancy!$E$4,D$3,"m"),0)))/12+(1-Tenancy!$G$4)*MAX(0,MAX(0,MIN(12,DATEDIF(MAX(Tenancy!$E$4,D$3),EDATE(D$3,12),"m")))-MAX(0,Inputs!$B$7+Inputs!$B$8-IF(Tenancy!$E$4&lt;D$3,DATEDIF(Tenancy!$E$4,D$3,"m"),0)))/12,0))</f>
        <v>491403.955479452</v>
      </c>
      <c r="E7" s="0" t="n">
        <f aca="false">Tenancy!$C$4*(Tenancy!$D$4*MAX(0,MIN(1,YEARFRAC(E$3,MIN(Tenancy!$E$4,EDATE(E$3,12)),1)*(Tenancy!$E$4&gt;E$3)))+Tenancy!$F$4*(1+Inputs!$B$6)^(E$2-1)*IF(Tenancy!$E$4&lt;EDATE(E$3,12),Tenancy!$G$4*MAX(0,MAX(0,MIN(12,DATEDIF(MAX(Tenancy!$E$4,E$3),EDATE(E$3,12),"m")))-MAX(0,Inputs!$B$9-IF(Tenancy!$E$4&lt;E$3,DATEDIF(Tenancy!$E$4,E$3,"m"),0)))/12+(1-Tenancy!$G$4)*MAX(0,MAX(0,MIN(12,DATEDIF(MAX(Tenancy!$E$4,E$3),EDATE(E$3,12),"m")))-MAX(0,Inputs!$B$7+Inputs!$B$8-IF(Tenancy!$E$4&lt;E$3,DATEDIF(Tenancy!$E$4,E$3,"m"),0)))/12,0))</f>
        <v>825160.875</v>
      </c>
      <c r="F7" s="0" t="n">
        <f aca="false">Tenancy!$C$4*(Tenancy!$D$4*MAX(0,MIN(1,YEARFRAC(F$3,MIN(Tenancy!$E$4,EDATE(F$3,12)),1)*(Tenancy!$E$4&gt;F$3)))+Tenancy!$F$4*(1+Inputs!$B$6)^(F$2-1)*IF(Tenancy!$E$4&lt;EDATE(F$3,12),Tenancy!$G$4*MAX(0,MAX(0,MIN(12,DATEDIF(MAX(Tenancy!$E$4,F$3),EDATE(F$3,12),"m")))-MAX(0,Inputs!$B$9-IF(Tenancy!$E$4&lt;F$3,DATEDIF(Tenancy!$E$4,F$3,"m"),0)))/12+(1-Tenancy!$G$4)*MAX(0,MAX(0,MIN(12,DATEDIF(MAX(Tenancy!$E$4,F$3),EDATE(F$3,12),"m")))-MAX(0,Inputs!$B$7+Inputs!$B$8-IF(Tenancy!$E$4&lt;F$3,DATEDIF(Tenancy!$E$4,F$3,"m"),0)))/12,0))</f>
        <v>1018792.37578125</v>
      </c>
      <c r="G7" s="0" t="n">
        <f aca="false">Tenancy!$C$4*(Tenancy!$D$4*MAX(0,MIN(1,YEARFRAC(G$3,MIN(Tenancy!$E$4,EDATE(G$3,12)),1)*(Tenancy!$E$4&gt;G$3)))+Tenancy!$F$4*(1+Inputs!$B$6)^(G$2-1)*IF(Tenancy!$E$4&lt;EDATE(G$3,12),Tenancy!$G$4*MAX(0,MAX(0,MIN(12,DATEDIF(MAX(Tenancy!$E$4,G$3),EDATE(G$3,12),"m")))-MAX(0,Inputs!$B$9-IF(Tenancy!$E$4&lt;G$3,DATEDIF(Tenancy!$E$4,G$3,"m"),0)))/12+(1-Tenancy!$G$4)*MAX(0,MAX(0,MIN(12,DATEDIF(MAX(Tenancy!$E$4,G$3),EDATE(G$3,12),"m")))-MAX(0,Inputs!$B$7+Inputs!$B$8-IF(Tenancy!$E$4&lt;G$3,DATEDIF(Tenancy!$E$4,G$3,"m"),0)))/12,0))</f>
        <v>1576244.8078125</v>
      </c>
      <c r="H7" s="0" t="n">
        <f aca="false">Tenancy!$C$4*(Tenancy!$D$4*MAX(0,MIN(1,YEARFRAC(H$3,MIN(Tenancy!$E$4,EDATE(H$3,12)),1)*(Tenancy!$E$4&gt;H$3)))+Tenancy!$F$4*(1+Inputs!$B$6)^(H$2-1)*IF(Tenancy!$E$4&lt;EDATE(H$3,12),Tenancy!$G$4*MAX(0,MAX(0,MIN(12,DATEDIF(MAX(Tenancy!$E$4,H$3),EDATE(H$3,12),"m")))-MAX(0,Inputs!$B$9-IF(Tenancy!$E$4&lt;H$3,DATEDIF(Tenancy!$E$4,H$3,"m"),0)))/12+(1-Tenancy!$G$4)*MAX(0,MAX(0,MIN(12,DATEDIF(MAX(Tenancy!$E$4,H$3),EDATE(H$3,12),"m")))-MAX(0,Inputs!$B$7+Inputs!$B$8-IF(Tenancy!$E$4&lt;H$3,DATEDIF(Tenancy!$E$4,H$3,"m"),0)))/12,0))</f>
        <v>1615650.92800781</v>
      </c>
      <c r="I7" s="0" t="n">
        <f aca="false">Tenancy!$C$4*(Tenancy!$D$4*MAX(0,MIN(1,YEARFRAC(I$3,MIN(Tenancy!$E$4,EDATE(I$3,12)),1)*(Tenancy!$E$4&gt;I$3)))+Tenancy!$F$4*(1+Inputs!$B$6)^(I$2-1)*IF(Tenancy!$E$4&lt;EDATE(I$3,12),Tenancy!$G$4*MAX(0,MAX(0,MIN(12,DATEDIF(MAX(Tenancy!$E$4,I$3),EDATE(I$3,12),"m")))-MAX(0,Inputs!$B$9-IF(Tenancy!$E$4&lt;I$3,DATEDIF(Tenancy!$E$4,I$3,"m"),0)))/12+(1-Tenancy!$G$4)*MAX(0,MAX(0,MIN(12,DATEDIF(MAX(Tenancy!$E$4,I$3),EDATE(I$3,12),"m")))-MAX(0,Inputs!$B$7+Inputs!$B$8-IF(Tenancy!$E$4&lt;I$3,DATEDIF(Tenancy!$E$4,I$3,"m"),0)))/12,0))</f>
        <v>1656042.20120801</v>
      </c>
      <c r="J7" s="0" t="n">
        <f aca="false">Tenancy!$C$4*(Tenancy!$D$4*MAX(0,MIN(1,YEARFRAC(J$3,MIN(Tenancy!$E$4,EDATE(J$3,12)),1)*(Tenancy!$E$4&gt;J$3)))+Tenancy!$F$4*(1+Inputs!$B$6)^(J$2-1)*IF(Tenancy!$E$4&lt;EDATE(J$3,12),Tenancy!$G$4*MAX(0,MAX(0,MIN(12,DATEDIF(MAX(Tenancy!$E$4,J$3),EDATE(J$3,12),"m")))-MAX(0,Inputs!$B$9-IF(Tenancy!$E$4&lt;J$3,DATEDIF(Tenancy!$E$4,J$3,"m"),0)))/12+(1-Tenancy!$G$4)*MAX(0,MAX(0,MIN(12,DATEDIF(MAX(Tenancy!$E$4,J$3),EDATE(J$3,12),"m")))-MAX(0,Inputs!$B$7+Inputs!$B$8-IF(Tenancy!$E$4&lt;J$3,DATEDIF(Tenancy!$E$4,J$3,"m"),0)))/12,0))</f>
        <v>1697443.25623821</v>
      </c>
      <c r="K7" s="0" t="n">
        <f aca="false">Tenancy!$C$4*(Tenancy!$D$4*MAX(0,MIN(1,YEARFRAC(K$3,MIN(Tenancy!$E$4,EDATE(K$3,12)),1)*(Tenancy!$E$4&gt;K$3)))+Tenancy!$F$4*(1+Inputs!$B$6)^(K$2-1)*IF(Tenancy!$E$4&lt;EDATE(K$3,12),Tenancy!$G$4*MAX(0,MAX(0,MIN(12,DATEDIF(MAX(Tenancy!$E$4,K$3),EDATE(K$3,12),"m")))-MAX(0,Inputs!$B$9-IF(Tenancy!$E$4&lt;K$3,DATEDIF(Tenancy!$E$4,K$3,"m"),0)))/12+(1-Tenancy!$G$4)*MAX(0,MAX(0,MIN(12,DATEDIF(MAX(Tenancy!$E$4,K$3),EDATE(K$3,12),"m")))-MAX(0,Inputs!$B$7+Inputs!$B$8-IF(Tenancy!$E$4&lt;K$3,DATEDIF(Tenancy!$E$4,K$3,"m"),0)))/12,0))</f>
        <v>1739879.33764416</v>
      </c>
      <c r="L7" s="0" t="n">
        <f aca="false">Tenancy!$C$4*(Tenancy!$D$4*MAX(0,MIN(1,YEARFRAC(L$3,MIN(Tenancy!$E$4,EDATE(L$3,12)),1)*(Tenancy!$E$4&gt;L$3)))+Tenancy!$F$4*(1+Inputs!$B$6)^(L$2-1)*IF(Tenancy!$E$4&lt;EDATE(L$3,12),Tenancy!$G$4*MAX(0,MAX(0,MIN(12,DATEDIF(MAX(Tenancy!$E$4,L$3),EDATE(L$3,12),"m")))-MAX(0,Inputs!$B$9-IF(Tenancy!$E$4&lt;L$3,DATEDIF(Tenancy!$E$4,L$3,"m"),0)))/12+(1-Tenancy!$G$4)*MAX(0,MAX(0,MIN(12,DATEDIF(MAX(Tenancy!$E$4,L$3),EDATE(L$3,12),"m")))-MAX(0,Inputs!$B$7+Inputs!$B$8-IF(Tenancy!$E$4&lt;L$3,DATEDIF(Tenancy!$E$4,L$3,"m"),0)))/12,0))</f>
        <v>1783376.32108527</v>
      </c>
      <c r="M7" s="2" t="n">
        <f aca="false">Tenancy!$C$4*(Tenancy!$D$4*MAX(0,MIN(1,YEARFRAC(M$3,MIN(Tenancy!$E$4,EDATE(M$3,12)),1)*(Tenancy!$E$4&gt;M$3)))+Tenancy!$F$4*(1+Inputs!$B$6)^(M$2-1)*IF(Tenancy!$E$4&lt;EDATE(M$3,12),Tenancy!$G$4*MAX(0,MAX(0,MIN(12,DATEDIF(MAX(Tenancy!$E$4,M$3),EDATE(M$3,12),"m")))-MAX(0,Inputs!$B$9-IF(Tenancy!$E$4&lt;M$3,DATEDIF(Tenancy!$E$4,M$3,"m"),0)))/12+(1-Tenancy!$G$4)*MAX(0,MAX(0,MIN(12,DATEDIF(MAX(Tenancy!$E$4,M$3),EDATE(M$3,12),"m")))-MAX(0,Inputs!$B$7+Inputs!$B$8-IF(Tenancy!$E$4&lt;M$3,DATEDIF(Tenancy!$E$4,M$3,"m"),0)))/12,0))</f>
        <v>1827960.7291124</v>
      </c>
    </row>
    <row r="8" customFormat="false" ht="15" hidden="false" customHeight="false" outlineLevel="0" collapsed="false">
      <c r="A8" s="0" t="str">
        <f aca="false">Tenancy!B5&amp;" · "&amp;Tenancy!A5</f>
        <v>Marlow Legal · 3</v>
      </c>
      <c r="C8" s="0" t="n">
        <f aca="false">Tenancy!$C$5*(Tenancy!$D$5*MAX(0,MIN(1,YEARFRAC(C$3,MIN(Tenancy!$E$5,EDATE(C$3,12)),1)*(Tenancy!$E$5&gt;C$3)))+Tenancy!$F$5*(1+Inputs!$B$6)^(C$2-1)*IF(Tenancy!$E$5&lt;EDATE(C$3,12),Tenancy!$G$5*MAX(0,MAX(0,MIN(12,DATEDIF(MAX(Tenancy!$E$5,C$3),EDATE(C$3,12),"m")))-MAX(0,Inputs!$B$9-IF(Tenancy!$E$5&lt;C$3,DATEDIF(Tenancy!$E$5,C$3,"m"),0)))/12+(1-Tenancy!$G$5)*MAX(0,MAX(0,MIN(12,DATEDIF(MAX(Tenancy!$E$5,C$3),EDATE(C$3,12),"m")))-MAX(0,Inputs!$B$7+Inputs!$B$8-IF(Tenancy!$E$5&lt;C$3,DATEDIF(Tenancy!$E$5,C$3,"m"),0)))/12,0))</f>
        <v>1344000</v>
      </c>
      <c r="D8" s="0" t="n">
        <f aca="false">Tenancy!$C$5*(Tenancy!$D$5*MAX(0,MIN(1,YEARFRAC(D$3,MIN(Tenancy!$E$5,EDATE(D$3,12)),1)*(Tenancy!$E$5&gt;D$3)))+Tenancy!$F$5*(1+Inputs!$B$6)^(D$2-1)*IF(Tenancy!$E$5&lt;EDATE(D$3,12),Tenancy!$G$5*MAX(0,MAX(0,MIN(12,DATEDIF(MAX(Tenancy!$E$5,D$3),EDATE(D$3,12),"m")))-MAX(0,Inputs!$B$9-IF(Tenancy!$E$5&lt;D$3,DATEDIF(Tenancy!$E$5,D$3,"m"),0)))/12+(1-Tenancy!$G$5)*MAX(0,MAX(0,MIN(12,DATEDIF(MAX(Tenancy!$E$5,D$3),EDATE(D$3,12),"m")))-MAX(0,Inputs!$B$7+Inputs!$B$8-IF(Tenancy!$E$5&lt;D$3,DATEDIF(Tenancy!$E$5,D$3,"m"),0)))/12,0))</f>
        <v>1344000</v>
      </c>
      <c r="E8" s="0" t="n">
        <f aca="false">Tenancy!$C$5*(Tenancy!$D$5*MAX(0,MIN(1,YEARFRAC(E$3,MIN(Tenancy!$E$5,EDATE(E$3,12)),1)*(Tenancy!$E$5&gt;E$3)))+Tenancy!$F$5*(1+Inputs!$B$6)^(E$2-1)*IF(Tenancy!$E$5&lt;EDATE(E$3,12),Tenancy!$G$5*MAX(0,MAX(0,MIN(12,DATEDIF(MAX(Tenancy!$E$5,E$3),EDATE(E$3,12),"m")))-MAX(0,Inputs!$B$9-IF(Tenancy!$E$5&lt;E$3,DATEDIF(Tenancy!$E$5,E$3,"m"),0)))/12+(1-Tenancy!$G$5)*MAX(0,MAX(0,MIN(12,DATEDIF(MAX(Tenancy!$E$5,E$3),EDATE(E$3,12),"m")))-MAX(0,Inputs!$B$7+Inputs!$B$8-IF(Tenancy!$E$5&lt;E$3,DATEDIF(Tenancy!$E$5,E$3,"m"),0)))/12,0))</f>
        <v>1344000</v>
      </c>
      <c r="F8" s="0" t="n">
        <f aca="false">Tenancy!$C$5*(Tenancy!$D$5*MAX(0,MIN(1,YEARFRAC(F$3,MIN(Tenancy!$E$5,EDATE(F$3,12)),1)*(Tenancy!$E$5&gt;F$3)))+Tenancy!$F$5*(1+Inputs!$B$6)^(F$2-1)*IF(Tenancy!$E$5&lt;EDATE(F$3,12),Tenancy!$G$5*MAX(0,MAX(0,MIN(12,DATEDIF(MAX(Tenancy!$E$5,F$3),EDATE(F$3,12),"m")))-MAX(0,Inputs!$B$9-IF(Tenancy!$E$5&lt;F$3,DATEDIF(Tenancy!$E$5,F$3,"m"),0)))/12+(1-Tenancy!$G$5)*MAX(0,MAX(0,MIN(12,DATEDIF(MAX(Tenancy!$E$5,F$3),EDATE(F$3,12),"m")))-MAX(0,Inputs!$B$7+Inputs!$B$8-IF(Tenancy!$E$5&lt;F$3,DATEDIF(Tenancy!$E$5,F$3,"m"),0)))/12,0))</f>
        <v>994191.780821918</v>
      </c>
      <c r="G8" s="0" t="n">
        <f aca="false">Tenancy!$C$5*(Tenancy!$D$5*MAX(0,MIN(1,YEARFRAC(G$3,MIN(Tenancy!$E$5,EDATE(G$3,12)),1)*(Tenancy!$E$5&gt;G$3)))+Tenancy!$F$5*(1+Inputs!$B$6)^(G$2-1)*IF(Tenancy!$E$5&lt;EDATE(G$3,12),Tenancy!$G$5*MAX(0,MAX(0,MIN(12,DATEDIF(MAX(Tenancy!$E$5,G$3),EDATE(G$3,12),"m")))-MAX(0,Inputs!$B$9-IF(Tenancy!$E$5&lt;G$3,DATEDIF(Tenancy!$E$5,G$3,"m"),0)))/12+(1-Tenancy!$G$5)*MAX(0,MAX(0,MIN(12,DATEDIF(MAX(Tenancy!$E$5,G$3),EDATE(G$3,12),"m")))-MAX(0,Inputs!$B$7+Inputs!$B$8-IF(Tenancy!$E$5&lt;G$3,DATEDIF(Tenancy!$E$5,G$3,"m"),0)))/12,0))</f>
        <v>827528.524101562</v>
      </c>
      <c r="H8" s="0" t="n">
        <f aca="false">Tenancy!$C$5*(Tenancy!$D$5*MAX(0,MIN(1,YEARFRAC(H$3,MIN(Tenancy!$E$5,EDATE(H$3,12)),1)*(Tenancy!$E$5&gt;H$3)))+Tenancy!$F$5*(1+Inputs!$B$6)^(H$2-1)*IF(Tenancy!$E$5&lt;EDATE(H$3,12),Tenancy!$G$5*MAX(0,MAX(0,MIN(12,DATEDIF(MAX(Tenancy!$E$5,H$3),EDATE(H$3,12),"m")))-MAX(0,Inputs!$B$9-IF(Tenancy!$E$5&lt;H$3,DATEDIF(Tenancy!$E$5,H$3,"m"),0)))/12+(1-Tenancy!$G$5)*MAX(0,MAX(0,MIN(12,DATEDIF(MAX(Tenancy!$E$5,H$3),EDATE(H$3,12),"m")))-MAX(0,Inputs!$B$7+Inputs!$B$8-IF(Tenancy!$E$5&lt;H$3,DATEDIF(Tenancy!$E$5,H$3,"m"),0)))/12,0))</f>
        <v>1130955.64960547</v>
      </c>
      <c r="I8" s="0" t="n">
        <f aca="false">Tenancy!$C$5*(Tenancy!$D$5*MAX(0,MIN(1,YEARFRAC(I$3,MIN(Tenancy!$E$5,EDATE(I$3,12)),1)*(Tenancy!$E$5&gt;I$3)))+Tenancy!$F$5*(1+Inputs!$B$6)^(I$2-1)*IF(Tenancy!$E$5&lt;EDATE(I$3,12),Tenancy!$G$5*MAX(0,MAX(0,MIN(12,DATEDIF(MAX(Tenancy!$E$5,I$3),EDATE(I$3,12),"m")))-MAX(0,Inputs!$B$9-IF(Tenancy!$E$5&lt;I$3,DATEDIF(Tenancy!$E$5,I$3,"m"),0)))/12+(1-Tenancy!$G$5)*MAX(0,MAX(0,MIN(12,DATEDIF(MAX(Tenancy!$E$5,I$3),EDATE(I$3,12),"m")))-MAX(0,Inputs!$B$7+Inputs!$B$8-IF(Tenancy!$E$5&lt;I$3,DATEDIF(Tenancy!$E$5,I$3,"m"),0)))/12,0))</f>
        <v>1531839.03611741</v>
      </c>
      <c r="J8" s="0" t="n">
        <f aca="false">Tenancy!$C$5*(Tenancy!$D$5*MAX(0,MIN(1,YEARFRAC(J$3,MIN(Tenancy!$E$5,EDATE(J$3,12)),1)*(Tenancy!$E$5&gt;J$3)))+Tenancy!$F$5*(1+Inputs!$B$6)^(J$2-1)*IF(Tenancy!$E$5&lt;EDATE(J$3,12),Tenancy!$G$5*MAX(0,MAX(0,MIN(12,DATEDIF(MAX(Tenancy!$E$5,J$3),EDATE(J$3,12),"m")))-MAX(0,Inputs!$B$9-IF(Tenancy!$E$5&lt;J$3,DATEDIF(Tenancy!$E$5,J$3,"m"),0)))/12+(1-Tenancy!$G$5)*MAX(0,MAX(0,MIN(12,DATEDIF(MAX(Tenancy!$E$5,J$3),EDATE(J$3,12),"m")))-MAX(0,Inputs!$B$7+Inputs!$B$8-IF(Tenancy!$E$5&lt;J$3,DATEDIF(Tenancy!$E$5,J$3,"m"),0)))/12,0))</f>
        <v>1697443.25623821</v>
      </c>
      <c r="K8" s="0" t="n">
        <f aca="false">Tenancy!$C$5*(Tenancy!$D$5*MAX(0,MIN(1,YEARFRAC(K$3,MIN(Tenancy!$E$5,EDATE(K$3,12)),1)*(Tenancy!$E$5&gt;K$3)))+Tenancy!$F$5*(1+Inputs!$B$6)^(K$2-1)*IF(Tenancy!$E$5&lt;EDATE(K$3,12),Tenancy!$G$5*MAX(0,MAX(0,MIN(12,DATEDIF(MAX(Tenancy!$E$5,K$3),EDATE(K$3,12),"m")))-MAX(0,Inputs!$B$9-IF(Tenancy!$E$5&lt;K$3,DATEDIF(Tenancy!$E$5,K$3,"m"),0)))/12+(1-Tenancy!$G$5)*MAX(0,MAX(0,MIN(12,DATEDIF(MAX(Tenancy!$E$5,K$3),EDATE(K$3,12),"m")))-MAX(0,Inputs!$B$7+Inputs!$B$8-IF(Tenancy!$E$5&lt;K$3,DATEDIF(Tenancy!$E$5,K$3,"m"),0)))/12,0))</f>
        <v>1739879.33764416</v>
      </c>
      <c r="L8" s="0" t="n">
        <f aca="false">Tenancy!$C$5*(Tenancy!$D$5*MAX(0,MIN(1,YEARFRAC(L$3,MIN(Tenancy!$E$5,EDATE(L$3,12)),1)*(Tenancy!$E$5&gt;L$3)))+Tenancy!$F$5*(1+Inputs!$B$6)^(L$2-1)*IF(Tenancy!$E$5&lt;EDATE(L$3,12),Tenancy!$G$5*MAX(0,MAX(0,MIN(12,DATEDIF(MAX(Tenancy!$E$5,L$3),EDATE(L$3,12),"m")))-MAX(0,Inputs!$B$9-IF(Tenancy!$E$5&lt;L$3,DATEDIF(Tenancy!$E$5,L$3,"m"),0)))/12+(1-Tenancy!$G$5)*MAX(0,MAX(0,MIN(12,DATEDIF(MAX(Tenancy!$E$5,L$3),EDATE(L$3,12),"m")))-MAX(0,Inputs!$B$7+Inputs!$B$8-IF(Tenancy!$E$5&lt;L$3,DATEDIF(Tenancy!$E$5,L$3,"m"),0)))/12,0))</f>
        <v>1783376.32108527</v>
      </c>
      <c r="M8" s="2" t="n">
        <f aca="false">Tenancy!$C$5*(Tenancy!$D$5*MAX(0,MIN(1,YEARFRAC(M$3,MIN(Tenancy!$E$5,EDATE(M$3,12)),1)*(Tenancy!$E$5&gt;M$3)))+Tenancy!$F$5*(1+Inputs!$B$6)^(M$2-1)*IF(Tenancy!$E$5&lt;EDATE(M$3,12),Tenancy!$G$5*MAX(0,MAX(0,MIN(12,DATEDIF(MAX(Tenancy!$E$5,M$3),EDATE(M$3,12),"m")))-MAX(0,Inputs!$B$9-IF(Tenancy!$E$5&lt;M$3,DATEDIF(Tenancy!$E$5,M$3,"m"),0)))/12+(1-Tenancy!$G$5)*MAX(0,MAX(0,MIN(12,DATEDIF(MAX(Tenancy!$E$5,M$3),EDATE(M$3,12),"m")))-MAX(0,Inputs!$B$7+Inputs!$B$8-IF(Tenancy!$E$5&lt;M$3,DATEDIF(Tenancy!$E$5,M$3,"m"),0)))/12,0))</f>
        <v>1827960.7291124</v>
      </c>
    </row>
    <row r="9" customFormat="false" ht="15" hidden="false" customHeight="false" outlineLevel="0" collapsed="false">
      <c r="A9" s="0" t="str">
        <f aca="false">Tenancy!B6&amp;" · "&amp;Tenancy!A6</f>
        <v>Vacant · 4</v>
      </c>
      <c r="C9" s="0" t="n">
        <f aca="false">Tenancy!$C$6*(Tenancy!$D$6*MAX(0,MIN(1,YEARFRAC(C$3,MIN(Tenancy!$E$6,EDATE(C$3,12)),1)*(Tenancy!$E$6&gt;C$3)))+Tenancy!$F$6*(1+Inputs!$B$6)^(C$2-1)*IF(Tenancy!$E$6&lt;EDATE(C$3,12),Tenancy!$G$6*MAX(0,MAX(0,MIN(12,DATEDIF(MAX(Tenancy!$E$6,C$3),EDATE(C$3,12),"m")))-MAX(0,Inputs!$B$9-IF(Tenancy!$E$6&lt;C$3,DATEDIF(Tenancy!$E$6,C$3,"m"),0)))/12+(1-Tenancy!$G$6)*MAX(0,MAX(0,MIN(12,DATEDIF(MAX(Tenancy!$E$6,C$3),EDATE(C$3,12),"m")))-MAX(0,Inputs!$B$7+Inputs!$B$8-IF(Tenancy!$E$6&lt;C$3,DATEDIF(Tenancy!$E$6,C$3,"m"),0)))/12,0))</f>
        <v>0</v>
      </c>
      <c r="D9" s="0" t="n">
        <f aca="false">Tenancy!$C$6*(Tenancy!$D$6*MAX(0,MIN(1,YEARFRAC(D$3,MIN(Tenancy!$E$6,EDATE(D$3,12)),1)*(Tenancy!$E$6&gt;D$3)))+Tenancy!$F$6*(1+Inputs!$B$6)^(D$2-1)*IF(Tenancy!$E$6&lt;EDATE(D$3,12),Tenancy!$G$6*MAX(0,MAX(0,MIN(12,DATEDIF(MAX(Tenancy!$E$6,D$3),EDATE(D$3,12),"m")))-MAX(0,Inputs!$B$9-IF(Tenancy!$E$6&lt;D$3,DATEDIF(Tenancy!$E$6,D$3,"m"),0)))/12+(1-Tenancy!$G$6)*MAX(0,MAX(0,MIN(12,DATEDIF(MAX(Tenancy!$E$6,D$3),EDATE(D$3,12),"m")))-MAX(0,Inputs!$B$7+Inputs!$B$8-IF(Tenancy!$E$6&lt;D$3,DATEDIF(Tenancy!$E$6,D$3,"m"),0)))/12,0))</f>
        <v>0</v>
      </c>
      <c r="E9" s="0" t="n">
        <f aca="false">Tenancy!$C$6*(Tenancy!$D$6*MAX(0,MIN(1,YEARFRAC(E$3,MIN(Tenancy!$E$6,EDATE(E$3,12)),1)*(Tenancy!$E$6&gt;E$3)))+Tenancy!$F$6*(1+Inputs!$B$6)^(E$2-1)*IF(Tenancy!$E$6&lt;EDATE(E$3,12),Tenancy!$G$6*MAX(0,MAX(0,MIN(12,DATEDIF(MAX(Tenancy!$E$6,E$3),EDATE(E$3,12),"m")))-MAX(0,Inputs!$B$9-IF(Tenancy!$E$6&lt;E$3,DATEDIF(Tenancy!$E$6,E$3,"m"),0)))/12+(1-Tenancy!$G$6)*MAX(0,MAX(0,MIN(12,DATEDIF(MAX(Tenancy!$E$6,E$3),EDATE(E$3,12),"m")))-MAX(0,Inputs!$B$7+Inputs!$B$8-IF(Tenancy!$E$6&lt;E$3,DATEDIF(Tenancy!$E$6,E$3,"m"),0)))/12,0))</f>
        <v>750146.25</v>
      </c>
      <c r="F9" s="0" t="n">
        <f aca="false">Tenancy!$C$6*(Tenancy!$D$6*MAX(0,MIN(1,YEARFRAC(F$3,MIN(Tenancy!$E$6,EDATE(F$3,12)),1)*(Tenancy!$E$6&gt;F$3)))+Tenancy!$F$6*(1+Inputs!$B$6)^(F$2-1)*IF(Tenancy!$E$6&lt;EDATE(F$3,12),Tenancy!$G$6*MAX(0,MAX(0,MIN(12,DATEDIF(MAX(Tenancy!$E$6,F$3),EDATE(F$3,12),"m")))-MAX(0,Inputs!$B$9-IF(Tenancy!$E$6&lt;F$3,DATEDIF(Tenancy!$E$6,F$3,"m"),0)))/12+(1-Tenancy!$G$6)*MAX(0,MAX(0,MIN(12,DATEDIF(MAX(Tenancy!$E$6,F$3),EDATE(F$3,12),"m")))-MAX(0,Inputs!$B$7+Inputs!$B$8-IF(Tenancy!$E$6&lt;F$3,DATEDIF(Tenancy!$E$6,F$3,"m"),0)))/12,0))</f>
        <v>1537799.8125</v>
      </c>
      <c r="G9" s="0" t="n">
        <f aca="false">Tenancy!$C$6*(Tenancy!$D$6*MAX(0,MIN(1,YEARFRAC(G$3,MIN(Tenancy!$E$6,EDATE(G$3,12)),1)*(Tenancy!$E$6&gt;G$3)))+Tenancy!$F$6*(1+Inputs!$B$6)^(G$2-1)*IF(Tenancy!$E$6&lt;EDATE(G$3,12),Tenancy!$G$6*MAX(0,MAX(0,MIN(12,DATEDIF(MAX(Tenancy!$E$6,G$3),EDATE(G$3,12),"m")))-MAX(0,Inputs!$B$9-IF(Tenancy!$E$6&lt;G$3,DATEDIF(Tenancy!$E$6,G$3,"m"),0)))/12+(1-Tenancy!$G$6)*MAX(0,MAX(0,MIN(12,DATEDIF(MAX(Tenancy!$E$6,G$3),EDATE(G$3,12),"m")))-MAX(0,Inputs!$B$7+Inputs!$B$8-IF(Tenancy!$E$6&lt;G$3,DATEDIF(Tenancy!$E$6,G$3,"m"),0)))/12,0))</f>
        <v>1576244.8078125</v>
      </c>
      <c r="H9" s="0" t="n">
        <f aca="false">Tenancy!$C$6*(Tenancy!$D$6*MAX(0,MIN(1,YEARFRAC(H$3,MIN(Tenancy!$E$6,EDATE(H$3,12)),1)*(Tenancy!$E$6&gt;H$3)))+Tenancy!$F$6*(1+Inputs!$B$6)^(H$2-1)*IF(Tenancy!$E$6&lt;EDATE(H$3,12),Tenancy!$G$6*MAX(0,MAX(0,MIN(12,DATEDIF(MAX(Tenancy!$E$6,H$3),EDATE(H$3,12),"m")))-MAX(0,Inputs!$B$9-IF(Tenancy!$E$6&lt;H$3,DATEDIF(Tenancy!$E$6,H$3,"m"),0)))/12+(1-Tenancy!$G$6)*MAX(0,MAX(0,MIN(12,DATEDIF(MAX(Tenancy!$E$6,H$3),EDATE(H$3,12),"m")))-MAX(0,Inputs!$B$7+Inputs!$B$8-IF(Tenancy!$E$6&lt;H$3,DATEDIF(Tenancy!$E$6,H$3,"m"),0)))/12,0))</f>
        <v>1615650.92800781</v>
      </c>
      <c r="I9" s="0" t="n">
        <f aca="false">Tenancy!$C$6*(Tenancy!$D$6*MAX(0,MIN(1,YEARFRAC(I$3,MIN(Tenancy!$E$6,EDATE(I$3,12)),1)*(Tenancy!$E$6&gt;I$3)))+Tenancy!$F$6*(1+Inputs!$B$6)^(I$2-1)*IF(Tenancy!$E$6&lt;EDATE(I$3,12),Tenancy!$G$6*MAX(0,MAX(0,MIN(12,DATEDIF(MAX(Tenancy!$E$6,I$3),EDATE(I$3,12),"m")))-MAX(0,Inputs!$B$9-IF(Tenancy!$E$6&lt;I$3,DATEDIF(Tenancy!$E$6,I$3,"m"),0)))/12+(1-Tenancy!$G$6)*MAX(0,MAX(0,MIN(12,DATEDIF(MAX(Tenancy!$E$6,I$3),EDATE(I$3,12),"m")))-MAX(0,Inputs!$B$7+Inputs!$B$8-IF(Tenancy!$E$6&lt;I$3,DATEDIF(Tenancy!$E$6,I$3,"m"),0)))/12,0))</f>
        <v>1656042.20120801</v>
      </c>
      <c r="J9" s="0" t="n">
        <f aca="false">Tenancy!$C$6*(Tenancy!$D$6*MAX(0,MIN(1,YEARFRAC(J$3,MIN(Tenancy!$E$6,EDATE(J$3,12)),1)*(Tenancy!$E$6&gt;J$3)))+Tenancy!$F$6*(1+Inputs!$B$6)^(J$2-1)*IF(Tenancy!$E$6&lt;EDATE(J$3,12),Tenancy!$G$6*MAX(0,MAX(0,MIN(12,DATEDIF(MAX(Tenancy!$E$6,J$3),EDATE(J$3,12),"m")))-MAX(0,Inputs!$B$9-IF(Tenancy!$E$6&lt;J$3,DATEDIF(Tenancy!$E$6,J$3,"m"),0)))/12+(1-Tenancy!$G$6)*MAX(0,MAX(0,MIN(12,DATEDIF(MAX(Tenancy!$E$6,J$3),EDATE(J$3,12),"m")))-MAX(0,Inputs!$B$7+Inputs!$B$8-IF(Tenancy!$E$6&lt;J$3,DATEDIF(Tenancy!$E$6,J$3,"m"),0)))/12,0))</f>
        <v>1697443.25623821</v>
      </c>
      <c r="K9" s="0" t="n">
        <f aca="false">Tenancy!$C$6*(Tenancy!$D$6*MAX(0,MIN(1,YEARFRAC(K$3,MIN(Tenancy!$E$6,EDATE(K$3,12)),1)*(Tenancy!$E$6&gt;K$3)))+Tenancy!$F$6*(1+Inputs!$B$6)^(K$2-1)*IF(Tenancy!$E$6&lt;EDATE(K$3,12),Tenancy!$G$6*MAX(0,MAX(0,MIN(12,DATEDIF(MAX(Tenancy!$E$6,K$3),EDATE(K$3,12),"m")))-MAX(0,Inputs!$B$9-IF(Tenancy!$E$6&lt;K$3,DATEDIF(Tenancy!$E$6,K$3,"m"),0)))/12+(1-Tenancy!$G$6)*MAX(0,MAX(0,MIN(12,DATEDIF(MAX(Tenancy!$E$6,K$3),EDATE(K$3,12),"m")))-MAX(0,Inputs!$B$7+Inputs!$B$8-IF(Tenancy!$E$6&lt;K$3,DATEDIF(Tenancy!$E$6,K$3,"m"),0)))/12,0))</f>
        <v>1739879.33764416</v>
      </c>
      <c r="L9" s="0" t="n">
        <f aca="false">Tenancy!$C$6*(Tenancy!$D$6*MAX(0,MIN(1,YEARFRAC(L$3,MIN(Tenancy!$E$6,EDATE(L$3,12)),1)*(Tenancy!$E$6&gt;L$3)))+Tenancy!$F$6*(1+Inputs!$B$6)^(L$2-1)*IF(Tenancy!$E$6&lt;EDATE(L$3,12),Tenancy!$G$6*MAX(0,MAX(0,MIN(12,DATEDIF(MAX(Tenancy!$E$6,L$3),EDATE(L$3,12),"m")))-MAX(0,Inputs!$B$9-IF(Tenancy!$E$6&lt;L$3,DATEDIF(Tenancy!$E$6,L$3,"m"),0)))/12+(1-Tenancy!$G$6)*MAX(0,MAX(0,MIN(12,DATEDIF(MAX(Tenancy!$E$6,L$3),EDATE(L$3,12),"m")))-MAX(0,Inputs!$B$7+Inputs!$B$8-IF(Tenancy!$E$6&lt;L$3,DATEDIF(Tenancy!$E$6,L$3,"m"),0)))/12,0))</f>
        <v>1783376.32108527</v>
      </c>
      <c r="M9" s="2" t="n">
        <f aca="false">Tenancy!$C$6*(Tenancy!$D$6*MAX(0,MIN(1,YEARFRAC(M$3,MIN(Tenancy!$E$6,EDATE(M$3,12)),1)*(Tenancy!$E$6&gt;M$3)))+Tenancy!$F$6*(1+Inputs!$B$6)^(M$2-1)*IF(Tenancy!$E$6&lt;EDATE(M$3,12),Tenancy!$G$6*MAX(0,MAX(0,MIN(12,DATEDIF(MAX(Tenancy!$E$6,M$3),EDATE(M$3,12),"m")))-MAX(0,Inputs!$B$9-IF(Tenancy!$E$6&lt;M$3,DATEDIF(Tenancy!$E$6,M$3,"m"),0)))/12+(1-Tenancy!$G$6)*MAX(0,MAX(0,MIN(12,DATEDIF(MAX(Tenancy!$E$6,M$3),EDATE(M$3,12),"m")))-MAX(0,Inputs!$B$7+Inputs!$B$8-IF(Tenancy!$E$6&lt;M$3,DATEDIF(Tenancy!$E$6,M$3,"m"),0)))/12,0))</f>
        <v>1827960.7291124</v>
      </c>
    </row>
    <row r="10" customFormat="false" ht="15" hidden="false" customHeight="false" outlineLevel="0" collapsed="false">
      <c r="A10" s="0" t="str">
        <f aca="false">Tenancy!B7&amp;" · "&amp;Tenancy!A7</f>
        <v>Coral Re · 5</v>
      </c>
      <c r="C10" s="0" t="n">
        <f aca="false">Tenancy!$C$7*(Tenancy!$D$7*MAX(0,MIN(1,YEARFRAC(C$3,MIN(Tenancy!$E$7,EDATE(C$3,12)),1)*(Tenancy!$E$7&gt;C$3)))+Tenancy!$F$7*(1+Inputs!$B$6)^(C$2-1)*IF(Tenancy!$E$7&lt;EDATE(C$3,12),Tenancy!$G$7*MAX(0,MAX(0,MIN(12,DATEDIF(MAX(Tenancy!$E$7,C$3),EDATE(C$3,12),"m")))-MAX(0,Inputs!$B$9-IF(Tenancy!$E$7&lt;C$3,DATEDIF(Tenancy!$E$7,C$3,"m"),0)))/12+(1-Tenancy!$G$7)*MAX(0,MAX(0,MIN(12,DATEDIF(MAX(Tenancy!$E$7,C$3),EDATE(C$3,12),"m")))-MAX(0,Inputs!$B$7+Inputs!$B$8-IF(Tenancy!$E$7&lt;C$3,DATEDIF(Tenancy!$E$7,C$3,"m"),0)))/12,0))</f>
        <v>1353000</v>
      </c>
      <c r="D10" s="0" t="n">
        <f aca="false">Tenancy!$C$7*(Tenancy!$D$7*MAX(0,MIN(1,YEARFRAC(D$3,MIN(Tenancy!$E$7,EDATE(D$3,12)),1)*(Tenancy!$E$7&gt;D$3)))+Tenancy!$F$7*(1+Inputs!$B$6)^(D$2-1)*IF(Tenancy!$E$7&lt;EDATE(D$3,12),Tenancy!$G$7*MAX(0,MAX(0,MIN(12,DATEDIF(MAX(Tenancy!$E$7,D$3),EDATE(D$3,12),"m")))-MAX(0,Inputs!$B$9-IF(Tenancy!$E$7&lt;D$3,DATEDIF(Tenancy!$E$7,D$3,"m"),0)))/12+(1-Tenancy!$G$7)*MAX(0,MAX(0,MIN(12,DATEDIF(MAX(Tenancy!$E$7,D$3),EDATE(D$3,12),"m")))-MAX(0,Inputs!$B$7+Inputs!$B$8-IF(Tenancy!$E$7&lt;D$3,DATEDIF(Tenancy!$E$7,D$3,"m"),0)))/12,0))</f>
        <v>1353000</v>
      </c>
      <c r="E10" s="0" t="n">
        <f aca="false">Tenancy!$C$7*(Tenancy!$D$7*MAX(0,MIN(1,YEARFRAC(E$3,MIN(Tenancy!$E$7,EDATE(E$3,12)),1)*(Tenancy!$E$7&gt;E$3)))+Tenancy!$F$7*(1+Inputs!$B$6)^(E$2-1)*IF(Tenancy!$E$7&lt;EDATE(E$3,12),Tenancy!$G$7*MAX(0,MAX(0,MIN(12,DATEDIF(MAX(Tenancy!$E$7,E$3),EDATE(E$3,12),"m")))-MAX(0,Inputs!$B$9-IF(Tenancy!$E$7&lt;E$3,DATEDIF(Tenancy!$E$7,E$3,"m"),0)))/12+(1-Tenancy!$G$7)*MAX(0,MAX(0,MIN(12,DATEDIF(MAX(Tenancy!$E$7,E$3),EDATE(E$3,12),"m")))-MAX(0,Inputs!$B$7+Inputs!$B$8-IF(Tenancy!$E$7&lt;E$3,DATEDIF(Tenancy!$E$7,E$3,"m"),0)))/12,0))</f>
        <v>1353000</v>
      </c>
      <c r="F10" s="0" t="n">
        <f aca="false">Tenancy!$C$7*(Tenancy!$D$7*MAX(0,MIN(1,YEARFRAC(F$3,MIN(Tenancy!$E$7,EDATE(F$3,12)),1)*(Tenancy!$E$7&gt;F$3)))+Tenancy!$F$7*(1+Inputs!$B$6)^(F$2-1)*IF(Tenancy!$E$7&lt;EDATE(F$3,12),Tenancy!$G$7*MAX(0,MAX(0,MIN(12,DATEDIF(MAX(Tenancy!$E$7,F$3),EDATE(F$3,12),"m")))-MAX(0,Inputs!$B$9-IF(Tenancy!$E$7&lt;F$3,DATEDIF(Tenancy!$E$7,F$3,"m"),0)))/12+(1-Tenancy!$G$7)*MAX(0,MAX(0,MIN(12,DATEDIF(MAX(Tenancy!$E$7,F$3),EDATE(F$3,12),"m")))-MAX(0,Inputs!$B$7+Inputs!$B$8-IF(Tenancy!$E$7&lt;F$3,DATEDIF(Tenancy!$E$7,F$3,"m"),0)))/12,0))</f>
        <v>1353000</v>
      </c>
      <c r="G10" s="0" t="n">
        <f aca="false">Tenancy!$C$7*(Tenancy!$D$7*MAX(0,MIN(1,YEARFRAC(G$3,MIN(Tenancy!$E$7,EDATE(G$3,12)),1)*(Tenancy!$E$7&gt;G$3)))+Tenancy!$F$7*(1+Inputs!$B$6)^(G$2-1)*IF(Tenancy!$E$7&lt;EDATE(G$3,12),Tenancy!$G$7*MAX(0,MAX(0,MIN(12,DATEDIF(MAX(Tenancy!$E$7,G$3),EDATE(G$3,12),"m")))-MAX(0,Inputs!$B$9-IF(Tenancy!$E$7&lt;G$3,DATEDIF(Tenancy!$E$7,G$3,"m"),0)))/12+(1-Tenancy!$G$7)*MAX(0,MAX(0,MIN(12,DATEDIF(MAX(Tenancy!$E$7,G$3),EDATE(G$3,12),"m")))-MAX(0,Inputs!$B$7+Inputs!$B$8-IF(Tenancy!$E$7&lt;G$3,DATEDIF(Tenancy!$E$7,G$3,"m"),0)))/12,0))</f>
        <v>1353000</v>
      </c>
      <c r="H10" s="0" t="n">
        <f aca="false">Tenancy!$C$7*(Tenancy!$D$7*MAX(0,MIN(1,YEARFRAC(H$3,MIN(Tenancy!$E$7,EDATE(H$3,12)),1)*(Tenancy!$E$7&gt;H$3)))+Tenancy!$F$7*(1+Inputs!$B$6)^(H$2-1)*IF(Tenancy!$E$7&lt;EDATE(H$3,12),Tenancy!$G$7*MAX(0,MAX(0,MIN(12,DATEDIF(MAX(Tenancy!$E$7,H$3),EDATE(H$3,12),"m")))-MAX(0,Inputs!$B$9-IF(Tenancy!$E$7&lt;H$3,DATEDIF(Tenancy!$E$7,H$3,"m"),0)))/12+(1-Tenancy!$G$7)*MAX(0,MAX(0,MIN(12,DATEDIF(MAX(Tenancy!$E$7,H$3),EDATE(H$3,12),"m")))-MAX(0,Inputs!$B$7+Inputs!$B$8-IF(Tenancy!$E$7&lt;H$3,DATEDIF(Tenancy!$E$7,H$3,"m"),0)))/12,0))</f>
        <v>1353000</v>
      </c>
      <c r="I10" s="0" t="n">
        <f aca="false">Tenancy!$C$7*(Tenancy!$D$7*MAX(0,MIN(1,YEARFRAC(I$3,MIN(Tenancy!$E$7,EDATE(I$3,12)),1)*(Tenancy!$E$7&gt;I$3)))+Tenancy!$F$7*(1+Inputs!$B$6)^(I$2-1)*IF(Tenancy!$E$7&lt;EDATE(I$3,12),Tenancy!$G$7*MAX(0,MAX(0,MIN(12,DATEDIF(MAX(Tenancy!$E$7,I$3),EDATE(I$3,12),"m")))-MAX(0,Inputs!$B$9-IF(Tenancy!$E$7&lt;I$3,DATEDIF(Tenancy!$E$7,I$3,"m"),0)))/12+(1-Tenancy!$G$7)*MAX(0,MAX(0,MIN(12,DATEDIF(MAX(Tenancy!$E$7,I$3),EDATE(I$3,12),"m")))-MAX(0,Inputs!$B$7+Inputs!$B$8-IF(Tenancy!$E$7&lt;I$3,DATEDIF(Tenancy!$E$7,I$3,"m"),0)))/12,0))</f>
        <v>1323426.2295082</v>
      </c>
      <c r="J10" s="0" t="n">
        <f aca="false">Tenancy!$C$7*(Tenancy!$D$7*MAX(0,MIN(1,YEARFRAC(J$3,MIN(Tenancy!$E$7,EDATE(J$3,12)),1)*(Tenancy!$E$7&gt;J$3)))+Tenancy!$F$7*(1+Inputs!$B$6)^(J$2-1)*IF(Tenancy!$E$7&lt;EDATE(J$3,12),Tenancy!$G$7*MAX(0,MAX(0,MIN(12,DATEDIF(MAX(Tenancy!$E$7,J$3),EDATE(J$3,12),"m")))-MAX(0,Inputs!$B$9-IF(Tenancy!$E$7&lt;J$3,DATEDIF(Tenancy!$E$7,J$3,"m"),0)))/12+(1-Tenancy!$G$7)*MAX(0,MAX(0,MIN(12,DATEDIF(MAX(Tenancy!$E$7,J$3),EDATE(J$3,12),"m")))-MAX(0,Inputs!$B$7+Inputs!$B$8-IF(Tenancy!$E$7&lt;J$3,DATEDIF(Tenancy!$E$7,J$3,"m"),0)))/12,0))</f>
        <v>546453.699533198</v>
      </c>
      <c r="K10" s="0" t="n">
        <f aca="false">Tenancy!$C$7*(Tenancy!$D$7*MAX(0,MIN(1,YEARFRAC(K$3,MIN(Tenancy!$E$7,EDATE(K$3,12)),1)*(Tenancy!$E$7&gt;K$3)))+Tenancy!$F$7*(1+Inputs!$B$6)^(K$2-1)*IF(Tenancy!$E$7&lt;EDATE(K$3,12),Tenancy!$G$7*MAX(0,MAX(0,MIN(12,DATEDIF(MAX(Tenancy!$E$7,K$3),EDATE(K$3,12),"m")))-MAX(0,Inputs!$B$9-IF(Tenancy!$E$7&lt;K$3,DATEDIF(Tenancy!$E$7,K$3,"m"),0)))/12+(1-Tenancy!$G$7)*MAX(0,MAX(0,MIN(12,DATEDIF(MAX(Tenancy!$E$7,K$3),EDATE(K$3,12),"m")))-MAX(0,Inputs!$B$7+Inputs!$B$8-IF(Tenancy!$E$7&lt;K$3,DATEDIF(Tenancy!$E$7,K$3,"m"),0)))/12,0))</f>
        <v>1120230.08404306</v>
      </c>
      <c r="L10" s="0" t="n">
        <f aca="false">Tenancy!$C$7*(Tenancy!$D$7*MAX(0,MIN(1,YEARFRAC(L$3,MIN(Tenancy!$E$7,EDATE(L$3,12)),1)*(Tenancy!$E$7&gt;L$3)))+Tenancy!$F$7*(1+Inputs!$B$6)^(L$2-1)*IF(Tenancy!$E$7&lt;EDATE(L$3,12),Tenancy!$G$7*MAX(0,MAX(0,MIN(12,DATEDIF(MAX(Tenancy!$E$7,L$3),EDATE(L$3,12),"m")))-MAX(0,Inputs!$B$9-IF(Tenancy!$E$7&lt;L$3,DATEDIF(Tenancy!$E$7,L$3,"m"),0)))/12+(1-Tenancy!$G$7)*MAX(0,MAX(0,MIN(12,DATEDIF(MAX(Tenancy!$E$7,L$3),EDATE(L$3,12),"m")))-MAX(0,Inputs!$B$7+Inputs!$B$8-IF(Tenancy!$E$7&lt;L$3,DATEDIF(Tenancy!$E$7,L$3,"m"),0)))/12,0))</f>
        <v>1457376.25356755</v>
      </c>
      <c r="M10" s="2" t="n">
        <f aca="false">Tenancy!$C$7*(Tenancy!$D$7*MAX(0,MIN(1,YEARFRAC(M$3,MIN(Tenancy!$E$7,EDATE(M$3,12)),1)*(Tenancy!$E$7&gt;M$3)))+Tenancy!$F$7*(1+Inputs!$B$6)^(M$2-1)*IF(Tenancy!$E$7&lt;EDATE(M$3,12),Tenancy!$G$7*MAX(0,MAX(0,MIN(12,DATEDIF(MAX(Tenancy!$E$7,M$3),EDATE(M$3,12),"m")))-MAX(0,Inputs!$B$9-IF(Tenancy!$E$7&lt;M$3,DATEDIF(Tenancy!$E$7,M$3,"m"),0)))/12+(1-Tenancy!$G$7)*MAX(0,MAX(0,MIN(12,DATEDIF(MAX(Tenancy!$E$7,M$3),EDATE(M$3,12),"m")))-MAX(0,Inputs!$B$7+Inputs!$B$8-IF(Tenancy!$E$7&lt;M$3,DATEDIF(Tenancy!$E$7,M$3,"m"),0)))/12,0))</f>
        <v>1810679.58776575</v>
      </c>
    </row>
    <row r="11" customFormat="false" ht="15" hidden="false" customHeight="false" outlineLevel="0" collapsed="false">
      <c r="A11" s="0" t="str">
        <f aca="false">Tenancy!B8&amp;" · "&amp;Tenancy!A8</f>
        <v>Tessel Bank · 6</v>
      </c>
      <c r="C11" s="0" t="n">
        <f aca="false">Tenancy!$C$8*(Tenancy!$D$8*MAX(0,MIN(1,YEARFRAC(C$3,MIN(Tenancy!$E$8,EDATE(C$3,12)),1)*(Tenancy!$E$8&gt;C$3)))+Tenancy!$F$8*(1+Inputs!$B$6)^(C$2-1)*IF(Tenancy!$E$8&lt;EDATE(C$3,12),Tenancy!$G$8*MAX(0,MAX(0,MIN(12,DATEDIF(MAX(Tenancy!$E$8,C$3),EDATE(C$3,12),"m")))-MAX(0,Inputs!$B$9-IF(Tenancy!$E$8&lt;C$3,DATEDIF(Tenancy!$E$8,C$3,"m"),0)))/12+(1-Tenancy!$G$8)*MAX(0,MAX(0,MIN(12,DATEDIF(MAX(Tenancy!$E$8,C$3),EDATE(C$3,12),"m")))-MAX(0,Inputs!$B$7+Inputs!$B$8-IF(Tenancy!$E$8&lt;C$3,DATEDIF(Tenancy!$E$8,C$3,"m"),0)))/12,0))</f>
        <v>1291500</v>
      </c>
      <c r="D11" s="0" t="n">
        <f aca="false">Tenancy!$C$8*(Tenancy!$D$8*MAX(0,MIN(1,YEARFRAC(D$3,MIN(Tenancy!$E$8,EDATE(D$3,12)),1)*(Tenancy!$E$8&gt;D$3)))+Tenancy!$F$8*(1+Inputs!$B$6)^(D$2-1)*IF(Tenancy!$E$8&lt;EDATE(D$3,12),Tenancy!$G$8*MAX(0,MAX(0,MIN(12,DATEDIF(MAX(Tenancy!$E$8,D$3),EDATE(D$3,12),"m")))-MAX(0,Inputs!$B$9-IF(Tenancy!$E$8&lt;D$3,DATEDIF(Tenancy!$E$8,D$3,"m"),0)))/12+(1-Tenancy!$G$8)*MAX(0,MAX(0,MIN(12,DATEDIF(MAX(Tenancy!$E$8,D$3),EDATE(D$3,12),"m")))-MAX(0,Inputs!$B$7+Inputs!$B$8-IF(Tenancy!$E$8&lt;D$3,DATEDIF(Tenancy!$E$8,D$3,"m"),0)))/12,0))</f>
        <v>1291500</v>
      </c>
      <c r="E11" s="0" t="n">
        <f aca="false">Tenancy!$C$8*(Tenancy!$D$8*MAX(0,MIN(1,YEARFRAC(E$3,MIN(Tenancy!$E$8,EDATE(E$3,12)),1)*(Tenancy!$E$8&gt;E$3)))+Tenancy!$F$8*(1+Inputs!$B$6)^(E$2-1)*IF(Tenancy!$E$8&lt;EDATE(E$3,12),Tenancy!$G$8*MAX(0,MAX(0,MIN(12,DATEDIF(MAX(Tenancy!$E$8,E$3),EDATE(E$3,12),"m")))-MAX(0,Inputs!$B$9-IF(Tenancy!$E$8&lt;E$3,DATEDIF(Tenancy!$E$8,E$3,"m"),0)))/12+(1-Tenancy!$G$8)*MAX(0,MAX(0,MIN(12,DATEDIF(MAX(Tenancy!$E$8,E$3),EDATE(E$3,12),"m")))-MAX(0,Inputs!$B$7+Inputs!$B$8-IF(Tenancy!$E$8&lt;E$3,DATEDIF(Tenancy!$E$8,E$3,"m"),0)))/12,0))</f>
        <v>613991.803278689</v>
      </c>
      <c r="F11" s="0" t="n">
        <f aca="false">Tenancy!$C$8*(Tenancy!$D$8*MAX(0,MIN(1,YEARFRAC(F$3,MIN(Tenancy!$E$8,EDATE(F$3,12)),1)*(Tenancy!$E$8&gt;F$3)))+Tenancy!$F$8*(1+Inputs!$B$6)^(F$2-1)*IF(Tenancy!$E$8&lt;EDATE(F$3,12),Tenancy!$G$8*MAX(0,MAX(0,MIN(12,DATEDIF(MAX(Tenancy!$E$8,F$3),EDATE(F$3,12),"m")))-MAX(0,Inputs!$B$9-IF(Tenancy!$E$8&lt;F$3,DATEDIF(Tenancy!$E$8,F$3,"m"),0)))/12+(1-Tenancy!$G$8)*MAX(0,MAX(0,MIN(12,DATEDIF(MAX(Tenancy!$E$8,F$3),EDATE(F$3,12),"m")))-MAX(0,Inputs!$B$7+Inputs!$B$8-IF(Tenancy!$E$8&lt;F$3,DATEDIF(Tenancy!$E$8,F$3,"m"),0)))/12,0))</f>
        <v>761630.89453125</v>
      </c>
      <c r="G11" s="0" t="n">
        <f aca="false">Tenancy!$C$8*(Tenancy!$D$8*MAX(0,MIN(1,YEARFRAC(G$3,MIN(Tenancy!$E$8,EDATE(G$3,12)),1)*(Tenancy!$E$8&gt;G$3)))+Tenancy!$F$8*(1+Inputs!$B$6)^(G$2-1)*IF(Tenancy!$E$8&lt;EDATE(G$3,12),Tenancy!$G$8*MAX(0,MAX(0,MIN(12,DATEDIF(MAX(Tenancy!$E$8,G$3),EDATE(G$3,12),"m")))-MAX(0,Inputs!$B$9-IF(Tenancy!$E$8&lt;G$3,DATEDIF(Tenancy!$E$8,G$3,"m"),0)))/12+(1-Tenancy!$G$8)*MAX(0,MAX(0,MIN(12,DATEDIF(MAX(Tenancy!$E$8,G$3),EDATE(G$3,12),"m")))-MAX(0,Inputs!$B$7+Inputs!$B$8-IF(Tenancy!$E$8&lt;G$3,DATEDIF(Tenancy!$E$8,G$3,"m"),0)))/12,0))</f>
        <v>780671.666894531</v>
      </c>
      <c r="H11" s="0" t="n">
        <f aca="false">Tenancy!$C$8*(Tenancy!$D$8*MAX(0,MIN(1,YEARFRAC(H$3,MIN(Tenancy!$E$8,EDATE(H$3,12)),1)*(Tenancy!$E$8&gt;H$3)))+Tenancy!$F$8*(1+Inputs!$B$6)^(H$2-1)*IF(Tenancy!$E$8&lt;EDATE(H$3,12),Tenancy!$G$8*MAX(0,MAX(0,MIN(12,DATEDIF(MAX(Tenancy!$E$8,H$3),EDATE(H$3,12),"m")))-MAX(0,Inputs!$B$9-IF(Tenancy!$E$8&lt;H$3,DATEDIF(Tenancy!$E$8,H$3,"m"),0)))/12+(1-Tenancy!$G$8)*MAX(0,MAX(0,MIN(12,DATEDIF(MAX(Tenancy!$E$8,H$3),EDATE(H$3,12),"m")))-MAX(0,Inputs!$B$7+Inputs!$B$8-IF(Tenancy!$E$8&lt;H$3,DATEDIF(Tenancy!$E$8,H$3,"m"),0)))/12,0))</f>
        <v>1600376.91713379</v>
      </c>
      <c r="I11" s="0" t="n">
        <f aca="false">Tenancy!$C$8*(Tenancy!$D$8*MAX(0,MIN(1,YEARFRAC(I$3,MIN(Tenancy!$E$8,EDATE(I$3,12)),1)*(Tenancy!$E$8&gt;I$3)))+Tenancy!$F$8*(1+Inputs!$B$6)^(I$2-1)*IF(Tenancy!$E$8&lt;EDATE(I$3,12),Tenancy!$G$8*MAX(0,MAX(0,MIN(12,DATEDIF(MAX(Tenancy!$E$8,I$3),EDATE(I$3,12),"m")))-MAX(0,Inputs!$B$9-IF(Tenancy!$E$8&lt;I$3,DATEDIF(Tenancy!$E$8,I$3,"m"),0)))/12+(1-Tenancy!$G$8)*MAX(0,MAX(0,MIN(12,DATEDIF(MAX(Tenancy!$E$8,I$3),EDATE(I$3,12),"m")))-MAX(0,Inputs!$B$7+Inputs!$B$8-IF(Tenancy!$E$8&lt;I$3,DATEDIF(Tenancy!$E$8,I$3,"m"),0)))/12,0))</f>
        <v>1640386.34006213</v>
      </c>
      <c r="J11" s="0" t="n">
        <f aca="false">Tenancy!$C$8*(Tenancy!$D$8*MAX(0,MIN(1,YEARFRAC(J$3,MIN(Tenancy!$E$8,EDATE(J$3,12)),1)*(Tenancy!$E$8&gt;J$3)))+Tenancy!$F$8*(1+Inputs!$B$6)^(J$2-1)*IF(Tenancy!$E$8&lt;EDATE(J$3,12),Tenancy!$G$8*MAX(0,MAX(0,MIN(12,DATEDIF(MAX(Tenancy!$E$8,J$3),EDATE(J$3,12),"m")))-MAX(0,Inputs!$B$9-IF(Tenancy!$E$8&lt;J$3,DATEDIF(Tenancy!$E$8,J$3,"m"),0)))/12+(1-Tenancy!$G$8)*MAX(0,MAX(0,MIN(12,DATEDIF(MAX(Tenancy!$E$8,J$3),EDATE(J$3,12),"m")))-MAX(0,Inputs!$B$7+Inputs!$B$8-IF(Tenancy!$E$8&lt;J$3,DATEDIF(Tenancy!$E$8,J$3,"m"),0)))/12,0))</f>
        <v>1681395.99856369</v>
      </c>
      <c r="K11" s="0" t="n">
        <f aca="false">Tenancy!$C$8*(Tenancy!$D$8*MAX(0,MIN(1,YEARFRAC(K$3,MIN(Tenancy!$E$8,EDATE(K$3,12)),1)*(Tenancy!$E$8&gt;K$3)))+Tenancy!$F$8*(1+Inputs!$B$6)^(K$2-1)*IF(Tenancy!$E$8&lt;EDATE(K$3,12),Tenancy!$G$8*MAX(0,MAX(0,MIN(12,DATEDIF(MAX(Tenancy!$E$8,K$3),EDATE(K$3,12),"m")))-MAX(0,Inputs!$B$9-IF(Tenancy!$E$8&lt;K$3,DATEDIF(Tenancy!$E$8,K$3,"m"),0)))/12+(1-Tenancy!$G$8)*MAX(0,MAX(0,MIN(12,DATEDIF(MAX(Tenancy!$E$8,K$3),EDATE(K$3,12),"m")))-MAX(0,Inputs!$B$7+Inputs!$B$8-IF(Tenancy!$E$8&lt;K$3,DATEDIF(Tenancy!$E$8,K$3,"m"),0)))/12,0))</f>
        <v>1723430.89852778</v>
      </c>
      <c r="L11" s="0" t="n">
        <f aca="false">Tenancy!$C$8*(Tenancy!$D$8*MAX(0,MIN(1,YEARFRAC(L$3,MIN(Tenancy!$E$8,EDATE(L$3,12)),1)*(Tenancy!$E$8&gt;L$3)))+Tenancy!$F$8*(1+Inputs!$B$6)^(L$2-1)*IF(Tenancy!$E$8&lt;EDATE(L$3,12),Tenancy!$G$8*MAX(0,MAX(0,MIN(12,DATEDIF(MAX(Tenancy!$E$8,L$3),EDATE(L$3,12),"m")))-MAX(0,Inputs!$B$9-IF(Tenancy!$E$8&lt;L$3,DATEDIF(Tenancy!$E$8,L$3,"m"),0)))/12+(1-Tenancy!$G$8)*MAX(0,MAX(0,MIN(12,DATEDIF(MAX(Tenancy!$E$8,L$3),EDATE(L$3,12),"m")))-MAX(0,Inputs!$B$7+Inputs!$B$8-IF(Tenancy!$E$8&lt;L$3,DATEDIF(Tenancy!$E$8,L$3,"m"),0)))/12,0))</f>
        <v>1766516.67099097</v>
      </c>
      <c r="M11" s="2" t="n">
        <f aca="false">Tenancy!$C$8*(Tenancy!$D$8*MAX(0,MIN(1,YEARFRAC(M$3,MIN(Tenancy!$E$8,EDATE(M$3,12)),1)*(Tenancy!$E$8&gt;M$3)))+Tenancy!$F$8*(1+Inputs!$B$6)^(M$2-1)*IF(Tenancy!$E$8&lt;EDATE(M$3,12),Tenancy!$G$8*MAX(0,MAX(0,MIN(12,DATEDIF(MAX(Tenancy!$E$8,M$3),EDATE(M$3,12),"m")))-MAX(0,Inputs!$B$9-IF(Tenancy!$E$8&lt;M$3,DATEDIF(Tenancy!$E$8,M$3,"m"),0)))/12+(1-Tenancy!$G$8)*MAX(0,MAX(0,MIN(12,DATEDIF(MAX(Tenancy!$E$8,M$3),EDATE(M$3,12),"m")))-MAX(0,Inputs!$B$7+Inputs!$B$8-IF(Tenancy!$E$8&lt;M$3,DATEDIF(Tenancy!$E$8,M$3,"m"),0)))/12,0))</f>
        <v>1810679.58776575</v>
      </c>
    </row>
    <row r="12" customFormat="false" ht="15" hidden="false" customHeight="false" outlineLevel="0" collapsed="false">
      <c r="A12" s="0" t="str">
        <f aca="false">Tenancy!B9&amp;" · "&amp;Tenancy!A9</f>
        <v>Tessel Bank · 7</v>
      </c>
      <c r="C12" s="0" t="n">
        <f aca="false">Tenancy!$C$9*(Tenancy!$D$9*MAX(0,MIN(1,YEARFRAC(C$3,MIN(Tenancy!$E$9,EDATE(C$3,12)),1)*(Tenancy!$E$9&gt;C$3)))+Tenancy!$F$9*(1+Inputs!$B$6)^(C$2-1)*IF(Tenancy!$E$9&lt;EDATE(C$3,12),Tenancy!$G$9*MAX(0,MAX(0,MIN(12,DATEDIF(MAX(Tenancy!$E$9,C$3),EDATE(C$3,12),"m")))-MAX(0,Inputs!$B$9-IF(Tenancy!$E$9&lt;C$3,DATEDIF(Tenancy!$E$9,C$3,"m"),0)))/12+(1-Tenancy!$G$9)*MAX(0,MAX(0,MIN(12,DATEDIF(MAX(Tenancy!$E$9,C$3),EDATE(C$3,12),"m")))-MAX(0,Inputs!$B$7+Inputs!$B$8-IF(Tenancy!$E$9&lt;C$3,DATEDIF(Tenancy!$E$9,C$3,"m"),0)))/12,0))</f>
        <v>1291500</v>
      </c>
      <c r="D12" s="0" t="n">
        <f aca="false">Tenancy!$C$9*(Tenancy!$D$9*MAX(0,MIN(1,YEARFRAC(D$3,MIN(Tenancy!$E$9,EDATE(D$3,12)),1)*(Tenancy!$E$9&gt;D$3)))+Tenancy!$F$9*(1+Inputs!$B$6)^(D$2-1)*IF(Tenancy!$E$9&lt;EDATE(D$3,12),Tenancy!$G$9*MAX(0,MAX(0,MIN(12,DATEDIF(MAX(Tenancy!$E$9,D$3),EDATE(D$3,12),"m")))-MAX(0,Inputs!$B$9-IF(Tenancy!$E$9&lt;D$3,DATEDIF(Tenancy!$E$9,D$3,"m"),0)))/12+(1-Tenancy!$G$9)*MAX(0,MAX(0,MIN(12,DATEDIF(MAX(Tenancy!$E$9,D$3),EDATE(D$3,12),"m")))-MAX(0,Inputs!$B$7+Inputs!$B$8-IF(Tenancy!$E$9&lt;D$3,DATEDIF(Tenancy!$E$9,D$3,"m"),0)))/12,0))</f>
        <v>1291500</v>
      </c>
      <c r="E12" s="0" t="n">
        <f aca="false">Tenancy!$C$9*(Tenancy!$D$9*MAX(0,MIN(1,YEARFRAC(E$3,MIN(Tenancy!$E$9,EDATE(E$3,12)),1)*(Tenancy!$E$9&gt;E$3)))+Tenancy!$F$9*(1+Inputs!$B$6)^(E$2-1)*IF(Tenancy!$E$9&lt;EDATE(E$3,12),Tenancy!$G$9*MAX(0,MAX(0,MIN(12,DATEDIF(MAX(Tenancy!$E$9,E$3),EDATE(E$3,12),"m")))-MAX(0,Inputs!$B$9-IF(Tenancy!$E$9&lt;E$3,DATEDIF(Tenancy!$E$9,E$3,"m"),0)))/12+(1-Tenancy!$G$9)*MAX(0,MAX(0,MIN(12,DATEDIF(MAX(Tenancy!$E$9,E$3),EDATE(E$3,12),"m")))-MAX(0,Inputs!$B$7+Inputs!$B$8-IF(Tenancy!$E$9&lt;E$3,DATEDIF(Tenancy!$E$9,E$3,"m"),0)))/12,0))</f>
        <v>613991.803278689</v>
      </c>
      <c r="F12" s="0" t="n">
        <f aca="false">Tenancy!$C$9*(Tenancy!$D$9*MAX(0,MIN(1,YEARFRAC(F$3,MIN(Tenancy!$E$9,EDATE(F$3,12)),1)*(Tenancy!$E$9&gt;F$3)))+Tenancy!$F$9*(1+Inputs!$B$6)^(F$2-1)*IF(Tenancy!$E$9&lt;EDATE(F$3,12),Tenancy!$G$9*MAX(0,MAX(0,MIN(12,DATEDIF(MAX(Tenancy!$E$9,F$3),EDATE(F$3,12),"m")))-MAX(0,Inputs!$B$9-IF(Tenancy!$E$9&lt;F$3,DATEDIF(Tenancy!$E$9,F$3,"m"),0)))/12+(1-Tenancy!$G$9)*MAX(0,MAX(0,MIN(12,DATEDIF(MAX(Tenancy!$E$9,F$3),EDATE(F$3,12),"m")))-MAX(0,Inputs!$B$7+Inputs!$B$8-IF(Tenancy!$E$9&lt;F$3,DATEDIF(Tenancy!$E$9,F$3,"m"),0)))/12,0))</f>
        <v>761630.89453125</v>
      </c>
      <c r="G12" s="0" t="n">
        <f aca="false">Tenancy!$C$9*(Tenancy!$D$9*MAX(0,MIN(1,YEARFRAC(G$3,MIN(Tenancy!$E$9,EDATE(G$3,12)),1)*(Tenancy!$E$9&gt;G$3)))+Tenancy!$F$9*(1+Inputs!$B$6)^(G$2-1)*IF(Tenancy!$E$9&lt;EDATE(G$3,12),Tenancy!$G$9*MAX(0,MAX(0,MIN(12,DATEDIF(MAX(Tenancy!$E$9,G$3),EDATE(G$3,12),"m")))-MAX(0,Inputs!$B$9-IF(Tenancy!$E$9&lt;G$3,DATEDIF(Tenancy!$E$9,G$3,"m"),0)))/12+(1-Tenancy!$G$9)*MAX(0,MAX(0,MIN(12,DATEDIF(MAX(Tenancy!$E$9,G$3),EDATE(G$3,12),"m")))-MAX(0,Inputs!$B$7+Inputs!$B$8-IF(Tenancy!$E$9&lt;G$3,DATEDIF(Tenancy!$E$9,G$3,"m"),0)))/12,0))</f>
        <v>780671.666894531</v>
      </c>
      <c r="H12" s="0" t="n">
        <f aca="false">Tenancy!$C$9*(Tenancy!$D$9*MAX(0,MIN(1,YEARFRAC(H$3,MIN(Tenancy!$E$9,EDATE(H$3,12)),1)*(Tenancy!$E$9&gt;H$3)))+Tenancy!$F$9*(1+Inputs!$B$6)^(H$2-1)*IF(Tenancy!$E$9&lt;EDATE(H$3,12),Tenancy!$G$9*MAX(0,MAX(0,MIN(12,DATEDIF(MAX(Tenancy!$E$9,H$3),EDATE(H$3,12),"m")))-MAX(0,Inputs!$B$9-IF(Tenancy!$E$9&lt;H$3,DATEDIF(Tenancy!$E$9,H$3,"m"),0)))/12+(1-Tenancy!$G$9)*MAX(0,MAX(0,MIN(12,DATEDIF(MAX(Tenancy!$E$9,H$3),EDATE(H$3,12),"m")))-MAX(0,Inputs!$B$7+Inputs!$B$8-IF(Tenancy!$E$9&lt;H$3,DATEDIF(Tenancy!$E$9,H$3,"m"),0)))/12,0))</f>
        <v>1600376.91713379</v>
      </c>
      <c r="I12" s="0" t="n">
        <f aca="false">Tenancy!$C$9*(Tenancy!$D$9*MAX(0,MIN(1,YEARFRAC(I$3,MIN(Tenancy!$E$9,EDATE(I$3,12)),1)*(Tenancy!$E$9&gt;I$3)))+Tenancy!$F$9*(1+Inputs!$B$6)^(I$2-1)*IF(Tenancy!$E$9&lt;EDATE(I$3,12),Tenancy!$G$9*MAX(0,MAX(0,MIN(12,DATEDIF(MAX(Tenancy!$E$9,I$3),EDATE(I$3,12),"m")))-MAX(0,Inputs!$B$9-IF(Tenancy!$E$9&lt;I$3,DATEDIF(Tenancy!$E$9,I$3,"m"),0)))/12+(1-Tenancy!$G$9)*MAX(0,MAX(0,MIN(12,DATEDIF(MAX(Tenancy!$E$9,I$3),EDATE(I$3,12),"m")))-MAX(0,Inputs!$B$7+Inputs!$B$8-IF(Tenancy!$E$9&lt;I$3,DATEDIF(Tenancy!$E$9,I$3,"m"),0)))/12,0))</f>
        <v>1640386.34006213</v>
      </c>
      <c r="J12" s="0" t="n">
        <f aca="false">Tenancy!$C$9*(Tenancy!$D$9*MAX(0,MIN(1,YEARFRAC(J$3,MIN(Tenancy!$E$9,EDATE(J$3,12)),1)*(Tenancy!$E$9&gt;J$3)))+Tenancy!$F$9*(1+Inputs!$B$6)^(J$2-1)*IF(Tenancy!$E$9&lt;EDATE(J$3,12),Tenancy!$G$9*MAX(0,MAX(0,MIN(12,DATEDIF(MAX(Tenancy!$E$9,J$3),EDATE(J$3,12),"m")))-MAX(0,Inputs!$B$9-IF(Tenancy!$E$9&lt;J$3,DATEDIF(Tenancy!$E$9,J$3,"m"),0)))/12+(1-Tenancy!$G$9)*MAX(0,MAX(0,MIN(12,DATEDIF(MAX(Tenancy!$E$9,J$3),EDATE(J$3,12),"m")))-MAX(0,Inputs!$B$7+Inputs!$B$8-IF(Tenancy!$E$9&lt;J$3,DATEDIF(Tenancy!$E$9,J$3,"m"),0)))/12,0))</f>
        <v>1681395.99856369</v>
      </c>
      <c r="K12" s="0" t="n">
        <f aca="false">Tenancy!$C$9*(Tenancy!$D$9*MAX(0,MIN(1,YEARFRAC(K$3,MIN(Tenancy!$E$9,EDATE(K$3,12)),1)*(Tenancy!$E$9&gt;K$3)))+Tenancy!$F$9*(1+Inputs!$B$6)^(K$2-1)*IF(Tenancy!$E$9&lt;EDATE(K$3,12),Tenancy!$G$9*MAX(0,MAX(0,MIN(12,DATEDIF(MAX(Tenancy!$E$9,K$3),EDATE(K$3,12),"m")))-MAX(0,Inputs!$B$9-IF(Tenancy!$E$9&lt;K$3,DATEDIF(Tenancy!$E$9,K$3,"m"),0)))/12+(1-Tenancy!$G$9)*MAX(0,MAX(0,MIN(12,DATEDIF(MAX(Tenancy!$E$9,K$3),EDATE(K$3,12),"m")))-MAX(0,Inputs!$B$7+Inputs!$B$8-IF(Tenancy!$E$9&lt;K$3,DATEDIF(Tenancy!$E$9,K$3,"m"),0)))/12,0))</f>
        <v>1723430.89852778</v>
      </c>
      <c r="L12" s="0" t="n">
        <f aca="false">Tenancy!$C$9*(Tenancy!$D$9*MAX(0,MIN(1,YEARFRAC(L$3,MIN(Tenancy!$E$9,EDATE(L$3,12)),1)*(Tenancy!$E$9&gt;L$3)))+Tenancy!$F$9*(1+Inputs!$B$6)^(L$2-1)*IF(Tenancy!$E$9&lt;EDATE(L$3,12),Tenancy!$G$9*MAX(0,MAX(0,MIN(12,DATEDIF(MAX(Tenancy!$E$9,L$3),EDATE(L$3,12),"m")))-MAX(0,Inputs!$B$9-IF(Tenancy!$E$9&lt;L$3,DATEDIF(Tenancy!$E$9,L$3,"m"),0)))/12+(1-Tenancy!$G$9)*MAX(0,MAX(0,MIN(12,DATEDIF(MAX(Tenancy!$E$9,L$3),EDATE(L$3,12),"m")))-MAX(0,Inputs!$B$7+Inputs!$B$8-IF(Tenancy!$E$9&lt;L$3,DATEDIF(Tenancy!$E$9,L$3,"m"),0)))/12,0))</f>
        <v>1766516.67099097</v>
      </c>
      <c r="M12" s="2" t="n">
        <f aca="false">Tenancy!$C$9*(Tenancy!$D$9*MAX(0,MIN(1,YEARFRAC(M$3,MIN(Tenancy!$E$9,EDATE(M$3,12)),1)*(Tenancy!$E$9&gt;M$3)))+Tenancy!$F$9*(1+Inputs!$B$6)^(M$2-1)*IF(Tenancy!$E$9&lt;EDATE(M$3,12),Tenancy!$G$9*MAX(0,MAX(0,MIN(12,DATEDIF(MAX(Tenancy!$E$9,M$3),EDATE(M$3,12),"m")))-MAX(0,Inputs!$B$9-IF(Tenancy!$E$9&lt;M$3,DATEDIF(Tenancy!$E$9,M$3,"m"),0)))/12+(1-Tenancy!$G$9)*MAX(0,MAX(0,MIN(12,DATEDIF(MAX(Tenancy!$E$9,M$3),EDATE(M$3,12),"m")))-MAX(0,Inputs!$B$7+Inputs!$B$8-IF(Tenancy!$E$9&lt;M$3,DATEDIF(Tenancy!$E$9,M$3,"m"),0)))/12,0))</f>
        <v>1810679.58776575</v>
      </c>
    </row>
    <row r="13" customFormat="false" ht="15" hidden="false" customHeight="false" outlineLevel="0" collapsed="false">
      <c r="A13" s="0" t="str">
        <f aca="false">Tenancy!B10&amp;" · "&amp;Tenancy!A10</f>
        <v>Arkwright Partners · 8</v>
      </c>
      <c r="C13" s="0" t="n">
        <f aca="false">Tenancy!$C$10*(Tenancy!$D$10*MAX(0,MIN(1,YEARFRAC(C$3,MIN(Tenancy!$E$10,EDATE(C$3,12)),1)*(Tenancy!$E$10&gt;C$3)))+Tenancy!$F$10*(1+Inputs!$B$6)^(C$2-1)*IF(Tenancy!$E$10&lt;EDATE(C$3,12),Tenancy!$G$10*MAX(0,MAX(0,MIN(12,DATEDIF(MAX(Tenancy!$E$10,C$3),EDATE(C$3,12),"m")))-MAX(0,Inputs!$B$9-IF(Tenancy!$E$10&lt;C$3,DATEDIF(Tenancy!$E$10,C$3,"m"),0)))/12+(1-Tenancy!$G$10)*MAX(0,MAX(0,MIN(12,DATEDIF(MAX(Tenancy!$E$10,C$3),EDATE(C$3,12),"m")))-MAX(0,Inputs!$B$7+Inputs!$B$8-IF(Tenancy!$E$10&lt;C$3,DATEDIF(Tenancy!$E$10,C$3,"m"),0)))/12,0))</f>
        <v>1330000</v>
      </c>
      <c r="D13" s="0" t="n">
        <f aca="false">Tenancy!$C$10*(Tenancy!$D$10*MAX(0,MIN(1,YEARFRAC(D$3,MIN(Tenancy!$E$10,EDATE(D$3,12)),1)*(Tenancy!$E$10&gt;D$3)))+Tenancy!$F$10*(1+Inputs!$B$6)^(D$2-1)*IF(Tenancy!$E$10&lt;EDATE(D$3,12),Tenancy!$G$10*MAX(0,MAX(0,MIN(12,DATEDIF(MAX(Tenancy!$E$10,D$3),EDATE(D$3,12),"m")))-MAX(0,Inputs!$B$9-IF(Tenancy!$E$10&lt;D$3,DATEDIF(Tenancy!$E$10,D$3,"m"),0)))/12+(1-Tenancy!$G$10)*MAX(0,MAX(0,MIN(12,DATEDIF(MAX(Tenancy!$E$10,D$3),EDATE(D$3,12),"m")))-MAX(0,Inputs!$B$7+Inputs!$B$8-IF(Tenancy!$E$10&lt;D$3,DATEDIF(Tenancy!$E$10,D$3,"m"),0)))/12,0))</f>
        <v>1330000</v>
      </c>
      <c r="E13" s="0" t="n">
        <f aca="false">Tenancy!$C$10*(Tenancy!$D$10*MAX(0,MIN(1,YEARFRAC(E$3,MIN(Tenancy!$E$10,EDATE(E$3,12)),1)*(Tenancy!$E$10&gt;E$3)))+Tenancy!$F$10*(1+Inputs!$B$6)^(E$2-1)*IF(Tenancy!$E$10&lt;EDATE(E$3,12),Tenancy!$G$10*MAX(0,MAX(0,MIN(12,DATEDIF(MAX(Tenancy!$E$10,E$3),EDATE(E$3,12),"m")))-MAX(0,Inputs!$B$9-IF(Tenancy!$E$10&lt;E$3,DATEDIF(Tenancy!$E$10,E$3,"m"),0)))/12+(1-Tenancy!$G$10)*MAX(0,MAX(0,MIN(12,DATEDIF(MAX(Tenancy!$E$10,E$3),EDATE(E$3,12),"m")))-MAX(0,Inputs!$B$7+Inputs!$B$8-IF(Tenancy!$E$10&lt;E$3,DATEDIF(Tenancy!$E$10,E$3,"m"),0)))/12,0))</f>
        <v>1330000</v>
      </c>
      <c r="F13" s="0" t="n">
        <f aca="false">Tenancy!$C$10*(Tenancy!$D$10*MAX(0,MIN(1,YEARFRAC(F$3,MIN(Tenancy!$E$10,EDATE(F$3,12)),1)*(Tenancy!$E$10&gt;F$3)))+Tenancy!$F$10*(1+Inputs!$B$6)^(F$2-1)*IF(Tenancy!$E$10&lt;EDATE(F$3,12),Tenancy!$G$10*MAX(0,MAX(0,MIN(12,DATEDIF(MAX(Tenancy!$E$10,F$3),EDATE(F$3,12),"m")))-MAX(0,Inputs!$B$9-IF(Tenancy!$E$10&lt;F$3,DATEDIF(Tenancy!$E$10,F$3,"m"),0)))/12+(1-Tenancy!$G$10)*MAX(0,MAX(0,MIN(12,DATEDIF(MAX(Tenancy!$E$10,F$3),EDATE(F$3,12),"m")))-MAX(0,Inputs!$B$7+Inputs!$B$8-IF(Tenancy!$E$10&lt;F$3,DATEDIF(Tenancy!$E$10,F$3,"m"),0)))/12,0))</f>
        <v>1330000</v>
      </c>
      <c r="G13" s="0" t="n">
        <f aca="false">Tenancy!$C$10*(Tenancy!$D$10*MAX(0,MIN(1,YEARFRAC(G$3,MIN(Tenancy!$E$10,EDATE(G$3,12)),1)*(Tenancy!$E$10&gt;G$3)))+Tenancy!$F$10*(1+Inputs!$B$6)^(G$2-1)*IF(Tenancy!$E$10&lt;EDATE(G$3,12),Tenancy!$G$10*MAX(0,MAX(0,MIN(12,DATEDIF(MAX(Tenancy!$E$10,G$3),EDATE(G$3,12),"m")))-MAX(0,Inputs!$B$9-IF(Tenancy!$E$10&lt;G$3,DATEDIF(Tenancy!$E$10,G$3,"m"),0)))/12+(1-Tenancy!$G$10)*MAX(0,MAX(0,MIN(12,DATEDIF(MAX(Tenancy!$E$10,G$3),EDATE(G$3,12),"m")))-MAX(0,Inputs!$B$7+Inputs!$B$8-IF(Tenancy!$E$10&lt;G$3,DATEDIF(Tenancy!$E$10,G$3,"m"),0)))/12,0))</f>
        <v>1330000</v>
      </c>
      <c r="H13" s="0" t="n">
        <f aca="false">Tenancy!$C$10*(Tenancy!$D$10*MAX(0,MIN(1,YEARFRAC(H$3,MIN(Tenancy!$E$10,EDATE(H$3,12)),1)*(Tenancy!$E$10&gt;H$3)))+Tenancy!$F$10*(1+Inputs!$B$6)^(H$2-1)*IF(Tenancy!$E$10&lt;EDATE(H$3,12),Tenancy!$G$10*MAX(0,MAX(0,MIN(12,DATEDIF(MAX(Tenancy!$E$10,H$3),EDATE(H$3,12),"m")))-MAX(0,Inputs!$B$9-IF(Tenancy!$E$10&lt;H$3,DATEDIF(Tenancy!$E$10,H$3,"m"),0)))/12+(1-Tenancy!$G$10)*MAX(0,MAX(0,MIN(12,DATEDIF(MAX(Tenancy!$E$10,H$3),EDATE(H$3,12),"m")))-MAX(0,Inputs!$B$7+Inputs!$B$8-IF(Tenancy!$E$10&lt;H$3,DATEDIF(Tenancy!$E$10,H$3,"m"),0)))/12,0))</f>
        <v>1330000</v>
      </c>
      <c r="I13" s="0" t="n">
        <f aca="false">Tenancy!$C$10*(Tenancy!$D$10*MAX(0,MIN(1,YEARFRAC(I$3,MIN(Tenancy!$E$10,EDATE(I$3,12)),1)*(Tenancy!$E$10&gt;I$3)))+Tenancy!$F$10*(1+Inputs!$B$6)^(I$2-1)*IF(Tenancy!$E$10&lt;EDATE(I$3,12),Tenancy!$G$10*MAX(0,MAX(0,MIN(12,DATEDIF(MAX(Tenancy!$E$10,I$3),EDATE(I$3,12),"m")))-MAX(0,Inputs!$B$9-IF(Tenancy!$E$10&lt;I$3,DATEDIF(Tenancy!$E$10,I$3,"m"),0)))/12+(1-Tenancy!$G$10)*MAX(0,MAX(0,MIN(12,DATEDIF(MAX(Tenancy!$E$10,I$3),EDATE(I$3,12),"m")))-MAX(0,Inputs!$B$7+Inputs!$B$8-IF(Tenancy!$E$10&lt;I$3,DATEDIF(Tenancy!$E$10,I$3,"m"),0)))/12,0))</f>
        <v>1330000</v>
      </c>
      <c r="J13" s="0" t="n">
        <f aca="false">Tenancy!$C$10*(Tenancy!$D$10*MAX(0,MIN(1,YEARFRAC(J$3,MIN(Tenancy!$E$10,EDATE(J$3,12)),1)*(Tenancy!$E$10&gt;J$3)))+Tenancy!$F$10*(1+Inputs!$B$6)^(J$2-1)*IF(Tenancy!$E$10&lt;EDATE(J$3,12),Tenancy!$G$10*MAX(0,MAX(0,MIN(12,DATEDIF(MAX(Tenancy!$E$10,J$3),EDATE(J$3,12),"m")))-MAX(0,Inputs!$B$9-IF(Tenancy!$E$10&lt;J$3,DATEDIF(Tenancy!$E$10,J$3,"m"),0)))/12+(1-Tenancy!$G$10)*MAX(0,MAX(0,MIN(12,DATEDIF(MAX(Tenancy!$E$10,J$3),EDATE(J$3,12),"m")))-MAX(0,Inputs!$B$7+Inputs!$B$8-IF(Tenancy!$E$10&lt;J$3,DATEDIF(Tenancy!$E$10,J$3,"m"),0)))/12,0))</f>
        <v>1330000</v>
      </c>
      <c r="K13" s="0" t="n">
        <f aca="false">Tenancy!$C$10*(Tenancy!$D$10*MAX(0,MIN(1,YEARFRAC(K$3,MIN(Tenancy!$E$10,EDATE(K$3,12)),1)*(Tenancy!$E$10&gt;K$3)))+Tenancy!$F$10*(1+Inputs!$B$6)^(K$2-1)*IF(Tenancy!$E$10&lt;EDATE(K$3,12),Tenancy!$G$10*MAX(0,MAX(0,MIN(12,DATEDIF(MAX(Tenancy!$E$10,K$3),EDATE(K$3,12),"m")))-MAX(0,Inputs!$B$9-IF(Tenancy!$E$10&lt;K$3,DATEDIF(Tenancy!$E$10,K$3,"m"),0)))/12+(1-Tenancy!$G$10)*MAX(0,MAX(0,MIN(12,DATEDIF(MAX(Tenancy!$E$10,K$3),EDATE(K$3,12),"m")))-MAX(0,Inputs!$B$7+Inputs!$B$8-IF(Tenancy!$E$10&lt;K$3,DATEDIF(Tenancy!$E$10,K$3,"m"),0)))/12,0))</f>
        <v>548810.79511698</v>
      </c>
      <c r="L13" s="0" t="n">
        <f aca="false">Tenancy!$C$10*(Tenancy!$D$10*MAX(0,MIN(1,YEARFRAC(L$3,MIN(Tenancy!$E$10,EDATE(L$3,12)),1)*(Tenancy!$E$10&gt;L$3)))+Tenancy!$F$10*(1+Inputs!$B$6)^(L$2-1)*IF(Tenancy!$E$10&lt;EDATE(L$3,12),Tenancy!$G$10*MAX(0,MAX(0,MIN(12,DATEDIF(MAX(Tenancy!$E$10,L$3),EDATE(L$3,12),"m")))-MAX(0,Inputs!$B$9-IF(Tenancy!$E$10&lt;L$3,DATEDIF(Tenancy!$E$10,L$3,"m"),0)))/12+(1-Tenancy!$G$10)*MAX(0,MAX(0,MIN(12,DATEDIF(MAX(Tenancy!$E$10,L$3),EDATE(L$3,12),"m")))-MAX(0,Inputs!$B$7+Inputs!$B$8-IF(Tenancy!$E$10&lt;L$3,DATEDIF(Tenancy!$E$10,L$3,"m"),0)))/12,0))</f>
        <v>1025066.72573304</v>
      </c>
      <c r="M13" s="2" t="n">
        <f aca="false">Tenancy!$C$10*(Tenancy!$D$10*MAX(0,MIN(1,YEARFRAC(M$3,MIN(Tenancy!$E$10,EDATE(M$3,12)),1)*(Tenancy!$E$10&gt;M$3)))+Tenancy!$F$10*(1+Inputs!$B$6)^(M$2-1)*IF(Tenancy!$E$10&lt;EDATE(M$3,12),Tenancy!$G$10*MAX(0,MAX(0,MIN(12,DATEDIF(MAX(Tenancy!$E$10,M$3),EDATE(M$3,12),"m")))-MAX(0,Inputs!$B$9-IF(Tenancy!$E$10&lt;M$3,DATEDIF(Tenancy!$E$10,M$3,"m"),0)))/12+(1-Tenancy!$G$10)*MAX(0,MAX(0,MIN(12,DATEDIF(MAX(Tenancy!$E$10,M$3),EDATE(M$3,12),"m")))-MAX(0,Inputs!$B$7+Inputs!$B$8-IF(Tenancy!$E$10&lt;M$3,DATEDIF(Tenancy!$E$10,M$3,"m"),0)))/12,0))</f>
        <v>1225808.95952243</v>
      </c>
    </row>
    <row r="14" customFormat="false" ht="15" hidden="false" customHeight="false" outlineLevel="0" collapsed="false">
      <c r="A14" s="0" t="str">
        <f aca="false">Tenancy!B11&amp;" · "&amp;Tenancy!A11</f>
        <v>Arkwright Partners · 9</v>
      </c>
      <c r="C14" s="0" t="n">
        <f aca="false">Tenancy!$C$11*(Tenancy!$D$11*MAX(0,MIN(1,YEARFRAC(C$3,MIN(Tenancy!$E$11,EDATE(C$3,12)),1)*(Tenancy!$E$11&gt;C$3)))+Tenancy!$F$11*(1+Inputs!$B$6)^(C$2-1)*IF(Tenancy!$E$11&lt;EDATE(C$3,12),Tenancy!$G$11*MAX(0,MAX(0,MIN(12,DATEDIF(MAX(Tenancy!$E$11,C$3),EDATE(C$3,12),"m")))-MAX(0,Inputs!$B$9-IF(Tenancy!$E$11&lt;C$3,DATEDIF(Tenancy!$E$11,C$3,"m"),0)))/12+(1-Tenancy!$G$11)*MAX(0,MAX(0,MIN(12,DATEDIF(MAX(Tenancy!$E$11,C$3),EDATE(C$3,12),"m")))-MAX(0,Inputs!$B$7+Inputs!$B$8-IF(Tenancy!$E$11&lt;C$3,DATEDIF(Tenancy!$E$11,C$3,"m"),0)))/12,0))</f>
        <v>1330000</v>
      </c>
      <c r="D14" s="0" t="n">
        <f aca="false">Tenancy!$C$11*(Tenancy!$D$11*MAX(0,MIN(1,YEARFRAC(D$3,MIN(Tenancy!$E$11,EDATE(D$3,12)),1)*(Tenancy!$E$11&gt;D$3)))+Tenancy!$F$11*(1+Inputs!$B$6)^(D$2-1)*IF(Tenancy!$E$11&lt;EDATE(D$3,12),Tenancy!$G$11*MAX(0,MAX(0,MIN(12,DATEDIF(MAX(Tenancy!$E$11,D$3),EDATE(D$3,12),"m")))-MAX(0,Inputs!$B$9-IF(Tenancy!$E$11&lt;D$3,DATEDIF(Tenancy!$E$11,D$3,"m"),0)))/12+(1-Tenancy!$G$11)*MAX(0,MAX(0,MIN(12,DATEDIF(MAX(Tenancy!$E$11,D$3),EDATE(D$3,12),"m")))-MAX(0,Inputs!$B$7+Inputs!$B$8-IF(Tenancy!$E$11&lt;D$3,DATEDIF(Tenancy!$E$11,D$3,"m"),0)))/12,0))</f>
        <v>1330000</v>
      </c>
      <c r="E14" s="0" t="n">
        <f aca="false">Tenancy!$C$11*(Tenancy!$D$11*MAX(0,MIN(1,YEARFRAC(E$3,MIN(Tenancy!$E$11,EDATE(E$3,12)),1)*(Tenancy!$E$11&gt;E$3)))+Tenancy!$F$11*(1+Inputs!$B$6)^(E$2-1)*IF(Tenancy!$E$11&lt;EDATE(E$3,12),Tenancy!$G$11*MAX(0,MAX(0,MIN(12,DATEDIF(MAX(Tenancy!$E$11,E$3),EDATE(E$3,12),"m")))-MAX(0,Inputs!$B$9-IF(Tenancy!$E$11&lt;E$3,DATEDIF(Tenancy!$E$11,E$3,"m"),0)))/12+(1-Tenancy!$G$11)*MAX(0,MAX(0,MIN(12,DATEDIF(MAX(Tenancy!$E$11,E$3),EDATE(E$3,12),"m")))-MAX(0,Inputs!$B$7+Inputs!$B$8-IF(Tenancy!$E$11&lt;E$3,DATEDIF(Tenancy!$E$11,E$3,"m"),0)))/12,0))</f>
        <v>1330000</v>
      </c>
      <c r="F14" s="0" t="n">
        <f aca="false">Tenancy!$C$11*(Tenancy!$D$11*MAX(0,MIN(1,YEARFRAC(F$3,MIN(Tenancy!$E$11,EDATE(F$3,12)),1)*(Tenancy!$E$11&gt;F$3)))+Tenancy!$F$11*(1+Inputs!$B$6)^(F$2-1)*IF(Tenancy!$E$11&lt;EDATE(F$3,12),Tenancy!$G$11*MAX(0,MAX(0,MIN(12,DATEDIF(MAX(Tenancy!$E$11,F$3),EDATE(F$3,12),"m")))-MAX(0,Inputs!$B$9-IF(Tenancy!$E$11&lt;F$3,DATEDIF(Tenancy!$E$11,F$3,"m"),0)))/12+(1-Tenancy!$G$11)*MAX(0,MAX(0,MIN(12,DATEDIF(MAX(Tenancy!$E$11,F$3),EDATE(F$3,12),"m")))-MAX(0,Inputs!$B$7+Inputs!$B$8-IF(Tenancy!$E$11&lt;F$3,DATEDIF(Tenancy!$E$11,F$3,"m"),0)))/12,0))</f>
        <v>1330000</v>
      </c>
      <c r="G14" s="0" t="n">
        <f aca="false">Tenancy!$C$11*(Tenancy!$D$11*MAX(0,MIN(1,YEARFRAC(G$3,MIN(Tenancy!$E$11,EDATE(G$3,12)),1)*(Tenancy!$E$11&gt;G$3)))+Tenancy!$F$11*(1+Inputs!$B$6)^(G$2-1)*IF(Tenancy!$E$11&lt;EDATE(G$3,12),Tenancy!$G$11*MAX(0,MAX(0,MIN(12,DATEDIF(MAX(Tenancy!$E$11,G$3),EDATE(G$3,12),"m")))-MAX(0,Inputs!$B$9-IF(Tenancy!$E$11&lt;G$3,DATEDIF(Tenancy!$E$11,G$3,"m"),0)))/12+(1-Tenancy!$G$11)*MAX(0,MAX(0,MIN(12,DATEDIF(MAX(Tenancy!$E$11,G$3),EDATE(G$3,12),"m")))-MAX(0,Inputs!$B$7+Inputs!$B$8-IF(Tenancy!$E$11&lt;G$3,DATEDIF(Tenancy!$E$11,G$3,"m"),0)))/12,0))</f>
        <v>1330000</v>
      </c>
      <c r="H14" s="0" t="n">
        <f aca="false">Tenancy!$C$11*(Tenancy!$D$11*MAX(0,MIN(1,YEARFRAC(H$3,MIN(Tenancy!$E$11,EDATE(H$3,12)),1)*(Tenancy!$E$11&gt;H$3)))+Tenancy!$F$11*(1+Inputs!$B$6)^(H$2-1)*IF(Tenancy!$E$11&lt;EDATE(H$3,12),Tenancy!$G$11*MAX(0,MAX(0,MIN(12,DATEDIF(MAX(Tenancy!$E$11,H$3),EDATE(H$3,12),"m")))-MAX(0,Inputs!$B$9-IF(Tenancy!$E$11&lt;H$3,DATEDIF(Tenancy!$E$11,H$3,"m"),0)))/12+(1-Tenancy!$G$11)*MAX(0,MAX(0,MIN(12,DATEDIF(MAX(Tenancy!$E$11,H$3),EDATE(H$3,12),"m")))-MAX(0,Inputs!$B$7+Inputs!$B$8-IF(Tenancy!$E$11&lt;H$3,DATEDIF(Tenancy!$E$11,H$3,"m"),0)))/12,0))</f>
        <v>1330000</v>
      </c>
      <c r="I14" s="0" t="n">
        <f aca="false">Tenancy!$C$11*(Tenancy!$D$11*MAX(0,MIN(1,YEARFRAC(I$3,MIN(Tenancy!$E$11,EDATE(I$3,12)),1)*(Tenancy!$E$11&gt;I$3)))+Tenancy!$F$11*(1+Inputs!$B$6)^(I$2-1)*IF(Tenancy!$E$11&lt;EDATE(I$3,12),Tenancy!$G$11*MAX(0,MAX(0,MIN(12,DATEDIF(MAX(Tenancy!$E$11,I$3),EDATE(I$3,12),"m")))-MAX(0,Inputs!$B$9-IF(Tenancy!$E$11&lt;I$3,DATEDIF(Tenancy!$E$11,I$3,"m"),0)))/12+(1-Tenancy!$G$11)*MAX(0,MAX(0,MIN(12,DATEDIF(MAX(Tenancy!$E$11,I$3),EDATE(I$3,12),"m")))-MAX(0,Inputs!$B$7+Inputs!$B$8-IF(Tenancy!$E$11&lt;I$3,DATEDIF(Tenancy!$E$11,I$3,"m"),0)))/12,0))</f>
        <v>1330000</v>
      </c>
      <c r="J14" s="0" t="n">
        <f aca="false">Tenancy!$C$11*(Tenancy!$D$11*MAX(0,MIN(1,YEARFRAC(J$3,MIN(Tenancy!$E$11,EDATE(J$3,12)),1)*(Tenancy!$E$11&gt;J$3)))+Tenancy!$F$11*(1+Inputs!$B$6)^(J$2-1)*IF(Tenancy!$E$11&lt;EDATE(J$3,12),Tenancy!$G$11*MAX(0,MAX(0,MIN(12,DATEDIF(MAX(Tenancy!$E$11,J$3),EDATE(J$3,12),"m")))-MAX(0,Inputs!$B$9-IF(Tenancy!$E$11&lt;J$3,DATEDIF(Tenancy!$E$11,J$3,"m"),0)))/12+(1-Tenancy!$G$11)*MAX(0,MAX(0,MIN(12,DATEDIF(MAX(Tenancy!$E$11,J$3),EDATE(J$3,12),"m")))-MAX(0,Inputs!$B$7+Inputs!$B$8-IF(Tenancy!$E$11&lt;J$3,DATEDIF(Tenancy!$E$11,J$3,"m"),0)))/12,0))</f>
        <v>1330000</v>
      </c>
      <c r="K14" s="0" t="n">
        <f aca="false">Tenancy!$C$11*(Tenancy!$D$11*MAX(0,MIN(1,YEARFRAC(K$3,MIN(Tenancy!$E$11,EDATE(K$3,12)),1)*(Tenancy!$E$11&gt;K$3)))+Tenancy!$F$11*(1+Inputs!$B$6)^(K$2-1)*IF(Tenancy!$E$11&lt;EDATE(K$3,12),Tenancy!$G$11*MAX(0,MAX(0,MIN(12,DATEDIF(MAX(Tenancy!$E$11,K$3),EDATE(K$3,12),"m")))-MAX(0,Inputs!$B$9-IF(Tenancy!$E$11&lt;K$3,DATEDIF(Tenancy!$E$11,K$3,"m"),0)))/12+(1-Tenancy!$G$11)*MAX(0,MAX(0,MIN(12,DATEDIF(MAX(Tenancy!$E$11,K$3),EDATE(K$3,12),"m")))-MAX(0,Inputs!$B$7+Inputs!$B$8-IF(Tenancy!$E$11&lt;K$3,DATEDIF(Tenancy!$E$11,K$3,"m"),0)))/12,0))</f>
        <v>548810.79511698</v>
      </c>
      <c r="L14" s="0" t="n">
        <f aca="false">Tenancy!$C$11*(Tenancy!$D$11*MAX(0,MIN(1,YEARFRAC(L$3,MIN(Tenancy!$E$11,EDATE(L$3,12)),1)*(Tenancy!$E$11&gt;L$3)))+Tenancy!$F$11*(1+Inputs!$B$6)^(L$2-1)*IF(Tenancy!$E$11&lt;EDATE(L$3,12),Tenancy!$G$11*MAX(0,MAX(0,MIN(12,DATEDIF(MAX(Tenancy!$E$11,L$3),EDATE(L$3,12),"m")))-MAX(0,Inputs!$B$9-IF(Tenancy!$E$11&lt;L$3,DATEDIF(Tenancy!$E$11,L$3,"m"),0)))/12+(1-Tenancy!$G$11)*MAX(0,MAX(0,MIN(12,DATEDIF(MAX(Tenancy!$E$11,L$3),EDATE(L$3,12),"m")))-MAX(0,Inputs!$B$7+Inputs!$B$8-IF(Tenancy!$E$11&lt;L$3,DATEDIF(Tenancy!$E$11,L$3,"m"),0)))/12,0))</f>
        <v>1025066.72573304</v>
      </c>
      <c r="M14" s="2" t="n">
        <f aca="false">Tenancy!$C$11*(Tenancy!$D$11*MAX(0,MIN(1,YEARFRAC(M$3,MIN(Tenancy!$E$11,EDATE(M$3,12)),1)*(Tenancy!$E$11&gt;M$3)))+Tenancy!$F$11*(1+Inputs!$B$6)^(M$2-1)*IF(Tenancy!$E$11&lt;EDATE(M$3,12),Tenancy!$G$11*MAX(0,MAX(0,MIN(12,DATEDIF(MAX(Tenancy!$E$11,M$3),EDATE(M$3,12),"m")))-MAX(0,Inputs!$B$9-IF(Tenancy!$E$11&lt;M$3,DATEDIF(Tenancy!$E$11,M$3,"m"),0)))/12+(1-Tenancy!$G$11)*MAX(0,MAX(0,MIN(12,DATEDIF(MAX(Tenancy!$E$11,M$3),EDATE(M$3,12),"m")))-MAX(0,Inputs!$B$7+Inputs!$B$8-IF(Tenancy!$E$11&lt;M$3,DATEDIF(Tenancy!$E$11,M$3,"m"),0)))/12,0))</f>
        <v>1225808.95952243</v>
      </c>
    </row>
    <row r="15" customFormat="false" ht="15" hidden="false" customHeight="false" outlineLevel="0" collapsed="false">
      <c r="A15" s="0" t="str">
        <f aca="false">Tenancy!B12&amp;" · "&amp;Tenancy!A12</f>
        <v>Nimbus Capital · 10</v>
      </c>
      <c r="C15" s="0" t="n">
        <f aca="false">Tenancy!$C$12*(Tenancy!$D$12*MAX(0,MIN(1,YEARFRAC(C$3,MIN(Tenancy!$E$12,EDATE(C$3,12)),1)*(Tenancy!$E$12&gt;C$3)))+Tenancy!$F$12*(1+Inputs!$B$6)^(C$2-1)*IF(Tenancy!$E$12&lt;EDATE(C$3,12),Tenancy!$G$12*MAX(0,MAX(0,MIN(12,DATEDIF(MAX(Tenancy!$E$12,C$3),EDATE(C$3,12),"m")))-MAX(0,Inputs!$B$9-IF(Tenancy!$E$12&lt;C$3,DATEDIF(Tenancy!$E$12,C$3,"m"),0)))/12+(1-Tenancy!$G$12)*MAX(0,MAX(0,MIN(12,DATEDIF(MAX(Tenancy!$E$12,C$3),EDATE(C$3,12),"m")))-MAX(0,Inputs!$B$7+Inputs!$B$8-IF(Tenancy!$E$12&lt;C$3,DATEDIF(Tenancy!$E$12,C$3,"m"),0)))/12,0))</f>
        <v>1326000</v>
      </c>
      <c r="D15" s="0" t="n">
        <f aca="false">Tenancy!$C$12*(Tenancy!$D$12*MAX(0,MIN(1,YEARFRAC(D$3,MIN(Tenancy!$E$12,EDATE(D$3,12)),1)*(Tenancy!$E$12&gt;D$3)))+Tenancy!$F$12*(1+Inputs!$B$6)^(D$2-1)*IF(Tenancy!$E$12&lt;EDATE(D$3,12),Tenancy!$G$12*MAX(0,MAX(0,MIN(12,DATEDIF(MAX(Tenancy!$E$12,D$3),EDATE(D$3,12),"m")))-MAX(0,Inputs!$B$9-IF(Tenancy!$E$12&lt;D$3,DATEDIF(Tenancy!$E$12,D$3,"m"),0)))/12+(1-Tenancy!$G$12)*MAX(0,MAX(0,MIN(12,DATEDIF(MAX(Tenancy!$E$12,D$3),EDATE(D$3,12),"m")))-MAX(0,Inputs!$B$7+Inputs!$B$8-IF(Tenancy!$E$12&lt;D$3,DATEDIF(Tenancy!$E$12,D$3,"m"),0)))/12,0))</f>
        <v>1326000</v>
      </c>
      <c r="E15" s="0" t="n">
        <f aca="false">Tenancy!$C$12*(Tenancy!$D$12*MAX(0,MIN(1,YEARFRAC(E$3,MIN(Tenancy!$E$12,EDATE(E$3,12)),1)*(Tenancy!$E$12&gt;E$3)))+Tenancy!$F$12*(1+Inputs!$B$6)^(E$2-1)*IF(Tenancy!$E$12&lt;EDATE(E$3,12),Tenancy!$G$12*MAX(0,MAX(0,MIN(12,DATEDIF(MAX(Tenancy!$E$12,E$3),EDATE(E$3,12),"m")))-MAX(0,Inputs!$B$9-IF(Tenancy!$E$12&lt;E$3,DATEDIF(Tenancy!$E$12,E$3,"m"),0)))/12+(1-Tenancy!$G$12)*MAX(0,MAX(0,MIN(12,DATEDIF(MAX(Tenancy!$E$12,E$3),EDATE(E$3,12),"m")))-MAX(0,Inputs!$B$7+Inputs!$B$8-IF(Tenancy!$E$12&lt;E$3,DATEDIF(Tenancy!$E$12,E$3,"m"),0)))/12,0))</f>
        <v>1326000</v>
      </c>
      <c r="F15" s="0" t="n">
        <f aca="false">Tenancy!$C$12*(Tenancy!$D$12*MAX(0,MIN(1,YEARFRAC(F$3,MIN(Tenancy!$E$12,EDATE(F$3,12)),1)*(Tenancy!$E$12&gt;F$3)))+Tenancy!$F$12*(1+Inputs!$B$6)^(F$2-1)*IF(Tenancy!$E$12&lt;EDATE(F$3,12),Tenancy!$G$12*MAX(0,MAX(0,MIN(12,DATEDIF(MAX(Tenancy!$E$12,F$3),EDATE(F$3,12),"m")))-MAX(0,Inputs!$B$9-IF(Tenancy!$E$12&lt;F$3,DATEDIF(Tenancy!$E$12,F$3,"m"),0)))/12+(1-Tenancy!$G$12)*MAX(0,MAX(0,MIN(12,DATEDIF(MAX(Tenancy!$E$12,F$3),EDATE(F$3,12),"m")))-MAX(0,Inputs!$B$7+Inputs!$B$8-IF(Tenancy!$E$12&lt;F$3,DATEDIF(Tenancy!$E$12,F$3,"m"),0)))/12,0))</f>
        <v>1326000</v>
      </c>
      <c r="G15" s="0" t="n">
        <f aca="false">Tenancy!$C$12*(Tenancy!$D$12*MAX(0,MIN(1,YEARFRAC(G$3,MIN(Tenancy!$E$12,EDATE(G$3,12)),1)*(Tenancy!$E$12&gt;G$3)))+Tenancy!$F$12*(1+Inputs!$B$6)^(G$2-1)*IF(Tenancy!$E$12&lt;EDATE(G$3,12),Tenancy!$G$12*MAX(0,MAX(0,MIN(12,DATEDIF(MAX(Tenancy!$E$12,G$3),EDATE(G$3,12),"m")))-MAX(0,Inputs!$B$9-IF(Tenancy!$E$12&lt;G$3,DATEDIF(Tenancy!$E$12,G$3,"m"),0)))/12+(1-Tenancy!$G$12)*MAX(0,MAX(0,MIN(12,DATEDIF(MAX(Tenancy!$E$12,G$3),EDATE(G$3,12),"m")))-MAX(0,Inputs!$B$7+Inputs!$B$8-IF(Tenancy!$E$12&lt;G$3,DATEDIF(Tenancy!$E$12,G$3,"m"),0)))/12,0))</f>
        <v>1296936.98630137</v>
      </c>
      <c r="H15" s="0" t="n">
        <f aca="false">Tenancy!$C$12*(Tenancy!$D$12*MAX(0,MIN(1,YEARFRAC(H$3,MIN(Tenancy!$E$12,EDATE(H$3,12)),1)*(Tenancy!$E$12&gt;H$3)))+Tenancy!$F$12*(1+Inputs!$B$6)^(H$2-1)*IF(Tenancy!$E$12&lt;EDATE(H$3,12),Tenancy!$G$12*MAX(0,MAX(0,MIN(12,DATEDIF(MAX(Tenancy!$E$12,H$3),EDATE(H$3,12),"m")))-MAX(0,Inputs!$B$9-IF(Tenancy!$E$12&lt;H$3,DATEDIF(Tenancy!$E$12,H$3,"m"),0)))/12+(1-Tenancy!$G$12)*MAX(0,MAX(0,MIN(12,DATEDIF(MAX(Tenancy!$E$12,H$3),EDATE(H$3,12),"m")))-MAX(0,Inputs!$B$7+Inputs!$B$8-IF(Tenancy!$E$12&lt;H$3,DATEDIF(Tenancy!$E$12,H$3,"m"),0)))/12,0))</f>
        <v>328900.367487305</v>
      </c>
      <c r="I15" s="0" t="n">
        <f aca="false">Tenancy!$C$12*(Tenancy!$D$12*MAX(0,MIN(1,YEARFRAC(I$3,MIN(Tenancy!$E$12,EDATE(I$3,12)),1)*(Tenancy!$E$12&gt;I$3)))+Tenancy!$F$12*(1+Inputs!$B$6)^(I$2-1)*IF(Tenancy!$E$12&lt;EDATE(I$3,12),Tenancy!$G$12*MAX(0,MAX(0,MIN(12,DATEDIF(MAX(Tenancy!$E$12,I$3),EDATE(I$3,12),"m")))-MAX(0,Inputs!$B$9-IF(Tenancy!$E$12&lt;I$3,DATEDIF(Tenancy!$E$12,I$3,"m"),0)))/12+(1-Tenancy!$G$12)*MAX(0,MAX(0,MIN(12,DATEDIF(MAX(Tenancy!$E$12,I$3),EDATE(I$3,12),"m")))-MAX(0,Inputs!$B$7+Inputs!$B$8-IF(Tenancy!$E$12&lt;I$3,DATEDIF(Tenancy!$E$12,I$3,"m"),0)))/12,0))</f>
        <v>674245.753348974</v>
      </c>
      <c r="J15" s="0" t="n">
        <f aca="false">Tenancy!$C$12*(Tenancy!$D$12*MAX(0,MIN(1,YEARFRAC(J$3,MIN(Tenancy!$E$12,EDATE(J$3,12)),1)*(Tenancy!$E$12&gt;J$3)))+Tenancy!$F$12*(1+Inputs!$B$6)^(J$2-1)*IF(Tenancy!$E$12&lt;EDATE(J$3,12),Tenancy!$G$12*MAX(0,MAX(0,MIN(12,DATEDIF(MAX(Tenancy!$E$12,J$3),EDATE(J$3,12),"m")))-MAX(0,Inputs!$B$9-IF(Tenancy!$E$12&lt;J$3,DATEDIF(Tenancy!$E$12,J$3,"m"),0)))/12+(1-Tenancy!$G$12)*MAX(0,MAX(0,MIN(12,DATEDIF(MAX(Tenancy!$E$12,J$3),EDATE(J$3,12),"m")))-MAX(0,Inputs!$B$7+Inputs!$B$8-IF(Tenancy!$E$12&lt;J$3,DATEDIF(Tenancy!$E$12,J$3,"m"),0)))/12,0))</f>
        <v>1113441.94546101</v>
      </c>
      <c r="K15" s="0" t="n">
        <f aca="false">Tenancy!$C$12*(Tenancy!$D$12*MAX(0,MIN(1,YEARFRAC(K$3,MIN(Tenancy!$E$12,EDATE(K$3,12)),1)*(Tenancy!$E$12&gt;K$3)))+Tenancy!$F$12*(1+Inputs!$B$6)^(K$2-1)*IF(Tenancy!$E$12&lt;EDATE(K$3,12),Tenancy!$G$12*MAX(0,MAX(0,MIN(12,DATEDIF(MAX(Tenancy!$E$12,K$3),EDATE(K$3,12),"m")))-MAX(0,Inputs!$B$9-IF(Tenancy!$E$12&lt;K$3,DATEDIF(Tenancy!$E$12,K$3,"m"),0)))/12+(1-Tenancy!$G$12)*MAX(0,MAX(0,MIN(12,DATEDIF(MAX(Tenancy!$E$12,K$3),EDATE(K$3,12),"m")))-MAX(0,Inputs!$B$7+Inputs!$B$8-IF(Tenancy!$E$12&lt;K$3,DATEDIF(Tenancy!$E$12,K$3,"m"),0)))/12,0))</f>
        <v>1574176.54358281</v>
      </c>
      <c r="L15" s="0" t="n">
        <f aca="false">Tenancy!$C$12*(Tenancy!$D$12*MAX(0,MIN(1,YEARFRAC(L$3,MIN(Tenancy!$E$12,EDATE(L$3,12)),1)*(Tenancy!$E$12&gt;L$3)))+Tenancy!$F$12*(1+Inputs!$B$6)^(L$2-1)*IF(Tenancy!$E$12&lt;EDATE(L$3,12),Tenancy!$G$12*MAX(0,MAX(0,MIN(12,DATEDIF(MAX(Tenancy!$E$12,L$3),EDATE(L$3,12),"m")))-MAX(0,Inputs!$B$9-IF(Tenancy!$E$12&lt;L$3,DATEDIF(Tenancy!$E$12,L$3,"m"),0)))/12+(1-Tenancy!$G$12)*MAX(0,MAX(0,MIN(12,DATEDIF(MAX(Tenancy!$E$12,L$3),EDATE(L$3,12),"m")))-MAX(0,Inputs!$B$7+Inputs!$B$8-IF(Tenancy!$E$12&lt;L$3,DATEDIF(Tenancy!$E$12,L$3,"m"),0)))/12,0))</f>
        <v>1613530.95717238</v>
      </c>
      <c r="M15" s="2" t="n">
        <f aca="false">Tenancy!$C$12*(Tenancy!$D$12*MAX(0,MIN(1,YEARFRAC(M$3,MIN(Tenancy!$E$12,EDATE(M$3,12)),1)*(Tenancy!$E$12&gt;M$3)))+Tenancy!$F$12*(1+Inputs!$B$6)^(M$2-1)*IF(Tenancy!$E$12&lt;EDATE(M$3,12),Tenancy!$G$12*MAX(0,MAX(0,MIN(12,DATEDIF(MAX(Tenancy!$E$12,M$3),EDATE(M$3,12),"m")))-MAX(0,Inputs!$B$9-IF(Tenancy!$E$12&lt;M$3,DATEDIF(Tenancy!$E$12,M$3,"m"),0)))/12+(1-Tenancy!$G$12)*MAX(0,MAX(0,MIN(12,DATEDIF(MAX(Tenancy!$E$12,M$3),EDATE(M$3,12),"m")))-MAX(0,Inputs!$B$7+Inputs!$B$8-IF(Tenancy!$E$12&lt;M$3,DATEDIF(Tenancy!$E$12,M$3,"m"),0)))/12,0))</f>
        <v>1653869.23110169</v>
      </c>
    </row>
    <row r="16" customFormat="false" ht="15" hidden="false" customHeight="false" outlineLevel="0" collapsed="false">
      <c r="A16" s="0" t="str">
        <f aca="false">Tenancy!B13&amp;" · "&amp;Tenancy!A13</f>
        <v>Nimbus Capital · 11</v>
      </c>
      <c r="C16" s="0" t="n">
        <f aca="false">Tenancy!$C$13*(Tenancy!$D$13*MAX(0,MIN(1,YEARFRAC(C$3,MIN(Tenancy!$E$13,EDATE(C$3,12)),1)*(Tenancy!$E$13&gt;C$3)))+Tenancy!$F$13*(1+Inputs!$B$6)^(C$2-1)*IF(Tenancy!$E$13&lt;EDATE(C$3,12),Tenancy!$G$13*MAX(0,MAX(0,MIN(12,DATEDIF(MAX(Tenancy!$E$13,C$3),EDATE(C$3,12),"m")))-MAX(0,Inputs!$B$9-IF(Tenancy!$E$13&lt;C$3,DATEDIF(Tenancy!$E$13,C$3,"m"),0)))/12+(1-Tenancy!$G$13)*MAX(0,MAX(0,MIN(12,DATEDIF(MAX(Tenancy!$E$13,C$3),EDATE(C$3,12),"m")))-MAX(0,Inputs!$B$7+Inputs!$B$8-IF(Tenancy!$E$13&lt;C$3,DATEDIF(Tenancy!$E$13,C$3,"m"),0)))/12,0))</f>
        <v>1326000</v>
      </c>
      <c r="D16" s="0" t="n">
        <f aca="false">Tenancy!$C$13*(Tenancy!$D$13*MAX(0,MIN(1,YEARFRAC(D$3,MIN(Tenancy!$E$13,EDATE(D$3,12)),1)*(Tenancy!$E$13&gt;D$3)))+Tenancy!$F$13*(1+Inputs!$B$6)^(D$2-1)*IF(Tenancy!$E$13&lt;EDATE(D$3,12),Tenancy!$G$13*MAX(0,MAX(0,MIN(12,DATEDIF(MAX(Tenancy!$E$13,D$3),EDATE(D$3,12),"m")))-MAX(0,Inputs!$B$9-IF(Tenancy!$E$13&lt;D$3,DATEDIF(Tenancy!$E$13,D$3,"m"),0)))/12+(1-Tenancy!$G$13)*MAX(0,MAX(0,MIN(12,DATEDIF(MAX(Tenancy!$E$13,D$3),EDATE(D$3,12),"m")))-MAX(0,Inputs!$B$7+Inputs!$B$8-IF(Tenancy!$E$13&lt;D$3,DATEDIF(Tenancy!$E$13,D$3,"m"),0)))/12,0))</f>
        <v>1326000</v>
      </c>
      <c r="E16" s="0" t="n">
        <f aca="false">Tenancy!$C$13*(Tenancy!$D$13*MAX(0,MIN(1,YEARFRAC(E$3,MIN(Tenancy!$E$13,EDATE(E$3,12)),1)*(Tenancy!$E$13&gt;E$3)))+Tenancy!$F$13*(1+Inputs!$B$6)^(E$2-1)*IF(Tenancy!$E$13&lt;EDATE(E$3,12),Tenancy!$G$13*MAX(0,MAX(0,MIN(12,DATEDIF(MAX(Tenancy!$E$13,E$3),EDATE(E$3,12),"m")))-MAX(0,Inputs!$B$9-IF(Tenancy!$E$13&lt;E$3,DATEDIF(Tenancy!$E$13,E$3,"m"),0)))/12+(1-Tenancy!$G$13)*MAX(0,MAX(0,MIN(12,DATEDIF(MAX(Tenancy!$E$13,E$3),EDATE(E$3,12),"m")))-MAX(0,Inputs!$B$7+Inputs!$B$8-IF(Tenancy!$E$13&lt;E$3,DATEDIF(Tenancy!$E$13,E$3,"m"),0)))/12,0))</f>
        <v>1326000</v>
      </c>
      <c r="F16" s="0" t="n">
        <f aca="false">Tenancy!$C$13*(Tenancy!$D$13*MAX(0,MIN(1,YEARFRAC(F$3,MIN(Tenancy!$E$13,EDATE(F$3,12)),1)*(Tenancy!$E$13&gt;F$3)))+Tenancy!$F$13*(1+Inputs!$B$6)^(F$2-1)*IF(Tenancy!$E$13&lt;EDATE(F$3,12),Tenancy!$G$13*MAX(0,MAX(0,MIN(12,DATEDIF(MAX(Tenancy!$E$13,F$3),EDATE(F$3,12),"m")))-MAX(0,Inputs!$B$9-IF(Tenancy!$E$13&lt;F$3,DATEDIF(Tenancy!$E$13,F$3,"m"),0)))/12+(1-Tenancy!$G$13)*MAX(0,MAX(0,MIN(12,DATEDIF(MAX(Tenancy!$E$13,F$3),EDATE(F$3,12),"m")))-MAX(0,Inputs!$B$7+Inputs!$B$8-IF(Tenancy!$E$13&lt;F$3,DATEDIF(Tenancy!$E$13,F$3,"m"),0)))/12,0))</f>
        <v>1326000</v>
      </c>
      <c r="G16" s="0" t="n">
        <f aca="false">Tenancy!$C$13*(Tenancy!$D$13*MAX(0,MIN(1,YEARFRAC(G$3,MIN(Tenancy!$E$13,EDATE(G$3,12)),1)*(Tenancy!$E$13&gt;G$3)))+Tenancy!$F$13*(1+Inputs!$B$6)^(G$2-1)*IF(Tenancy!$E$13&lt;EDATE(G$3,12),Tenancy!$G$13*MAX(0,MAX(0,MIN(12,DATEDIF(MAX(Tenancy!$E$13,G$3),EDATE(G$3,12),"m")))-MAX(0,Inputs!$B$9-IF(Tenancy!$E$13&lt;G$3,DATEDIF(Tenancy!$E$13,G$3,"m"),0)))/12+(1-Tenancy!$G$13)*MAX(0,MAX(0,MIN(12,DATEDIF(MAX(Tenancy!$E$13,G$3),EDATE(G$3,12),"m")))-MAX(0,Inputs!$B$7+Inputs!$B$8-IF(Tenancy!$E$13&lt;G$3,DATEDIF(Tenancy!$E$13,G$3,"m"),0)))/12,0))</f>
        <v>1296936.98630137</v>
      </c>
      <c r="H16" s="0" t="n">
        <f aca="false">Tenancy!$C$13*(Tenancy!$D$13*MAX(0,MIN(1,YEARFRAC(H$3,MIN(Tenancy!$E$13,EDATE(H$3,12)),1)*(Tenancy!$E$13&gt;H$3)))+Tenancy!$F$13*(1+Inputs!$B$6)^(H$2-1)*IF(Tenancy!$E$13&lt;EDATE(H$3,12),Tenancy!$G$13*MAX(0,MAX(0,MIN(12,DATEDIF(MAX(Tenancy!$E$13,H$3),EDATE(H$3,12),"m")))-MAX(0,Inputs!$B$9-IF(Tenancy!$E$13&lt;H$3,DATEDIF(Tenancy!$E$13,H$3,"m"),0)))/12+(1-Tenancy!$G$13)*MAX(0,MAX(0,MIN(12,DATEDIF(MAX(Tenancy!$E$13,H$3),EDATE(H$3,12),"m")))-MAX(0,Inputs!$B$7+Inputs!$B$8-IF(Tenancy!$E$13&lt;H$3,DATEDIF(Tenancy!$E$13,H$3,"m"),0)))/12,0))</f>
        <v>328900.367487305</v>
      </c>
      <c r="I16" s="0" t="n">
        <f aca="false">Tenancy!$C$13*(Tenancy!$D$13*MAX(0,MIN(1,YEARFRAC(I$3,MIN(Tenancy!$E$13,EDATE(I$3,12)),1)*(Tenancy!$E$13&gt;I$3)))+Tenancy!$F$13*(1+Inputs!$B$6)^(I$2-1)*IF(Tenancy!$E$13&lt;EDATE(I$3,12),Tenancy!$G$13*MAX(0,MAX(0,MIN(12,DATEDIF(MAX(Tenancy!$E$13,I$3),EDATE(I$3,12),"m")))-MAX(0,Inputs!$B$9-IF(Tenancy!$E$13&lt;I$3,DATEDIF(Tenancy!$E$13,I$3,"m"),0)))/12+(1-Tenancy!$G$13)*MAX(0,MAX(0,MIN(12,DATEDIF(MAX(Tenancy!$E$13,I$3),EDATE(I$3,12),"m")))-MAX(0,Inputs!$B$7+Inputs!$B$8-IF(Tenancy!$E$13&lt;I$3,DATEDIF(Tenancy!$E$13,I$3,"m"),0)))/12,0))</f>
        <v>674245.753348974</v>
      </c>
      <c r="J16" s="0" t="n">
        <f aca="false">Tenancy!$C$13*(Tenancy!$D$13*MAX(0,MIN(1,YEARFRAC(J$3,MIN(Tenancy!$E$13,EDATE(J$3,12)),1)*(Tenancy!$E$13&gt;J$3)))+Tenancy!$F$13*(1+Inputs!$B$6)^(J$2-1)*IF(Tenancy!$E$13&lt;EDATE(J$3,12),Tenancy!$G$13*MAX(0,MAX(0,MIN(12,DATEDIF(MAX(Tenancy!$E$13,J$3),EDATE(J$3,12),"m")))-MAX(0,Inputs!$B$9-IF(Tenancy!$E$13&lt;J$3,DATEDIF(Tenancy!$E$13,J$3,"m"),0)))/12+(1-Tenancy!$G$13)*MAX(0,MAX(0,MIN(12,DATEDIF(MAX(Tenancy!$E$13,J$3),EDATE(J$3,12),"m")))-MAX(0,Inputs!$B$7+Inputs!$B$8-IF(Tenancy!$E$13&lt;J$3,DATEDIF(Tenancy!$E$13,J$3,"m"),0)))/12,0))</f>
        <v>1113441.94546101</v>
      </c>
      <c r="K16" s="0" t="n">
        <f aca="false">Tenancy!$C$13*(Tenancy!$D$13*MAX(0,MIN(1,YEARFRAC(K$3,MIN(Tenancy!$E$13,EDATE(K$3,12)),1)*(Tenancy!$E$13&gt;K$3)))+Tenancy!$F$13*(1+Inputs!$B$6)^(K$2-1)*IF(Tenancy!$E$13&lt;EDATE(K$3,12),Tenancy!$G$13*MAX(0,MAX(0,MIN(12,DATEDIF(MAX(Tenancy!$E$13,K$3),EDATE(K$3,12),"m")))-MAX(0,Inputs!$B$9-IF(Tenancy!$E$13&lt;K$3,DATEDIF(Tenancy!$E$13,K$3,"m"),0)))/12+(1-Tenancy!$G$13)*MAX(0,MAX(0,MIN(12,DATEDIF(MAX(Tenancy!$E$13,K$3),EDATE(K$3,12),"m")))-MAX(0,Inputs!$B$7+Inputs!$B$8-IF(Tenancy!$E$13&lt;K$3,DATEDIF(Tenancy!$E$13,K$3,"m"),0)))/12,0))</f>
        <v>1574176.54358281</v>
      </c>
      <c r="L16" s="0" t="n">
        <f aca="false">Tenancy!$C$13*(Tenancy!$D$13*MAX(0,MIN(1,YEARFRAC(L$3,MIN(Tenancy!$E$13,EDATE(L$3,12)),1)*(Tenancy!$E$13&gt;L$3)))+Tenancy!$F$13*(1+Inputs!$B$6)^(L$2-1)*IF(Tenancy!$E$13&lt;EDATE(L$3,12),Tenancy!$G$13*MAX(0,MAX(0,MIN(12,DATEDIF(MAX(Tenancy!$E$13,L$3),EDATE(L$3,12),"m")))-MAX(0,Inputs!$B$9-IF(Tenancy!$E$13&lt;L$3,DATEDIF(Tenancy!$E$13,L$3,"m"),0)))/12+(1-Tenancy!$G$13)*MAX(0,MAX(0,MIN(12,DATEDIF(MAX(Tenancy!$E$13,L$3),EDATE(L$3,12),"m")))-MAX(0,Inputs!$B$7+Inputs!$B$8-IF(Tenancy!$E$13&lt;L$3,DATEDIF(Tenancy!$E$13,L$3,"m"),0)))/12,0))</f>
        <v>1613530.95717238</v>
      </c>
      <c r="M16" s="2" t="n">
        <f aca="false">Tenancy!$C$13*(Tenancy!$D$13*MAX(0,MIN(1,YEARFRAC(M$3,MIN(Tenancy!$E$13,EDATE(M$3,12)),1)*(Tenancy!$E$13&gt;M$3)))+Tenancy!$F$13*(1+Inputs!$B$6)^(M$2-1)*IF(Tenancy!$E$13&lt;EDATE(M$3,12),Tenancy!$G$13*MAX(0,MAX(0,MIN(12,DATEDIF(MAX(Tenancy!$E$13,M$3),EDATE(M$3,12),"m")))-MAX(0,Inputs!$B$9-IF(Tenancy!$E$13&lt;M$3,DATEDIF(Tenancy!$E$13,M$3,"m"),0)))/12+(1-Tenancy!$G$13)*MAX(0,MAX(0,MIN(12,DATEDIF(MAX(Tenancy!$E$13,M$3),EDATE(M$3,12),"m")))-MAX(0,Inputs!$B$7+Inputs!$B$8-IF(Tenancy!$E$13&lt;M$3,DATEDIF(Tenancy!$E$13,M$3,"m"),0)))/12,0))</f>
        <v>1653869.23110169</v>
      </c>
    </row>
    <row r="17" customFormat="false" ht="15" hidden="false" customHeight="false" outlineLevel="0" collapsed="false">
      <c r="A17" s="0" t="s">
        <v>46</v>
      </c>
      <c r="C17" s="2" t="n">
        <f aca="false">SUM(C5:C16)</f>
        <v>14039000</v>
      </c>
      <c r="D17" s="2" t="n">
        <f aca="false">SUM(D5:D16)</f>
        <v>12438807.9109589</v>
      </c>
      <c r="E17" s="2" t="n">
        <f aca="false">SUM(E5:E16)</f>
        <v>12501451.6065574</v>
      </c>
      <c r="F17" s="2" t="n">
        <f aca="false">SUM(F5:F16)</f>
        <v>13621838.1339469</v>
      </c>
      <c r="G17" s="2" t="n">
        <f aca="false">SUM(G5:G16)</f>
        <v>14588480.2539309</v>
      </c>
      <c r="H17" s="2" t="n">
        <f aca="false">SUM(H5:H16)</f>
        <v>14261342.4549259</v>
      </c>
      <c r="I17" s="2" t="n">
        <f aca="false">SUM(I5:I16)</f>
        <v>15697141.5388511</v>
      </c>
      <c r="J17" s="2" t="n">
        <f aca="false">SUM(J5:J16)</f>
        <v>16185000.2323842</v>
      </c>
      <c r="K17" s="2" t="n">
        <f aca="false">SUM(K5:K16)</f>
        <v>16796042.3429832</v>
      </c>
      <c r="L17" s="2" t="n">
        <f aca="false">SUM(L5:L16)</f>
        <v>18450155.1404575</v>
      </c>
      <c r="M17" s="2" t="n">
        <f aca="false">SUM(M5:M16)</f>
        <v>19578509.07812</v>
      </c>
    </row>
    <row r="18" customFormat="false" ht="15" hidden="false" customHeight="false" outlineLevel="0" collapsed="false">
      <c r="A18" s="0" t="s">
        <v>47</v>
      </c>
      <c r="C18" s="2" t="n">
        <f aca="false">SUMPRODUCT((Tenancy!$E$2:$E$13&gt;=C$3)*(Tenancy!$E$2:$E$13&lt;EDATE(C$3,12))*Tenancy!$C$2:$C$13*(Tenancy!$G$2:$G$13*(Inputs!$B$11+Inputs!$B$12*Tenancy!$F$2:$F$13*(1+Inputs!$B$6)^(C$2-1))+(1-Tenancy!$G$2:$G$13)*(Inputs!$B$10+Inputs!$B$12*Tenancy!$F$2:$F$13*(1+Inputs!$B$6)^(C$2-1))))</f>
        <v>1474200</v>
      </c>
      <c r="D18" s="2" t="n">
        <f aca="false">SUMPRODUCT((Tenancy!$E$2:$E$13&gt;=D$3)*(Tenancy!$E$2:$E$13&lt;EDATE(D$3,12))*Tenancy!$C$2:$C$13*(Tenancy!$G$2:$G$13*(Inputs!$B$11+Inputs!$B$12*Tenancy!$F$2:$F$13*(1+Inputs!$B$6)^(D$2-1))+(1-Tenancy!$G$2:$G$13)*(Inputs!$B$10+Inputs!$B$12*Tenancy!$F$2:$F$13*(1+Inputs!$B$6)^(D$2-1))))</f>
        <v>2035110</v>
      </c>
      <c r="E18" s="2" t="n">
        <f aca="false">SUMPRODUCT((Tenancy!$E$2:$E$13&gt;=E$3)*(Tenancy!$E$2:$E$13&lt;EDATE(E$3,12))*Tenancy!$C$2:$C$13*(Tenancy!$G$2:$G$13*(Inputs!$B$11+Inputs!$B$12*Tenancy!$F$2:$F$13*(1+Inputs!$B$6)^(E$2-1))+(1-Tenancy!$G$2:$G$13)*(Inputs!$B$10+Inputs!$B$12*Tenancy!$F$2:$F$13*(1+Inputs!$B$6)^(E$2-1))))</f>
        <v>2085832.71875</v>
      </c>
      <c r="F18" s="2" t="n">
        <f aca="false">SUMPRODUCT((Tenancy!$E$2:$E$13&gt;=F$3)*(Tenancy!$E$2:$E$13&lt;EDATE(F$3,12))*Tenancy!$C$2:$C$13*(Tenancy!$G$2:$G$13*(Inputs!$B$11+Inputs!$B$12*Tenancy!$F$2:$F$13*(1+Inputs!$B$6)^(F$2-1))+(1-Tenancy!$G$2:$G$13)*(Inputs!$B$10+Inputs!$B$12*Tenancy!$F$2:$F$13*(1+Inputs!$B$6)^(F$2-1))))</f>
        <v>902669.971875</v>
      </c>
      <c r="G18" s="2" t="n">
        <f aca="false">SUMPRODUCT((Tenancy!$E$2:$E$13&gt;=G$3)*(Tenancy!$E$2:$E$13&lt;EDATE(G$3,12))*Tenancy!$C$2:$C$13*(Tenancy!$G$2:$G$13*(Inputs!$B$11+Inputs!$B$12*Tenancy!$F$2:$F$13*(1+Inputs!$B$6)^(G$2-1))+(1-Tenancy!$G$2:$G$13)*(Inputs!$B$10+Inputs!$B$12*Tenancy!$F$2:$F$13*(1+Inputs!$B$6)^(G$2-1))))</f>
        <v>1855837.87640625</v>
      </c>
      <c r="H18" s="2" t="n">
        <f aca="false">SUMPRODUCT((Tenancy!$E$2:$E$13&gt;=H$3)*(Tenancy!$E$2:$E$13&lt;EDATE(H$3,12))*Tenancy!$C$2:$C$13*(Tenancy!$G$2:$G$13*(Inputs!$B$11+Inputs!$B$12*Tenancy!$F$2:$F$13*(1+Inputs!$B$6)^(H$2-1))+(1-Tenancy!$G$2:$G$13)*(Inputs!$B$10+Inputs!$B$12*Tenancy!$F$2:$F$13*(1+Inputs!$B$6)^(H$2-1))))</f>
        <v>574557.434824219</v>
      </c>
      <c r="I18" s="2" t="n">
        <f aca="false">SUMPRODUCT((Tenancy!$E$2:$E$13&gt;=I$3)*(Tenancy!$E$2:$E$13&lt;EDATE(I$3,12))*Tenancy!$C$2:$C$13*(Tenancy!$G$2:$G$13*(Inputs!$B$11+Inputs!$B$12*Tenancy!$F$2:$F$13*(1+Inputs!$B$6)^(I$2-1))+(1-Tenancy!$G$2:$G$13)*(Inputs!$B$10+Inputs!$B$12*Tenancy!$F$2:$F$13*(1+Inputs!$B$6)^(I$2-1))))</f>
        <v>943057.95100932</v>
      </c>
      <c r="J18" s="2" t="n">
        <f aca="false">SUMPRODUCT((Tenancy!$E$2:$E$13&gt;=J$3)*(Tenancy!$E$2:$E$13&lt;EDATE(J$3,12))*Tenancy!$C$2:$C$13*(Tenancy!$G$2:$G$13*(Inputs!$B$11+Inputs!$B$12*Tenancy!$F$2:$F$13*(1+Inputs!$B$6)^(J$2-1))+(1-Tenancy!$G$2:$G$13)*(Inputs!$B$10+Inputs!$B$12*Tenancy!$F$2:$F$13*(1+Inputs!$B$6)^(J$2-1))))</f>
        <v>0</v>
      </c>
      <c r="K18" s="2" t="n">
        <f aca="false">SUMPRODUCT((Tenancy!$E$2:$E$13&gt;=K$3)*(Tenancy!$E$2:$E$13&lt;EDATE(K$3,12))*Tenancy!$C$2:$C$13*(Tenancy!$G$2:$G$13*(Inputs!$B$11+Inputs!$B$12*Tenancy!$F$2:$F$13*(1+Inputs!$B$6)^(K$2-1))+(1-Tenancy!$G$2:$G$13)*(Inputs!$B$10+Inputs!$B$12*Tenancy!$F$2:$F$13*(1+Inputs!$B$6)^(K$2-1))))</f>
        <v>1868032.54913807</v>
      </c>
      <c r="L18" s="2" t="n">
        <f aca="false">SUMPRODUCT((Tenancy!$E$2:$E$13&gt;=L$3)*(Tenancy!$E$2:$E$13&lt;EDATE(L$3,12))*Tenancy!$C$2:$C$13*(Tenancy!$G$2:$G$13*(Inputs!$B$11+Inputs!$B$12*Tenancy!$F$2:$F$13*(1+Inputs!$B$6)^(L$2-1))+(1-Tenancy!$G$2:$G$13)*(Inputs!$B$10+Inputs!$B$12*Tenancy!$F$2:$F$13*(1+Inputs!$B$6)^(L$2-1))))</f>
        <v>0</v>
      </c>
      <c r="M18" s="2" t="n">
        <f aca="false">SUMPRODUCT((Tenancy!$E$2:$E$13&gt;=M$3)*(Tenancy!$E$2:$E$13&lt;EDATE(M$3,12))*Tenancy!$C$2:$C$13*(Tenancy!$G$2:$G$13*(Inputs!$B$11+Inputs!$B$12*Tenancy!$F$2:$F$13*(1+Inputs!$B$6)^(M$2-1))+(1-Tenancy!$G$2:$G$13)*(Inputs!$B$10+Inputs!$B$12*Tenancy!$F$2:$F$13*(1+Inputs!$B$6)^(M$2-1))))</f>
        <v>0</v>
      </c>
    </row>
    <row r="19" customFormat="false" ht="15" hidden="false" customHeight="false" outlineLevel="0" collapsed="false">
      <c r="A19" s="0" t="s">
        <v>48</v>
      </c>
      <c r="C19" s="2" t="n">
        <f aca="false">C17*Inputs!$B$13</f>
        <v>561560</v>
      </c>
      <c r="D19" s="2" t="n">
        <f aca="false">D17*Inputs!$B$13</f>
        <v>497552.316438356</v>
      </c>
      <c r="E19" s="2" t="n">
        <f aca="false">E17*Inputs!$B$13</f>
        <v>500058.064262295</v>
      </c>
      <c r="F19" s="2" t="n">
        <f aca="false">F17*Inputs!$B$13</f>
        <v>544873.525357877</v>
      </c>
      <c r="G19" s="2" t="n">
        <f aca="false">G17*Inputs!$B$13</f>
        <v>583539.210157235</v>
      </c>
      <c r="H19" s="2" t="n">
        <f aca="false">H17*Inputs!$B$13</f>
        <v>570453.698197035</v>
      </c>
      <c r="I19" s="2" t="n">
        <f aca="false">I17*Inputs!$B$13</f>
        <v>627885.661554045</v>
      </c>
      <c r="J19" s="2" t="n">
        <f aca="false">J17*Inputs!$B$13</f>
        <v>647400.009295368</v>
      </c>
      <c r="K19" s="2" t="n">
        <f aca="false">K17*Inputs!$B$13</f>
        <v>671841.693719327</v>
      </c>
      <c r="L19" s="2" t="n">
        <f aca="false">L17*Inputs!$B$13</f>
        <v>738006.205618298</v>
      </c>
      <c r="M19" s="2" t="n">
        <f aca="false">M17*Inputs!$B$13</f>
        <v>783140.363124801</v>
      </c>
    </row>
    <row r="20" customFormat="false" ht="15" hidden="false" customHeight="false" outlineLevel="0" collapsed="false">
      <c r="A20" s="0" t="s">
        <v>49</v>
      </c>
      <c r="C20" s="2" t="n">
        <f aca="false">C17-C19</f>
        <v>13477440</v>
      </c>
      <c r="D20" s="2" t="n">
        <f aca="false">D17-D19</f>
        <v>11941255.5945205</v>
      </c>
      <c r="E20" s="2" t="n">
        <f aca="false">E17-E19</f>
        <v>12001393.5422951</v>
      </c>
      <c r="F20" s="2" t="n">
        <f aca="false">F17-F19</f>
        <v>13076964.608589</v>
      </c>
      <c r="G20" s="2" t="n">
        <f aca="false">G17-G19</f>
        <v>14004941.0437736</v>
      </c>
      <c r="H20" s="2" t="n">
        <f aca="false">H17-H19</f>
        <v>13690888.7567288</v>
      </c>
      <c r="I20" s="2" t="n">
        <f aca="false">I17-I19</f>
        <v>15069255.8772971</v>
      </c>
      <c r="J20" s="2" t="n">
        <f aca="false">J17-J19</f>
        <v>15537600.2230888</v>
      </c>
      <c r="K20" s="2" t="n">
        <f aca="false">K17-K19</f>
        <v>16124200.6492638</v>
      </c>
      <c r="L20" s="2" t="n">
        <f aca="false">L17-L19</f>
        <v>17712148.9348392</v>
      </c>
      <c r="M20" s="2" t="n">
        <f aca="false">M17-M19</f>
        <v>18795368.7149952</v>
      </c>
    </row>
    <row r="21" customFormat="false" ht="15" hidden="false" customHeight="false" outlineLevel="0" collapsed="false">
      <c r="A21" s="0" t="s">
        <v>50</v>
      </c>
      <c r="C21" s="2" t="n">
        <f aca="false">IF(C$2=10,D20/Inputs!$B$15*(1-Inputs!$B$16),0)</f>
        <v>0</v>
      </c>
      <c r="D21" s="2" t="n">
        <f aca="false">IF(D$2=10,E20/Inputs!$B$15*(1-Inputs!$B$16),0)</f>
        <v>0</v>
      </c>
      <c r="E21" s="2" t="n">
        <f aca="false">IF(E$2=10,F20/Inputs!$B$15*(1-Inputs!$B$16),0)</f>
        <v>0</v>
      </c>
      <c r="F21" s="2" t="n">
        <f aca="false">IF(F$2=10,G20/Inputs!$B$15*(1-Inputs!$B$16),0)</f>
        <v>0</v>
      </c>
      <c r="G21" s="2" t="n">
        <f aca="false">IF(G$2=10,H20/Inputs!$B$15*(1-Inputs!$B$16),0)</f>
        <v>0</v>
      </c>
      <c r="H21" s="2" t="n">
        <f aca="false">IF(H$2=10,I20/Inputs!$B$15*(1-Inputs!$B$16),0)</f>
        <v>0</v>
      </c>
      <c r="I21" s="2" t="n">
        <f aca="false">IF(I$2=10,J20/Inputs!$B$15*(1-Inputs!$B$16),0)</f>
        <v>0</v>
      </c>
      <c r="J21" s="2" t="n">
        <f aca="false">IF(J$2=10,K20/Inputs!$B$15*(1-Inputs!$B$16),0)</f>
        <v>0</v>
      </c>
      <c r="K21" s="2" t="n">
        <f aca="false">IF(K$2=10,L20/Inputs!$B$15*(1-Inputs!$B$16),0)</f>
        <v>0</v>
      </c>
      <c r="L21" s="2" t="n">
        <f aca="false">IF(L$2=10,M20/Inputs!$B$15*(1-Inputs!$B$16),0)</f>
        <v>351562896.726196</v>
      </c>
      <c r="M21" s="2" t="n">
        <f aca="false">0</f>
        <v>0</v>
      </c>
    </row>
    <row r="22" customFormat="false" ht="15" hidden="false" customHeight="false" outlineLevel="0" collapsed="false">
      <c r="A22" s="0" t="s">
        <v>51</v>
      </c>
      <c r="C22" s="2" t="n">
        <f aca="false">IF(C$2&lt;=10,C20-C18+C21,0)</f>
        <v>12003240</v>
      </c>
      <c r="D22" s="2" t="n">
        <f aca="false">IF(D$2&lt;=10,D20-D18+D21,0)</f>
        <v>9906145.59452055</v>
      </c>
      <c r="E22" s="2" t="n">
        <f aca="false">IF(E$2&lt;=10,E20-E18+E21,0)</f>
        <v>9915560.82354508</v>
      </c>
      <c r="F22" s="2" t="n">
        <f aca="false">IF(F$2&lt;=10,F20-F18+F21,0)</f>
        <v>12174294.636714</v>
      </c>
      <c r="G22" s="2" t="n">
        <f aca="false">IF(G$2&lt;=10,G20-G18+G21,0)</f>
        <v>12149103.1673674</v>
      </c>
      <c r="H22" s="2" t="n">
        <f aca="false">IF(H$2&lt;=10,H20-H18+H21,0)</f>
        <v>13116331.3219046</v>
      </c>
      <c r="I22" s="2" t="n">
        <f aca="false">IF(I$2&lt;=10,I20-I18+I21,0)</f>
        <v>14126197.9262878</v>
      </c>
      <c r="J22" s="2" t="n">
        <f aca="false">IF(J$2&lt;=10,J20-J18+J21,0)</f>
        <v>15537600.2230888</v>
      </c>
      <c r="K22" s="2" t="n">
        <f aca="false">IF(K$2&lt;=10,K20-K18+K21,0)</f>
        <v>14256168.1001258</v>
      </c>
      <c r="L22" s="2" t="n">
        <f aca="false">IF(L$2&lt;=10,L20-L18+L21,0)</f>
        <v>369275045.661035</v>
      </c>
      <c r="M22" s="2" t="n">
        <f aca="false">IF(M$2&lt;=10,M20-M18+M21,0)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52</v>
      </c>
      <c r="B3" s="2" t="n">
        <f aca="false">NPV(Inputs!$B$14,Rent!C22:L22)</f>
        <v>257629503.777274</v>
      </c>
    </row>
    <row r="4" customFormat="false" ht="15" hidden="false" customHeight="false" outlineLevel="0" collapsed="false">
      <c r="A4" s="0" t="s">
        <v>53</v>
      </c>
      <c r="B4" s="2" t="n">
        <f aca="false">B3-Inputs!$B$4*(1+Inputs!$B$5)</f>
        <v>-4030496.22272554</v>
      </c>
    </row>
    <row r="5" customFormat="false" ht="15" hidden="false" customHeight="false" outlineLevel="0" collapsed="false">
      <c r="A5" s="0" t="s">
        <v>54</v>
      </c>
      <c r="B5" s="3" t="n">
        <f aca="false">IRR(Valuation!B12:L12)</f>
        <v>0.0730222288970406</v>
      </c>
    </row>
    <row r="6" customFormat="false" ht="15" hidden="false" customHeight="false" outlineLevel="0" collapsed="false">
      <c r="A6" s="0" t="s">
        <v>55</v>
      </c>
      <c r="B6" s="2" t="n">
        <f aca="false">Rent!C20</f>
        <v>13477440</v>
      </c>
    </row>
    <row r="7" customFormat="false" ht="15" hidden="false" customHeight="false" outlineLevel="0" collapsed="false">
      <c r="A7" s="0" t="s">
        <v>56</v>
      </c>
      <c r="B7" s="3" t="n">
        <f aca="false">B6/(Inputs!$B$4*(1+Inputs!$B$5))</f>
        <v>0.0515074524191699</v>
      </c>
    </row>
    <row r="8" customFormat="false" ht="15" hidden="false" customHeight="false" outlineLevel="0" collapsed="false">
      <c r="A8" s="0" t="s">
        <v>57</v>
      </c>
      <c r="B8" s="5" t="n">
        <f aca="false">SUMPRODUCT(Tenancy!C2:C13,Tenancy!D2:D13,(Tenancy!E2:E13-Inputs!$B$3)/365.25)/SUMPRODUCT(Tenancy!C2:C13,Tenancy!D2:D13)</f>
        <v>4.54669862418561</v>
      </c>
    </row>
    <row r="9" customFormat="false" ht="15" hidden="false" customHeight="false" outlineLevel="0" collapsed="false">
      <c r="A9" s="0" t="s">
        <v>58</v>
      </c>
      <c r="B9" s="2" t="n">
        <f aca="false">SUM(Rent!C21:L21)</f>
        <v>351562896.726196</v>
      </c>
    </row>
    <row r="12" customFormat="false" ht="15" hidden="false" customHeight="false" outlineLevel="0" collapsed="false">
      <c r="A12" s="0" t="s">
        <v>59</v>
      </c>
      <c r="B12" s="0" t="n">
        <f aca="false">-Inputs!$B$4*(1+Inputs!$B$5)</f>
        <v>-261660000</v>
      </c>
      <c r="C12" s="2" t="n">
        <f aca="false">Rent!C22</f>
        <v>12003240</v>
      </c>
      <c r="D12" s="2" t="n">
        <f aca="false">Rent!D22</f>
        <v>9906145.59452055</v>
      </c>
      <c r="E12" s="2" t="n">
        <f aca="false">Rent!E22</f>
        <v>9915560.82354508</v>
      </c>
      <c r="F12" s="2" t="n">
        <f aca="false">Rent!F22</f>
        <v>12174294.636714</v>
      </c>
      <c r="G12" s="2" t="n">
        <f aca="false">Rent!G22</f>
        <v>12149103.1673674</v>
      </c>
      <c r="H12" s="2" t="n">
        <f aca="false">Rent!H22</f>
        <v>13116331.3219046</v>
      </c>
      <c r="I12" s="2" t="n">
        <f aca="false">Rent!I22</f>
        <v>14126197.9262878</v>
      </c>
      <c r="J12" s="2" t="n">
        <f aca="false">Rent!J22</f>
        <v>15537600.2230888</v>
      </c>
      <c r="K12" s="2" t="n">
        <f aca="false">Rent!K22</f>
        <v>14256168.1001258</v>
      </c>
      <c r="L12" s="2" t="n">
        <f aca="false">Rent!L22</f>
        <v>369275045.661035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2026-10-17T12:23:08Z</dcterms:created>
  <dc:creator>openpyxl</dc:creator>
  <dc:description/>
  <dc:language>en-US</dc:language>
  <cp:lastModifiedBy/>
  <dcterms:modified xsi:type="dcterms:W3CDTF">2026-10-17T12:23:09Z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