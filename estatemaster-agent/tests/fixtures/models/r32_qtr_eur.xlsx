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F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<sst xmlns="http://schemas.openxmlformats.org/spreadsheetml/2006/main" count="17" uniqueCount="17">
  <si>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Quarterly rent</t>
  </si>
  <si>
    <t xml:space="preserve">Quarterly rent growth</t>
  </si>
  <si>
    <t xml:space="preserve">Exit cap rate</t>
  </si>
  <si>
    <t xml:space="preserve">Loan</t>
  </si>
  <si>
    <t xml:space="preserve">Interest rate</t>
  </si>
  <si>
    <t xml:space="preserve">Equity</t>
  </si>
  <si>
    <t xml:space="preserve">Quarter ending</t>
  </si>
  <si>
    <t xml:space="preserve">Quarter</t>
  </si>
  <si>
    <t xml:space="preserve">Rent</t>
  </si>
  <si>
    <t xml:space="preserve">Interest</t>
  </si>
  <si>
    <t xml:space="preserve">Sale proceeds</t>
  </si>
  <si>
    <t xml:space="preserve">Loan repayment</t>
  </si>
  <si>
    <t xml:space="preserve">Net cash flow to equity</t>
  </si>
  <si>
    <t xml:space="preserve">Cumulative cash</t>
  </si>
  <si>
    <t xml:space="preserve">Levered IRR</t>
  </si>
  <si>
    <t xml:space="preserve">Net profit</t>
  </si>
  <si>
    <t xml:space="preserve">Exit year rent (trailing four quarters)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</si>
</sst>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0</v>
      </c>
      <c r="B2" s="0" t="n">
        <v>250000</v>
      </c>
    </row>
    <row r="3" customFormat="false" ht="15" hidden="false" customHeight="false" outlineLevel="0" collapsed="false">
      <c r="A3" s="0" t="s">
        <v>1</v>
      </c>
      <c r="B3" s="0" t="n">
        <v>0.005</v>
      </c>
    </row>
    <row r="4" customFormat="false" ht="15" hidden="false" customHeight="false" outlineLevel="0" collapsed="false">
      <c r="A4" s="0" t="s">
        <v>2</v>
      </c>
      <c r="B4" s="0" t="n">
        <v>0.06</v>
      </c>
    </row>
    <row r="5" customFormat="false" ht="15" hidden="false" customHeight="false" outlineLevel="0" collapsed="false">
      <c r="A5" s="0" t="s">
        <v>3</v>
      </c>
      <c r="B5" s="0" t="n">
        <v>6000000</v>
      </c>
    </row>
    <row r="6" customFormat="false" ht="15" hidden="false" customHeight="false" outlineLevel="0" collapsed="false">
      <c r="A6" s="0" t="s">
        <v>4</v>
      </c>
      <c r="B6" s="0" t="n">
        <v>0.05</v>
      </c>
    </row>
    <row r="7" customFormat="false" ht="15" hidden="false" customHeight="false" outlineLevel="0" collapsed="false">
      <c r="A7" s="0" t="s">
        <v>5</v>
      </c>
      <c r="B7" s="0" t="n">
        <v>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6</v>
      </c>
      <c r="B3" s="1" t="n">
        <v>46022</v>
      </c>
      <c r="C3" s="1" t="n">
        <v>46112</v>
      </c>
      <c r="D3" s="1" t="n">
        <f aca="false">EOMONTH(C3,3)</f>
        <v>46203</v>
      </c>
      <c r="E3" s="1" t="n">
        <f aca="false">EOMONTH(D3,3)</f>
        <v>46295</v>
      </c>
      <c r="F3" s="1" t="n">
        <f aca="false">EOMONTH(E3,3)</f>
        <v>46387</v>
      </c>
      <c r="G3" s="1" t="n">
        <f aca="false">EOMONTH(F3,3)</f>
        <v>46477</v>
      </c>
      <c r="H3" s="1" t="n">
        <f aca="false">EOMONTH(G3,3)</f>
        <v>46568</v>
      </c>
      <c r="I3" s="1" t="n">
        <f aca="false">EOMONTH(H3,3)</f>
        <v>46660</v>
      </c>
      <c r="J3" s="1" t="n">
        <f aca="false">EOMONTH(I3,3)</f>
        <v>46752</v>
      </c>
      <c r="K3" s="1" t="n">
        <f aca="false">EOMONTH(J3,3)</f>
        <v>46843</v>
      </c>
      <c r="L3" s="1" t="n">
        <f aca="false">EOMONTH(K3,3)</f>
        <v>46934</v>
      </c>
      <c r="M3" s="1" t="n">
        <f aca="false">EOMONTH(L3,3)</f>
        <v>47026</v>
      </c>
      <c r="N3" s="1" t="n">
        <f aca="false">EOMONTH(M3,3)</f>
        <v>47118</v>
      </c>
      <c r="O3" s="1" t="n">
        <f aca="false">EOMONTH(N3,3)</f>
        <v>47208</v>
      </c>
      <c r="P3" s="1" t="n">
        <f aca="false">EOMONTH(O3,3)</f>
        <v>47299</v>
      </c>
      <c r="Q3" s="1" t="n">
        <f aca="false">EOMONTH(P3,3)</f>
        <v>47391</v>
      </c>
      <c r="R3" s="1" t="n">
        <f aca="false">EOMONTH(Q3,3)</f>
        <v>47483</v>
      </c>
      <c r="S3" s="1" t="n">
        <f aca="false">EOMONTH(R3,3)</f>
        <v>47573</v>
      </c>
      <c r="T3" s="1" t="n">
        <f aca="false">EOMONTH(S3,3)</f>
        <v>47664</v>
      </c>
      <c r="U3" s="1" t="n">
        <f aca="false">EOMONTH(T3,3)</f>
        <v>47756</v>
      </c>
      <c r="V3" s="1" t="n">
        <f aca="false">EOMONTH(U3,3)</f>
        <v>47848</v>
      </c>
    </row>
    <row r="4" customFormat="false" ht="15" hidden="false" customHeight="false" outlineLevel="0" collapsed="false">
      <c r="A4" s="0" t="s">
        <v>7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5</v>
      </c>
      <c r="H4" s="0" t="n">
        <v>6</v>
      </c>
      <c r="I4" s="0" t="n">
        <v>7</v>
      </c>
      <c r="J4" s="0" t="n">
        <v>8</v>
      </c>
      <c r="K4" s="0" t="n">
        <v>9</v>
      </c>
      <c r="L4" s="0" t="n">
        <v>10</v>
      </c>
      <c r="M4" s="0" t="n">
        <v>11</v>
      </c>
      <c r="N4" s="0" t="n">
        <v>12</v>
      </c>
      <c r="O4" s="0" t="n">
        <v>13</v>
      </c>
      <c r="P4" s="0" t="n">
        <v>14</v>
      </c>
      <c r="Q4" s="0" t="n">
        <v>15</v>
      </c>
      <c r="R4" s="0" t="n">
        <v>16</v>
      </c>
      <c r="S4" s="0" t="n">
        <v>17</v>
      </c>
      <c r="T4" s="0" t="n">
        <v>18</v>
      </c>
      <c r="U4" s="0" t="n">
        <v>19</v>
      </c>
      <c r="V4" s="0" t="n">
        <v>20</v>
      </c>
    </row>
    <row r="6" customFormat="false" ht="15" hidden="false" customHeight="false" outlineLevel="0" collapsed="false">
      <c r="A6" s="0" t="s">
        <v>8</v>
      </c>
      <c r="C6" s="0" t="n">
        <f aca="false">Inputs!$B$2*(1+Inputs!$B$3)^(C4-1)</f>
        <v>250000</v>
      </c>
      <c r="D6" s="0" t="n">
        <f aca="false">Inputs!$B$2*(1+Inputs!$B$3)^(D4-1)</f>
        <v>251250</v>
      </c>
      <c r="E6" s="0" t="n">
        <f aca="false">Inputs!$B$2*(1+Inputs!$B$3)^(E4-1)</f>
        <v>252506.25</v>
      </c>
      <c r="F6" s="0" t="n">
        <f aca="false">Inputs!$B$2*(1+Inputs!$B$3)^(F4-1)</f>
        <v>253768.78125</v>
      </c>
      <c r="G6" s="0" t="n">
        <f aca="false">Inputs!$B$2*(1+Inputs!$B$3)^(G4-1)</f>
        <v>255037.62515625</v>
      </c>
      <c r="H6" s="0" t="n">
        <f aca="false">Inputs!$B$2*(1+Inputs!$B$3)^(H4-1)</f>
        <v>256312.813282031</v>
      </c>
      <c r="I6" s="0" t="n">
        <f aca="false">Inputs!$B$2*(1+Inputs!$B$3)^(I4-1)</f>
        <v>257594.377348441</v>
      </c>
      <c r="J6" s="0" t="n">
        <f aca="false">Inputs!$B$2*(1+Inputs!$B$3)^(J4-1)</f>
        <v>258882.349235183</v>
      </c>
      <c r="K6" s="0" t="n">
        <f aca="false">Inputs!$B$2*(1+Inputs!$B$3)^(K4-1)</f>
        <v>260176.760981359</v>
      </c>
      <c r="L6" s="0" t="n">
        <f aca="false">Inputs!$B$2*(1+Inputs!$B$3)^(L4-1)</f>
        <v>261477.644786266</v>
      </c>
      <c r="M6" s="0" t="n">
        <f aca="false">Inputs!$B$2*(1+Inputs!$B$3)^(M4-1)</f>
        <v>262785.033010197</v>
      </c>
      <c r="N6" s="0" t="n">
        <f aca="false">Inputs!$B$2*(1+Inputs!$B$3)^(N4-1)</f>
        <v>264098.958175248</v>
      </c>
      <c r="O6" s="0" t="n">
        <f aca="false">Inputs!$B$2*(1+Inputs!$B$3)^(O4-1)</f>
        <v>265419.452966125</v>
      </c>
      <c r="P6" s="0" t="n">
        <f aca="false">Inputs!$B$2*(1+Inputs!$B$3)^(P4-1)</f>
        <v>266746.550230955</v>
      </c>
      <c r="Q6" s="0" t="n">
        <f aca="false">Inputs!$B$2*(1+Inputs!$B$3)^(Q4-1)</f>
        <v>268080.28298211</v>
      </c>
      <c r="R6" s="0" t="n">
        <f aca="false">Inputs!$B$2*(1+Inputs!$B$3)^(R4-1)</f>
        <v>269420.68439702</v>
      </c>
      <c r="S6" s="0" t="n">
        <f aca="false">Inputs!$B$2*(1+Inputs!$B$3)^(S4-1)</f>
        <v>270767.787819006</v>
      </c>
      <c r="T6" s="0" t="n">
        <f aca="false">Inputs!$B$2*(1+Inputs!$B$3)^(T4-1)</f>
        <v>272121.6267581</v>
      </c>
      <c r="U6" s="0" t="n">
        <f aca="false">Inputs!$B$2*(1+Inputs!$B$3)^(U4-1)</f>
        <v>273482.234891891</v>
      </c>
      <c r="V6" s="0" t="n">
        <f aca="false">Inputs!$B$2*(1+Inputs!$B$3)^(V4-1)</f>
        <v>274849.64606635</v>
      </c>
    </row>
    <row r="7" customFormat="false" ht="15" hidden="false" customHeight="false" outlineLevel="0" collapsed="false">
      <c r="A7" s="0" t="s">
        <v>9</v>
      </c>
      <c r="C7" s="0" t="n">
        <f aca="false">-Inputs!$B$5*Inputs!$B$6/4</f>
        <v>-75000</v>
      </c>
      <c r="D7" s="0" t="n">
        <f aca="false">-Inputs!$B$5*Inputs!$B$6/4</f>
        <v>-75000</v>
      </c>
      <c r="E7" s="0" t="n">
        <f aca="false">-Inputs!$B$5*Inputs!$B$6/4</f>
        <v>-75000</v>
      </c>
      <c r="F7" s="0" t="n">
        <f aca="false">-Inputs!$B$5*Inputs!$B$6/4</f>
        <v>-75000</v>
      </c>
      <c r="G7" s="0" t="n">
        <f aca="false">-Inputs!$B$5*Inputs!$B$6/4</f>
        <v>-75000</v>
      </c>
      <c r="H7" s="0" t="n">
        <f aca="false">-Inputs!$B$5*Inputs!$B$6/4</f>
        <v>-75000</v>
      </c>
      <c r="I7" s="0" t="n">
        <f aca="false">-Inputs!$B$5*Inputs!$B$6/4</f>
        <v>-75000</v>
      </c>
      <c r="J7" s="0" t="n">
        <f aca="false">-Inputs!$B$5*Inputs!$B$6/4</f>
        <v>-75000</v>
      </c>
      <c r="K7" s="0" t="n">
        <f aca="false">-Inputs!$B$5*Inputs!$B$6/4</f>
        <v>-75000</v>
      </c>
      <c r="L7" s="0" t="n">
        <f aca="false">-Inputs!$B$5*Inputs!$B$6/4</f>
        <v>-75000</v>
      </c>
      <c r="M7" s="0" t="n">
        <f aca="false">-Inputs!$B$5*Inputs!$B$6/4</f>
        <v>-75000</v>
      </c>
      <c r="N7" s="0" t="n">
        <f aca="false">-Inputs!$B$5*Inputs!$B$6/4</f>
        <v>-75000</v>
      </c>
      <c r="O7" s="0" t="n">
        <f aca="false">-Inputs!$B$5*Inputs!$B$6/4</f>
        <v>-75000</v>
      </c>
      <c r="P7" s="0" t="n">
        <f aca="false">-Inputs!$B$5*Inputs!$B$6/4</f>
        <v>-75000</v>
      </c>
      <c r="Q7" s="0" t="n">
        <f aca="false">-Inputs!$B$5*Inputs!$B$6/4</f>
        <v>-75000</v>
      </c>
      <c r="R7" s="0" t="n">
        <f aca="false">-Inputs!$B$5*Inputs!$B$6/4</f>
        <v>-75000</v>
      </c>
      <c r="S7" s="0" t="n">
        <f aca="false">-Inputs!$B$5*Inputs!$B$6/4</f>
        <v>-75000</v>
      </c>
      <c r="T7" s="0" t="n">
        <f aca="false">-Inputs!$B$5*Inputs!$B$6/4</f>
        <v>-75000</v>
      </c>
      <c r="U7" s="0" t="n">
        <f aca="false">-Inputs!$B$5*Inputs!$B$6/4</f>
        <v>-75000</v>
      </c>
      <c r="V7" s="0" t="n">
        <f aca="false">-Inputs!$B$5*Inputs!$B$6/4</f>
        <v>-75000</v>
      </c>
    </row>
    <row r="8" customFormat="false" ht="15" hidden="false" customHeight="false" outlineLevel="0" collapsed="false">
      <c r="A8" s="0" t="s">
        <v>10</v>
      </c>
      <c r="V8" s="0" t="n">
        <f aca="false">V6*4/Inputs!$B$4</f>
        <v>18323309.7377567</v>
      </c>
    </row>
    <row r="10" customFormat="false" ht="15" hidden="false" customHeight="false" outlineLevel="0" collapsed="false">
      <c r="A10" s="0" t="s">
        <v>11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f aca="false">-Inputs!$B$5</f>
        <v>-6000000</v>
      </c>
    </row>
    <row r="11" customFormat="false" ht="15" hidden="false" customHeight="false" outlineLevel="0" collapsed="false">
      <c r="A11" s="0" t="s">
        <v>12</v>
      </c>
      <c r="B11" s="0" t="n">
        <f aca="false">-Inputs!B7</f>
        <v>-4000000</v>
      </c>
      <c r="C11" s="0" t="n">
        <f aca="false">SUM(C6:C10)</f>
        <v>175000</v>
      </c>
      <c r="D11" s="0" t="n">
        <f aca="false">SUM(D6:D10)</f>
        <v>176250</v>
      </c>
      <c r="E11" s="0" t="n">
        <f aca="false">SUM(E6:E10)</f>
        <v>177506.25</v>
      </c>
      <c r="F11" s="0" t="n">
        <f aca="false">SUM(F6:F10)</f>
        <v>178768.78125</v>
      </c>
      <c r="G11" s="0" t="n">
        <f aca="false">SUM(G6:G10)</f>
        <v>180037.62515625</v>
      </c>
      <c r="H11" s="0" t="n">
        <f aca="false">SUM(H6:H10)</f>
        <v>181312.813282031</v>
      </c>
      <c r="I11" s="0" t="n">
        <f aca="false">SUM(I6:I10)</f>
        <v>182594.377348441</v>
      </c>
      <c r="J11" s="0" t="n">
        <f aca="false">SUM(J6:J10)</f>
        <v>183882.349235183</v>
      </c>
      <c r="K11" s="0" t="n">
        <f aca="false">SUM(K6:K10)</f>
        <v>185176.760981359</v>
      </c>
      <c r="L11" s="0" t="n">
        <f aca="false">SUM(L6:L10)</f>
        <v>186477.644786266</v>
      </c>
      <c r="M11" s="0" t="n">
        <f aca="false">SUM(M6:M10)</f>
        <v>187785.033010197</v>
      </c>
      <c r="N11" s="0" t="n">
        <f aca="false">SUM(N6:N10)</f>
        <v>189098.958175248</v>
      </c>
      <c r="O11" s="0" t="n">
        <f aca="false">SUM(O6:O10)</f>
        <v>190419.452966125</v>
      </c>
      <c r="P11" s="0" t="n">
        <f aca="false">SUM(P6:P10)</f>
        <v>191746.550230955</v>
      </c>
      <c r="Q11" s="0" t="n">
        <f aca="false">SUM(Q6:Q10)</f>
        <v>193080.28298211</v>
      </c>
      <c r="R11" s="0" t="n">
        <f aca="false">SUM(R6:R10)</f>
        <v>194420.68439702</v>
      </c>
      <c r="S11" s="0" t="n">
        <f aca="false">SUM(S6:S10)</f>
        <v>195767.787819006</v>
      </c>
      <c r="T11" s="0" t="n">
        <f aca="false">SUM(T6:T10)</f>
        <v>197121.6267581</v>
      </c>
      <c r="U11" s="0" t="n">
        <f aca="false">SUM(U6:U10)</f>
        <v>198482.234891891</v>
      </c>
      <c r="V11" s="0" t="n">
        <f aca="false">SUM(V6:V10)</f>
        <v>12523159.383823</v>
      </c>
    </row>
    <row r="12" customFormat="false" ht="15" hidden="false" customHeight="false" outlineLevel="0" collapsed="false">
      <c r="A12" s="0" t="s">
        <v>13</v>
      </c>
      <c r="C12" s="0" t="n">
        <f aca="false">SUM($C11:C11)</f>
        <v>175000</v>
      </c>
      <c r="D12" s="0" t="n">
        <f aca="false">SUM($C11:D11)</f>
        <v>351250</v>
      </c>
      <c r="E12" s="0" t="n">
        <f aca="false">SUM($C11:E11)</f>
        <v>528756.25</v>
      </c>
      <c r="F12" s="0" t="n">
        <f aca="false">SUM($C11:F11)</f>
        <v>707525.03125</v>
      </c>
      <c r="G12" s="0" t="n">
        <f aca="false">SUM($C11:G11)</f>
        <v>887562.65640625</v>
      </c>
      <c r="H12" s="0" t="n">
        <f aca="false">SUM($C11:H11)</f>
        <v>1068875.46968828</v>
      </c>
      <c r="I12" s="0" t="n">
        <f aca="false">SUM($C11:I11)</f>
        <v>1251469.84703672</v>
      </c>
      <c r="J12" s="0" t="n">
        <f aca="false">SUM($C11:J11)</f>
        <v>1435352.19627191</v>
      </c>
      <c r="K12" s="0" t="n">
        <f aca="false">SUM($C11:K11)</f>
        <v>1620528.95725326</v>
      </c>
      <c r="L12" s="0" t="n">
        <f aca="false">SUM($C11:L11)</f>
        <v>1807006.60203953</v>
      </c>
      <c r="M12" s="0" t="n">
        <f aca="false">SUM($C11:M11)</f>
        <v>1994791.63504973</v>
      </c>
      <c r="N12" s="0" t="n">
        <f aca="false">SUM($C11:N11)</f>
        <v>2183890.59322498</v>
      </c>
      <c r="O12" s="0" t="n">
        <f aca="false">SUM($C11:O11)</f>
        <v>2374310.0461911</v>
      </c>
      <c r="P12" s="0" t="n">
        <f aca="false">SUM($C11:P11)</f>
        <v>2566056.59642206</v>
      </c>
      <c r="Q12" s="0" t="n">
        <f aca="false">SUM($C11:Q11)</f>
        <v>2759136.87940417</v>
      </c>
      <c r="R12" s="0" t="n">
        <f aca="false">SUM($C11:R11)</f>
        <v>2953557.56380119</v>
      </c>
      <c r="S12" s="0" t="n">
        <f aca="false">SUM($C11:S11)</f>
        <v>3149325.35162019</v>
      </c>
      <c r="T12" s="0" t="n">
        <f aca="false">SUM($C11:T11)</f>
        <v>3346446.97837829</v>
      </c>
      <c r="U12" s="0" t="n">
        <f aca="false">SUM($C11:U11)</f>
        <v>3544929.21327018</v>
      </c>
      <c r="V12" s="0" t="n">
        <f aca="false">SUM($C11:V11)</f>
        <v>16068088.5970932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14</v>
      </c>
      <c r="B2" s="0" t="n">
        <f aca="false">XIRR(CF!B11:V11,CF!B3:V3)</f>
        <v>0.399488471014594</v>
      </c>
    </row>
    <row r="3" customFormat="false" ht="15" hidden="false" customHeight="false" outlineLevel="0" collapsed="false">
      <c r="A3" s="0" t="s">
        <v>15</v>
      </c>
      <c r="B3" s="0" t="n">
        <f aca="false">SUM(CF!B11:V11)</f>
        <v>12068088.5970932</v>
      </c>
    </row>
    <row r="4" customFormat="false" ht="15" hidden="false" customHeight="false" outlineLevel="0" collapsed="false">
      <c r="A4" s="0" t="s">
        <v>16</v>
      </c>
      <c r="B4" s="0" t="n">
        <f aca="false">SUM(CF!S6:V6)</f>
        <v>1091221.29553535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2026-10-18T13:52:56Z</dcterms:created>
  <dc:creator>openpyxl</dc:creator>
  <dc:description/>
  <dc:language>en-US</dc:language>
  <cp:lastModifiedBy/>
  <dcterms:modified xsi:type="dcterms:W3CDTF">2026-10-18T13:52:56Z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