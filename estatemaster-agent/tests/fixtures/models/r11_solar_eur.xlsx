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Annual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<sst xmlns="http://schemas.openxmlformats.org/spreadsheetml/2006/main" count="34" uniqueCount="34">
  <si>
    <t xml:space="preserve">CAMPO SOLAR 48 MWp – PROJECT FINANCE MODEL (EUR)</t>
  </si>
  <si>
    <t xml:space="preserve">Capacity (MWp)</t>
  </si>
  <si>
    <t xml:space="preserve">Specific yield (kWh/kWp/yr)</t>
  </si>
  <si>
    <t xml:space="preserve">Annual degradation</t>
  </si>
  <si>
    <t xml:space="preserve">PPA price (EUR/MWh)</t>
  </si>
  <si>
    <t xml:space="preserve">PPA term (years)</t>
  </si>
  <si>
    <t xml:space="preserve">Merchant price after PPA (EUR/MWh)</t>
  </si>
  <si>
    <t xml:space="preserve">Capex (EUR m/MWp)</t>
  </si>
  <si>
    <t xml:space="preserve">Opex (EUR k/MWp/yr)</t>
  </si>
  <si>
    <t xml:space="preserve">Opex indexation</t>
  </si>
  <si>
    <t xml:space="preserve">Asset life (years)</t>
  </si>
  <si>
    <t xml:space="preserve">Gearing</t>
  </si>
  <si>
    <t xml:space="preserve">Debt all-in rate</t>
  </si>
  <si>
    <t xml:space="preserve">Debt tenor (years)</t>
  </si>
  <si>
    <t xml:space="preserve">Corporate tax</t>
  </si>
  <si>
    <t xml:space="preserve">Year</t>
  </si>
  <si>
    <t xml:space="preserve">Generation (MWh)</t>
  </si>
  <si>
    <t xml:space="preserve">Price (EUR/MWh)</t>
  </si>
  <si>
    <t xml:space="preserve">Revenue</t>
  </si>
  <si>
    <t xml:space="preserve">Opex</t>
  </si>
  <si>
    <t xml:space="preserve">EBITDA</t>
  </si>
  <si>
    <t xml:space="preserve">Capex</t>
  </si>
  <si>
    <t xml:space="preserve">Debt service</t>
  </si>
  <si>
    <t xml:space="preserve">Tax</t>
  </si>
  <si>
    <t xml:space="preserve">Project cash flow</t>
  </si>
  <si>
    <t xml:space="preserve">Equity cash flow</t>
  </si>
  <si>
    <t xml:space="preserve">DSCR</t>
  </si>
  <si>
    <t xml:space="preserve">Project IRR</t>
  </si>
  <si>
    <t xml:space="preserve">Equity IRR</t>
  </si>
  <si>
    <t xml:space="preserve">Minimum DSCR</t>
  </si>
  <si>
    <t xml:space="preserve">Average DSCR</t>
  </si>
  <si>
    <t xml:space="preserve">Total capex</t>
  </si>
  <si>
    <t xml:space="preserve">Net profit</t>
  </si>
  <si>
    <t xml:space="preserve">LCOE proxy (EUR/MWh)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</si>
</sst>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"/>
    <numFmt numFmtId="167" formatCode="0.00%"/>
    <numFmt numFmtId="168" formatCode="0"/>
    <numFmt numFmtId="169" formatCode="0.000"/>
    <numFmt numFmtId="170" formatCode="[$$-409]#,##0.00;[RED]\-[$$-409]#,##0.00"/>
    <numFmt numFmtId="171" formatCode="0.00\x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48</v>
      </c>
    </row>
    <row r="4" customFormat="false" ht="15" hidden="false" customHeight="false" outlineLevel="0" collapsed="false">
      <c r="A4" s="0" t="s">
        <v>2</v>
      </c>
      <c r="B4" s="2" t="n">
        <v>1720</v>
      </c>
    </row>
    <row r="5" customFormat="false" ht="15" hidden="false" customHeight="false" outlineLevel="0" collapsed="false">
      <c r="A5" s="0" t="s">
        <v>3</v>
      </c>
      <c r="B5" s="3" t="n">
        <v>0.004</v>
      </c>
    </row>
    <row r="6" customFormat="false" ht="15" hidden="false" customHeight="false" outlineLevel="0" collapsed="false">
      <c r="A6" s="0" t="s">
        <v>4</v>
      </c>
      <c r="B6" s="1" t="n">
        <v>52</v>
      </c>
    </row>
    <row r="7" customFormat="false" ht="15" hidden="false" customHeight="false" outlineLevel="0" collapsed="false">
      <c r="A7" s="0" t="s">
        <v>5</v>
      </c>
      <c r="B7" s="4" t="n">
        <v>12</v>
      </c>
    </row>
    <row r="8" customFormat="false" ht="15" hidden="false" customHeight="false" outlineLevel="0" collapsed="false">
      <c r="A8" s="0" t="s">
        <v>6</v>
      </c>
      <c r="B8" s="1" t="n">
        <v>44</v>
      </c>
    </row>
    <row r="9" customFormat="false" ht="15" hidden="false" customHeight="false" outlineLevel="0" collapsed="false">
      <c r="A9" s="0" t="s">
        <v>7</v>
      </c>
      <c r="B9" s="5" t="n">
        <v>0.62</v>
      </c>
    </row>
    <row r="10" customFormat="false" ht="15" hidden="false" customHeight="false" outlineLevel="0" collapsed="false">
      <c r="A10" s="0" t="s">
        <v>8</v>
      </c>
      <c r="B10" s="1" t="n">
        <v>13.5</v>
      </c>
    </row>
    <row r="11" customFormat="false" ht="15" hidden="false" customHeight="false" outlineLevel="0" collapsed="false">
      <c r="A11" s="0" t="s">
        <v>9</v>
      </c>
      <c r="B11" s="3" t="n">
        <v>0.02</v>
      </c>
    </row>
    <row r="12" customFormat="false" ht="15" hidden="false" customHeight="false" outlineLevel="0" collapsed="false">
      <c r="A12" s="0" t="s">
        <v>10</v>
      </c>
      <c r="B12" s="4" t="n">
        <v>30</v>
      </c>
    </row>
    <row r="13" customFormat="false" ht="15" hidden="false" customHeight="false" outlineLevel="0" collapsed="false">
      <c r="A13" s="0" t="s">
        <v>11</v>
      </c>
      <c r="B13" s="3" t="n">
        <v>0.7</v>
      </c>
    </row>
    <row r="14" customFormat="false" ht="15" hidden="false" customHeight="false" outlineLevel="0" collapsed="false">
      <c r="A14" s="0" t="s">
        <v>12</v>
      </c>
      <c r="B14" s="3" t="n">
        <v>0.052</v>
      </c>
    </row>
    <row r="15" customFormat="false" ht="15" hidden="false" customHeight="false" outlineLevel="0" collapsed="false">
      <c r="A15" s="0" t="s">
        <v>13</v>
      </c>
      <c r="B15" s="4" t="n">
        <v>18</v>
      </c>
    </row>
    <row r="16" customFormat="false" ht="15" hidden="false" customHeight="false" outlineLevel="0" collapsed="false">
      <c r="A16" s="0" t="s">
        <v>14</v>
      </c>
      <c r="B16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15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</row>
    <row r="4" customFormat="false" ht="15" hidden="false" customHeight="false" outlineLevel="0" collapsed="false">
      <c r="A4" s="0" t="s">
        <v>16</v>
      </c>
      <c r="B4" s="0" t="n">
        <f aca="false">Assumptions!$B$3*Assumptions!$B$4*(1-Assumptions!$B$5)^MAX(0,B$3-1)*(B$3&gt;=1)*(B$3&lt;=Assumptions!$B$12)</f>
        <v>0</v>
      </c>
      <c r="C4" s="0" t="n">
        <f aca="false">Assumptions!$B$3*Assumptions!$B$4*(1-Assumptions!$B$5)^MAX(0,C$3-1)*(C$3&gt;=1)*(C$3&lt;=Assumptions!$B$12)</f>
        <v>82560</v>
      </c>
      <c r="D4" s="0" t="n">
        <f aca="false">Assumptions!$B$3*Assumptions!$B$4*(1-Assumptions!$B$5)^MAX(0,D$3-1)*(D$3&gt;=1)*(D$3&lt;=Assumptions!$B$12)</f>
        <v>82229.76</v>
      </c>
      <c r="E4" s="0" t="n">
        <f aca="false">Assumptions!$B$3*Assumptions!$B$4*(1-Assumptions!$B$5)^MAX(0,E$3-1)*(E$3&gt;=1)*(E$3&lt;=Assumptions!$B$12)</f>
        <v>81900.84096</v>
      </c>
      <c r="F4" s="0" t="n">
        <f aca="false">Assumptions!$B$3*Assumptions!$B$4*(1-Assumptions!$B$5)^MAX(0,F$3-1)*(F$3&gt;=1)*(F$3&lt;=Assumptions!$B$12)</f>
        <v>81573.23759616</v>
      </c>
      <c r="G4" s="0" t="n">
        <f aca="false">Assumptions!$B$3*Assumptions!$B$4*(1-Assumptions!$B$5)^MAX(0,G$3-1)*(G$3&gt;=1)*(G$3&lt;=Assumptions!$B$12)</f>
        <v>81246.9446457754</v>
      </c>
      <c r="H4" s="0" t="n">
        <f aca="false">Assumptions!$B$3*Assumptions!$B$4*(1-Assumptions!$B$5)^MAX(0,H$3-1)*(H$3&gt;=1)*(H$3&lt;=Assumptions!$B$12)</f>
        <v>80921.9568671923</v>
      </c>
      <c r="I4" s="0" t="n">
        <f aca="false">Assumptions!$B$3*Assumptions!$B$4*(1-Assumptions!$B$5)^MAX(0,I$3-1)*(I$3&gt;=1)*(I$3&lt;=Assumptions!$B$12)</f>
        <v>80598.2690397235</v>
      </c>
      <c r="J4" s="0" t="n">
        <f aca="false">Assumptions!$B$3*Assumptions!$B$4*(1-Assumptions!$B$5)^MAX(0,J$3-1)*(J$3&gt;=1)*(J$3&lt;=Assumptions!$B$12)</f>
        <v>80275.8759635646</v>
      </c>
      <c r="K4" s="0" t="n">
        <f aca="false">Assumptions!$B$3*Assumptions!$B$4*(1-Assumptions!$B$5)^MAX(0,K$3-1)*(K$3&gt;=1)*(K$3&lt;=Assumptions!$B$12)</f>
        <v>79954.7724597103</v>
      </c>
      <c r="L4" s="0" t="n">
        <f aca="false">Assumptions!$B$3*Assumptions!$B$4*(1-Assumptions!$B$5)^MAX(0,L$3-1)*(L$3&gt;=1)*(L$3&lt;=Assumptions!$B$12)</f>
        <v>79634.9533698715</v>
      </c>
      <c r="M4" s="0" t="n">
        <f aca="false">Assumptions!$B$3*Assumptions!$B$4*(1-Assumptions!$B$5)^MAX(0,M$3-1)*(M$3&gt;=1)*(M$3&lt;=Assumptions!$B$12)</f>
        <v>79316.413556392</v>
      </c>
      <c r="N4" s="0" t="n">
        <f aca="false">Assumptions!$B$3*Assumptions!$B$4*(1-Assumptions!$B$5)^MAX(0,N$3-1)*(N$3&gt;=1)*(N$3&lt;=Assumptions!$B$12)</f>
        <v>78999.1479021664</v>
      </c>
      <c r="O4" s="0" t="n">
        <f aca="false">Assumptions!$B$3*Assumptions!$B$4*(1-Assumptions!$B$5)^MAX(0,O$3-1)*(O$3&gt;=1)*(O$3&lt;=Assumptions!$B$12)</f>
        <v>78683.1513105578</v>
      </c>
      <c r="P4" s="0" t="n">
        <f aca="false">Assumptions!$B$3*Assumptions!$B$4*(1-Assumptions!$B$5)^MAX(0,P$3-1)*(P$3&gt;=1)*(P$3&lt;=Assumptions!$B$12)</f>
        <v>78368.4187053156</v>
      </c>
      <c r="Q4" s="0" t="n">
        <f aca="false">Assumptions!$B$3*Assumptions!$B$4*(1-Assumptions!$B$5)^MAX(0,Q$3-1)*(Q$3&gt;=1)*(Q$3&lt;=Assumptions!$B$12)</f>
        <v>78054.9450304943</v>
      </c>
      <c r="R4" s="0" t="n">
        <f aca="false">Assumptions!$B$3*Assumptions!$B$4*(1-Assumptions!$B$5)^MAX(0,R$3-1)*(R$3&gt;=1)*(R$3&lt;=Assumptions!$B$12)</f>
        <v>77742.7252503723</v>
      </c>
      <c r="S4" s="0" t="n">
        <f aca="false">Assumptions!$B$3*Assumptions!$B$4*(1-Assumptions!$B$5)^MAX(0,S$3-1)*(S$3&gt;=1)*(S$3&lt;=Assumptions!$B$12)</f>
        <v>77431.7543493708</v>
      </c>
      <c r="T4" s="0" t="n">
        <f aca="false">Assumptions!$B$3*Assumptions!$B$4*(1-Assumptions!$B$5)^MAX(0,T$3-1)*(T$3&gt;=1)*(T$3&lt;=Assumptions!$B$12)</f>
        <v>77122.0273319733</v>
      </c>
      <c r="U4" s="0" t="n">
        <f aca="false">Assumptions!$B$3*Assumptions!$B$4*(1-Assumptions!$B$5)^MAX(0,U$3-1)*(U$3&gt;=1)*(U$3&lt;=Assumptions!$B$12)</f>
        <v>76813.5392226454</v>
      </c>
      <c r="V4" s="0" t="n">
        <f aca="false">Assumptions!$B$3*Assumptions!$B$4*(1-Assumptions!$B$5)^MAX(0,V$3-1)*(V$3&gt;=1)*(V$3&lt;=Assumptions!$B$12)</f>
        <v>76506.2850657549</v>
      </c>
      <c r="W4" s="0" t="n">
        <f aca="false">Assumptions!$B$3*Assumptions!$B$4*(1-Assumptions!$B$5)^MAX(0,W$3-1)*(W$3&gt;=1)*(W$3&lt;=Assumptions!$B$12)</f>
        <v>76200.2599254918</v>
      </c>
      <c r="X4" s="0" t="n">
        <f aca="false">Assumptions!$B$3*Assumptions!$B$4*(1-Assumptions!$B$5)^MAX(0,X$3-1)*(X$3&gt;=1)*(X$3&lt;=Assumptions!$B$12)</f>
        <v>75895.4588857899</v>
      </c>
      <c r="Y4" s="0" t="n">
        <f aca="false">Assumptions!$B$3*Assumptions!$B$4*(1-Assumptions!$B$5)^MAX(0,Y$3-1)*(Y$3&gt;=1)*(Y$3&lt;=Assumptions!$B$12)</f>
        <v>75591.8770502467</v>
      </c>
      <c r="Z4" s="0" t="n">
        <f aca="false">Assumptions!$B$3*Assumptions!$B$4*(1-Assumptions!$B$5)^MAX(0,Z$3-1)*(Z$3&gt;=1)*(Z$3&lt;=Assumptions!$B$12)</f>
        <v>75289.5095420457</v>
      </c>
      <c r="AA4" s="0" t="n">
        <f aca="false">Assumptions!$B$3*Assumptions!$B$4*(1-Assumptions!$B$5)^MAX(0,AA$3-1)*(AA$3&gt;=1)*(AA$3&lt;=Assumptions!$B$12)</f>
        <v>74988.3515038775</v>
      </c>
      <c r="AB4" s="0" t="n">
        <f aca="false">Assumptions!$B$3*Assumptions!$B$4*(1-Assumptions!$B$5)^MAX(0,AB$3-1)*(AB$3&gt;=1)*(AB$3&lt;=Assumptions!$B$12)</f>
        <v>74688.398097862</v>
      </c>
      <c r="AC4" s="0" t="n">
        <f aca="false">Assumptions!$B$3*Assumptions!$B$4*(1-Assumptions!$B$5)^MAX(0,AC$3-1)*(AC$3&gt;=1)*(AC$3&lt;=Assumptions!$B$12)</f>
        <v>74389.6445054706</v>
      </c>
      <c r="AD4" s="0" t="n">
        <f aca="false">Assumptions!$B$3*Assumptions!$B$4*(1-Assumptions!$B$5)^MAX(0,AD$3-1)*(AD$3&gt;=1)*(AD$3&lt;=Assumptions!$B$12)</f>
        <v>74092.0859274487</v>
      </c>
      <c r="AE4" s="0" t="n">
        <f aca="false">Assumptions!$B$3*Assumptions!$B$4*(1-Assumptions!$B$5)^MAX(0,AE$3-1)*(AE$3&gt;=1)*(AE$3&lt;=Assumptions!$B$12)</f>
        <v>73795.7175837389</v>
      </c>
      <c r="AF4" s="0" t="n">
        <f aca="false">Assumptions!$B$3*Assumptions!$B$4*(1-Assumptions!$B$5)^MAX(0,AF$3-1)*(AF$3&gt;=1)*(AF$3&lt;=Assumptions!$B$12)</f>
        <v>73500.534713404</v>
      </c>
    </row>
    <row r="5" customFormat="false" ht="15" hidden="false" customHeight="false" outlineLevel="0" collapsed="false">
      <c r="A5" s="0" t="s">
        <v>17</v>
      </c>
      <c r="B5" s="1" t="n">
        <f aca="false">IF(B$3&lt;=Assumptions!$B$7,Assumptions!$B$6,Assumptions!$B$8)</f>
        <v>52</v>
      </c>
      <c r="C5" s="1" t="n">
        <f aca="false">IF(C$3&lt;=Assumptions!$B$7,Assumptions!$B$6,Assumptions!$B$8)</f>
        <v>52</v>
      </c>
      <c r="D5" s="1" t="n">
        <f aca="false">IF(D$3&lt;=Assumptions!$B$7,Assumptions!$B$6,Assumptions!$B$8)</f>
        <v>52</v>
      </c>
      <c r="E5" s="1" t="n">
        <f aca="false">IF(E$3&lt;=Assumptions!$B$7,Assumptions!$B$6,Assumptions!$B$8)</f>
        <v>52</v>
      </c>
      <c r="F5" s="1" t="n">
        <f aca="false">IF(F$3&lt;=Assumptions!$B$7,Assumptions!$B$6,Assumptions!$B$8)</f>
        <v>52</v>
      </c>
      <c r="G5" s="1" t="n">
        <f aca="false">IF(G$3&lt;=Assumptions!$B$7,Assumptions!$B$6,Assumptions!$B$8)</f>
        <v>52</v>
      </c>
      <c r="H5" s="1" t="n">
        <f aca="false">IF(H$3&lt;=Assumptions!$B$7,Assumptions!$B$6,Assumptions!$B$8)</f>
        <v>52</v>
      </c>
      <c r="I5" s="1" t="n">
        <f aca="false">IF(I$3&lt;=Assumptions!$B$7,Assumptions!$B$6,Assumptions!$B$8)</f>
        <v>52</v>
      </c>
      <c r="J5" s="1" t="n">
        <f aca="false">IF(J$3&lt;=Assumptions!$B$7,Assumptions!$B$6,Assumptions!$B$8)</f>
        <v>52</v>
      </c>
      <c r="K5" s="1" t="n">
        <f aca="false">IF(K$3&lt;=Assumptions!$B$7,Assumptions!$B$6,Assumptions!$B$8)</f>
        <v>52</v>
      </c>
      <c r="L5" s="1" t="n">
        <f aca="false">IF(L$3&lt;=Assumptions!$B$7,Assumptions!$B$6,Assumptions!$B$8)</f>
        <v>52</v>
      </c>
      <c r="M5" s="1" t="n">
        <f aca="false">IF(M$3&lt;=Assumptions!$B$7,Assumptions!$B$6,Assumptions!$B$8)</f>
        <v>52</v>
      </c>
      <c r="N5" s="1" t="n">
        <f aca="false">IF(N$3&lt;=Assumptions!$B$7,Assumptions!$B$6,Assumptions!$B$8)</f>
        <v>52</v>
      </c>
      <c r="O5" s="1" t="n">
        <f aca="false">IF(O$3&lt;=Assumptions!$B$7,Assumptions!$B$6,Assumptions!$B$8)</f>
        <v>44</v>
      </c>
      <c r="P5" s="1" t="n">
        <f aca="false">IF(P$3&lt;=Assumptions!$B$7,Assumptions!$B$6,Assumptions!$B$8)</f>
        <v>44</v>
      </c>
      <c r="Q5" s="1" t="n">
        <f aca="false">IF(Q$3&lt;=Assumptions!$B$7,Assumptions!$B$6,Assumptions!$B$8)</f>
        <v>44</v>
      </c>
      <c r="R5" s="1" t="n">
        <f aca="false">IF(R$3&lt;=Assumptions!$B$7,Assumptions!$B$6,Assumptions!$B$8)</f>
        <v>44</v>
      </c>
      <c r="S5" s="1" t="n">
        <f aca="false">IF(S$3&lt;=Assumptions!$B$7,Assumptions!$B$6,Assumptions!$B$8)</f>
        <v>44</v>
      </c>
      <c r="T5" s="1" t="n">
        <f aca="false">IF(T$3&lt;=Assumptions!$B$7,Assumptions!$B$6,Assumptions!$B$8)</f>
        <v>44</v>
      </c>
      <c r="U5" s="1" t="n">
        <f aca="false">IF(U$3&lt;=Assumptions!$B$7,Assumptions!$B$6,Assumptions!$B$8)</f>
        <v>44</v>
      </c>
      <c r="V5" s="1" t="n">
        <f aca="false">IF(V$3&lt;=Assumptions!$B$7,Assumptions!$B$6,Assumptions!$B$8)</f>
        <v>44</v>
      </c>
      <c r="W5" s="1" t="n">
        <f aca="false">IF(W$3&lt;=Assumptions!$B$7,Assumptions!$B$6,Assumptions!$B$8)</f>
        <v>44</v>
      </c>
      <c r="X5" s="1" t="n">
        <f aca="false">IF(X$3&lt;=Assumptions!$B$7,Assumptions!$B$6,Assumptions!$B$8)</f>
        <v>44</v>
      </c>
      <c r="Y5" s="1" t="n">
        <f aca="false">IF(Y$3&lt;=Assumptions!$B$7,Assumptions!$B$6,Assumptions!$B$8)</f>
        <v>44</v>
      </c>
      <c r="Z5" s="1" t="n">
        <f aca="false">IF(Z$3&lt;=Assumptions!$B$7,Assumptions!$B$6,Assumptions!$B$8)</f>
        <v>44</v>
      </c>
      <c r="AA5" s="1" t="n">
        <f aca="false">IF(AA$3&lt;=Assumptions!$B$7,Assumptions!$B$6,Assumptions!$B$8)</f>
        <v>44</v>
      </c>
      <c r="AB5" s="1" t="n">
        <f aca="false">IF(AB$3&lt;=Assumptions!$B$7,Assumptions!$B$6,Assumptions!$B$8)</f>
        <v>44</v>
      </c>
      <c r="AC5" s="1" t="n">
        <f aca="false">IF(AC$3&lt;=Assumptions!$B$7,Assumptions!$B$6,Assumptions!$B$8)</f>
        <v>44</v>
      </c>
      <c r="AD5" s="1" t="n">
        <f aca="false">IF(AD$3&lt;=Assumptions!$B$7,Assumptions!$B$6,Assumptions!$B$8)</f>
        <v>44</v>
      </c>
      <c r="AE5" s="1" t="n">
        <f aca="false">IF(AE$3&lt;=Assumptions!$B$7,Assumptions!$B$6,Assumptions!$B$8)</f>
        <v>44</v>
      </c>
      <c r="AF5" s="1" t="n">
        <f aca="false">IF(AF$3&lt;=Assumptions!$B$7,Assumptions!$B$6,Assumptions!$B$8)</f>
        <v>44</v>
      </c>
    </row>
    <row r="6" customFormat="false" ht="15" hidden="false" customHeight="false" outlineLevel="0" collapsed="false">
      <c r="A6" s="0" t="s">
        <v>18</v>
      </c>
      <c r="B6" s="0" t="n">
        <f aca="false">B4*B5</f>
        <v>0</v>
      </c>
      <c r="C6" s="0" t="n">
        <f aca="false">C4*C5</f>
        <v>4293120</v>
      </c>
      <c r="D6" s="0" t="n">
        <f aca="false">D4*D5</f>
        <v>4275947.52</v>
      </c>
      <c r="E6" s="0" t="n">
        <f aca="false">E4*E5</f>
        <v>4258843.72992</v>
      </c>
      <c r="F6" s="0" t="n">
        <f aca="false">F4*F5</f>
        <v>4241808.35500032</v>
      </c>
      <c r="G6" s="0" t="n">
        <f aca="false">G4*G5</f>
        <v>4224841.12158032</v>
      </c>
      <c r="H6" s="0" t="n">
        <f aca="false">H4*H5</f>
        <v>4207941.757094</v>
      </c>
      <c r="I6" s="0" t="n">
        <f aca="false">I4*I5</f>
        <v>4191109.99006562</v>
      </c>
      <c r="J6" s="0" t="n">
        <f aca="false">J4*J5</f>
        <v>4174345.55010536</v>
      </c>
      <c r="K6" s="0" t="n">
        <f aca="false">K4*K5</f>
        <v>4157648.16790494</v>
      </c>
      <c r="L6" s="0" t="n">
        <f aca="false">L4*L5</f>
        <v>4141017.57523332</v>
      </c>
      <c r="M6" s="0" t="n">
        <f aca="false">M4*M5</f>
        <v>4124453.50493238</v>
      </c>
      <c r="N6" s="0" t="n">
        <f aca="false">N4*N5</f>
        <v>4107955.69091266</v>
      </c>
      <c r="O6" s="0" t="n">
        <f aca="false">O4*O5</f>
        <v>3462058.65766454</v>
      </c>
      <c r="P6" s="0" t="n">
        <f aca="false">P4*P5</f>
        <v>3448210.42303388</v>
      </c>
      <c r="Q6" s="0" t="n">
        <f aca="false">Q4*Q5</f>
        <v>3434417.58134175</v>
      </c>
      <c r="R6" s="0" t="n">
        <f aca="false">R4*R5</f>
        <v>3420679.91101638</v>
      </c>
      <c r="S6" s="0" t="n">
        <f aca="false">S4*S5</f>
        <v>3406997.19137232</v>
      </c>
      <c r="T6" s="0" t="n">
        <f aca="false">T4*T5</f>
        <v>3393369.20260683</v>
      </c>
      <c r="U6" s="0" t="n">
        <f aca="false">U4*U5</f>
        <v>3379795.7257964</v>
      </c>
      <c r="V6" s="0" t="n">
        <f aca="false">V4*V5</f>
        <v>3366276.54289321</v>
      </c>
      <c r="W6" s="0" t="n">
        <f aca="false">W4*W5</f>
        <v>3352811.43672164</v>
      </c>
      <c r="X6" s="0" t="n">
        <f aca="false">X4*X5</f>
        <v>3339400.19097475</v>
      </c>
      <c r="Y6" s="0" t="n">
        <f aca="false">Y4*Y5</f>
        <v>3326042.59021086</v>
      </c>
      <c r="Z6" s="0" t="n">
        <f aca="false">Z4*Z5</f>
        <v>3312738.41985001</v>
      </c>
      <c r="AA6" s="0" t="n">
        <f aca="false">AA4*AA5</f>
        <v>3299487.46617061</v>
      </c>
      <c r="AB6" s="0" t="n">
        <f aca="false">AB4*AB5</f>
        <v>3286289.51630593</v>
      </c>
      <c r="AC6" s="0" t="n">
        <f aca="false">AC4*AC5</f>
        <v>3273144.35824071</v>
      </c>
      <c r="AD6" s="0" t="n">
        <f aca="false">AD4*AD5</f>
        <v>3260051.78080774</v>
      </c>
      <c r="AE6" s="0" t="n">
        <f aca="false">AE4*AE5</f>
        <v>3247011.57368451</v>
      </c>
      <c r="AF6" s="0" t="n">
        <f aca="false">AF4*AF5</f>
        <v>3234023.52738977</v>
      </c>
    </row>
    <row r="7" customFormat="false" ht="15" hidden="false" customHeight="false" outlineLevel="0" collapsed="false">
      <c r="A7" s="0" t="s">
        <v>19</v>
      </c>
      <c r="B7" s="0" t="n">
        <f aca="false">-Assumptions!$B$3*Assumptions!$B$10*1000*(1+Assumptions!$B$11)^MAX(0,B$3-1)*(B$3&gt;=1)*(B$3&lt;=Assumptions!$B$12)</f>
        <v>-0</v>
      </c>
      <c r="C7" s="0" t="n">
        <f aca="false">-Assumptions!$B$3*Assumptions!$B$10*1000*(1+Assumptions!$B$11)^MAX(0,C$3-1)*(C$3&gt;=1)*(C$3&lt;=Assumptions!$B$12)</f>
        <v>-648000</v>
      </c>
      <c r="D7" s="0" t="n">
        <f aca="false">-Assumptions!$B$3*Assumptions!$B$10*1000*(1+Assumptions!$B$11)^MAX(0,D$3-1)*(D$3&gt;=1)*(D$3&lt;=Assumptions!$B$12)</f>
        <v>-660960</v>
      </c>
      <c r="E7" s="0" t="n">
        <f aca="false">-Assumptions!$B$3*Assumptions!$B$10*1000*(1+Assumptions!$B$11)^MAX(0,E$3-1)*(E$3&gt;=1)*(E$3&lt;=Assumptions!$B$12)</f>
        <v>-674179.2</v>
      </c>
      <c r="F7" s="0" t="n">
        <f aca="false">-Assumptions!$B$3*Assumptions!$B$10*1000*(1+Assumptions!$B$11)^MAX(0,F$3-1)*(F$3&gt;=1)*(F$3&lt;=Assumptions!$B$12)</f>
        <v>-687662.784</v>
      </c>
      <c r="G7" s="0" t="n">
        <f aca="false">-Assumptions!$B$3*Assumptions!$B$10*1000*(1+Assumptions!$B$11)^MAX(0,G$3-1)*(G$3&gt;=1)*(G$3&lt;=Assumptions!$B$12)</f>
        <v>-701416.03968</v>
      </c>
      <c r="H7" s="0" t="n">
        <f aca="false">-Assumptions!$B$3*Assumptions!$B$10*1000*(1+Assumptions!$B$11)^MAX(0,H$3-1)*(H$3&gt;=1)*(H$3&lt;=Assumptions!$B$12)</f>
        <v>-715444.3604736</v>
      </c>
      <c r="I7" s="0" t="n">
        <f aca="false">-Assumptions!$B$3*Assumptions!$B$10*1000*(1+Assumptions!$B$11)^MAX(0,I$3-1)*(I$3&gt;=1)*(I$3&lt;=Assumptions!$B$12)</f>
        <v>-729753.247683072</v>
      </c>
      <c r="J7" s="0" t="n">
        <f aca="false">-Assumptions!$B$3*Assumptions!$B$10*1000*(1+Assumptions!$B$11)^MAX(0,J$3-1)*(J$3&gt;=1)*(J$3&lt;=Assumptions!$B$12)</f>
        <v>-744348.312636734</v>
      </c>
      <c r="K7" s="0" t="n">
        <f aca="false">-Assumptions!$B$3*Assumptions!$B$10*1000*(1+Assumptions!$B$11)^MAX(0,K$3-1)*(K$3&gt;=1)*(K$3&lt;=Assumptions!$B$12)</f>
        <v>-759235.278889468</v>
      </c>
      <c r="L7" s="0" t="n">
        <f aca="false">-Assumptions!$B$3*Assumptions!$B$10*1000*(1+Assumptions!$B$11)^MAX(0,L$3-1)*(L$3&gt;=1)*(L$3&lt;=Assumptions!$B$12)</f>
        <v>-774419.984467258</v>
      </c>
      <c r="M7" s="0" t="n">
        <f aca="false">-Assumptions!$B$3*Assumptions!$B$10*1000*(1+Assumptions!$B$11)^MAX(0,M$3-1)*(M$3&gt;=1)*(M$3&lt;=Assumptions!$B$12)</f>
        <v>-789908.384156603</v>
      </c>
      <c r="N7" s="0" t="n">
        <f aca="false">-Assumptions!$B$3*Assumptions!$B$10*1000*(1+Assumptions!$B$11)^MAX(0,N$3-1)*(N$3&gt;=1)*(N$3&lt;=Assumptions!$B$12)</f>
        <v>-805706.551839735</v>
      </c>
      <c r="O7" s="0" t="n">
        <f aca="false">-Assumptions!$B$3*Assumptions!$B$10*1000*(1+Assumptions!$B$11)^MAX(0,O$3-1)*(O$3&gt;=1)*(O$3&lt;=Assumptions!$B$12)</f>
        <v>-821820.68287653</v>
      </c>
      <c r="P7" s="0" t="n">
        <f aca="false">-Assumptions!$B$3*Assumptions!$B$10*1000*(1+Assumptions!$B$11)^MAX(0,P$3-1)*(P$3&gt;=1)*(P$3&lt;=Assumptions!$B$12)</f>
        <v>-838257.09653406</v>
      </c>
      <c r="Q7" s="0" t="n">
        <f aca="false">-Assumptions!$B$3*Assumptions!$B$10*1000*(1+Assumptions!$B$11)^MAX(0,Q$3-1)*(Q$3&gt;=1)*(Q$3&lt;=Assumptions!$B$12)</f>
        <v>-855022.238464741</v>
      </c>
      <c r="R7" s="0" t="n">
        <f aca="false">-Assumptions!$B$3*Assumptions!$B$10*1000*(1+Assumptions!$B$11)^MAX(0,R$3-1)*(R$3&gt;=1)*(R$3&lt;=Assumptions!$B$12)</f>
        <v>-872122.683234036</v>
      </c>
      <c r="S7" s="0" t="n">
        <f aca="false">-Assumptions!$B$3*Assumptions!$B$10*1000*(1+Assumptions!$B$11)^MAX(0,S$3-1)*(S$3&gt;=1)*(S$3&lt;=Assumptions!$B$12)</f>
        <v>-889565.136898717</v>
      </c>
      <c r="T7" s="0" t="n">
        <f aca="false">-Assumptions!$B$3*Assumptions!$B$10*1000*(1+Assumptions!$B$11)^MAX(0,T$3-1)*(T$3&gt;=1)*(T$3&lt;=Assumptions!$B$12)</f>
        <v>-907356.439636691</v>
      </c>
      <c r="U7" s="0" t="n">
        <f aca="false">-Assumptions!$B$3*Assumptions!$B$10*1000*(1+Assumptions!$B$11)^MAX(0,U$3-1)*(U$3&gt;=1)*(U$3&lt;=Assumptions!$B$12)</f>
        <v>-925503.568429425</v>
      </c>
      <c r="V7" s="0" t="n">
        <f aca="false">-Assumptions!$B$3*Assumptions!$B$10*1000*(1+Assumptions!$B$11)^MAX(0,V$3-1)*(V$3&gt;=1)*(V$3&lt;=Assumptions!$B$12)</f>
        <v>-944013.639798014</v>
      </c>
      <c r="W7" s="0" t="n">
        <f aca="false">-Assumptions!$B$3*Assumptions!$B$10*1000*(1+Assumptions!$B$11)^MAX(0,W$3-1)*(W$3&gt;=1)*(W$3&lt;=Assumptions!$B$12)</f>
        <v>-962893.912593974</v>
      </c>
      <c r="X7" s="0" t="n">
        <f aca="false">-Assumptions!$B$3*Assumptions!$B$10*1000*(1+Assumptions!$B$11)^MAX(0,X$3-1)*(X$3&gt;=1)*(X$3&lt;=Assumptions!$B$12)</f>
        <v>-982151.790845853</v>
      </c>
      <c r="Y7" s="0" t="n">
        <f aca="false">-Assumptions!$B$3*Assumptions!$B$10*1000*(1+Assumptions!$B$11)^MAX(0,Y$3-1)*(Y$3&gt;=1)*(Y$3&lt;=Assumptions!$B$12)</f>
        <v>-1001794.82666277</v>
      </c>
      <c r="Z7" s="0" t="n">
        <f aca="false">-Assumptions!$B$3*Assumptions!$B$10*1000*(1+Assumptions!$B$11)^MAX(0,Z$3-1)*(Z$3&gt;=1)*(Z$3&lt;=Assumptions!$B$12)</f>
        <v>-1021830.72319603</v>
      </c>
      <c r="AA7" s="0" t="n">
        <f aca="false">-Assumptions!$B$3*Assumptions!$B$10*1000*(1+Assumptions!$B$11)^MAX(0,AA$3-1)*(AA$3&gt;=1)*(AA$3&lt;=Assumptions!$B$12)</f>
        <v>-1042267.33765995</v>
      </c>
      <c r="AB7" s="0" t="n">
        <f aca="false">-Assumptions!$B$3*Assumptions!$B$10*1000*(1+Assumptions!$B$11)^MAX(0,AB$3-1)*(AB$3&gt;=1)*(AB$3&lt;=Assumptions!$B$12)</f>
        <v>-1063112.68441315</v>
      </c>
      <c r="AC7" s="0" t="n">
        <f aca="false">-Assumptions!$B$3*Assumptions!$B$10*1000*(1+Assumptions!$B$11)^MAX(0,AC$3-1)*(AC$3&gt;=1)*(AC$3&lt;=Assumptions!$B$12)</f>
        <v>-1084374.93810141</v>
      </c>
      <c r="AD7" s="0" t="n">
        <f aca="false">-Assumptions!$B$3*Assumptions!$B$10*1000*(1+Assumptions!$B$11)^MAX(0,AD$3-1)*(AD$3&gt;=1)*(AD$3&lt;=Assumptions!$B$12)</f>
        <v>-1106062.43686344</v>
      </c>
      <c r="AE7" s="0" t="n">
        <f aca="false">-Assumptions!$B$3*Assumptions!$B$10*1000*(1+Assumptions!$B$11)^MAX(0,AE$3-1)*(AE$3&gt;=1)*(AE$3&lt;=Assumptions!$B$12)</f>
        <v>-1128183.68560071</v>
      </c>
      <c r="AF7" s="0" t="n">
        <f aca="false">-Assumptions!$B$3*Assumptions!$B$10*1000*(1+Assumptions!$B$11)^MAX(0,AF$3-1)*(AF$3&gt;=1)*(AF$3&lt;=Assumptions!$B$12)</f>
        <v>-1150747.35931272</v>
      </c>
    </row>
    <row r="8" customFormat="false" ht="15" hidden="false" customHeight="false" outlineLevel="0" collapsed="false">
      <c r="A8" s="0" t="s">
        <v>20</v>
      </c>
      <c r="B8" s="0" t="n">
        <f aca="false">B6+B7</f>
        <v>0</v>
      </c>
      <c r="C8" s="0" t="n">
        <f aca="false">C6+C7</f>
        <v>3645120</v>
      </c>
      <c r="D8" s="0" t="n">
        <f aca="false">D6+D7</f>
        <v>3614987.52</v>
      </c>
      <c r="E8" s="0" t="n">
        <f aca="false">E6+E7</f>
        <v>3584664.52992</v>
      </c>
      <c r="F8" s="0" t="n">
        <f aca="false">F6+F7</f>
        <v>3554145.57100032</v>
      </c>
      <c r="G8" s="0" t="n">
        <f aca="false">G6+G7</f>
        <v>3523425.08190032</v>
      </c>
      <c r="H8" s="0" t="n">
        <f aca="false">H6+H7</f>
        <v>3492497.3966204</v>
      </c>
      <c r="I8" s="0" t="n">
        <f aca="false">I6+I7</f>
        <v>3461356.74238255</v>
      </c>
      <c r="J8" s="0" t="n">
        <f aca="false">J6+J7</f>
        <v>3429997.23746863</v>
      </c>
      <c r="K8" s="0" t="n">
        <f aca="false">K6+K7</f>
        <v>3398412.88901547</v>
      </c>
      <c r="L8" s="0" t="n">
        <f aca="false">L6+L7</f>
        <v>3366597.59076606</v>
      </c>
      <c r="M8" s="0" t="n">
        <f aca="false">M6+M7</f>
        <v>3334545.12077578</v>
      </c>
      <c r="N8" s="0" t="n">
        <f aca="false">N6+N7</f>
        <v>3302249.13907292</v>
      </c>
      <c r="O8" s="0" t="n">
        <f aca="false">O6+O7</f>
        <v>2640237.97478801</v>
      </c>
      <c r="P8" s="0" t="n">
        <f aca="false">P6+P7</f>
        <v>2609953.32649982</v>
      </c>
      <c r="Q8" s="0" t="n">
        <f aca="false">Q6+Q7</f>
        <v>2579395.34287701</v>
      </c>
      <c r="R8" s="0" t="n">
        <f aca="false">R6+R7</f>
        <v>2548557.22778235</v>
      </c>
      <c r="S8" s="0" t="n">
        <f aca="false">S6+S7</f>
        <v>2517432.0544736</v>
      </c>
      <c r="T8" s="0" t="n">
        <f aca="false">T6+T7</f>
        <v>2486012.76297013</v>
      </c>
      <c r="U8" s="0" t="n">
        <f aca="false">U6+U7</f>
        <v>2454292.15736697</v>
      </c>
      <c r="V8" s="0" t="n">
        <f aca="false">V6+V7</f>
        <v>2422262.9030952</v>
      </c>
      <c r="W8" s="0" t="n">
        <f aca="false">W6+W7</f>
        <v>2389917.52412767</v>
      </c>
      <c r="X8" s="0" t="n">
        <f aca="false">X6+X7</f>
        <v>2357248.4001289</v>
      </c>
      <c r="Y8" s="0" t="n">
        <f aca="false">Y6+Y7</f>
        <v>2324247.76354808</v>
      </c>
      <c r="Z8" s="0" t="n">
        <f aca="false">Z6+Z7</f>
        <v>2290907.69665399</v>
      </c>
      <c r="AA8" s="0" t="n">
        <f aca="false">AA6+AA7</f>
        <v>2257220.12851067</v>
      </c>
      <c r="AB8" s="0" t="n">
        <f aca="false">AB6+AB7</f>
        <v>2223176.83189278</v>
      </c>
      <c r="AC8" s="0" t="n">
        <f aca="false">AC6+AC7</f>
        <v>2188769.4201393</v>
      </c>
      <c r="AD8" s="0" t="n">
        <f aca="false">AD6+AD7</f>
        <v>2153989.34394431</v>
      </c>
      <c r="AE8" s="0" t="n">
        <f aca="false">AE6+AE7</f>
        <v>2118827.88808381</v>
      </c>
      <c r="AF8" s="0" t="n">
        <f aca="false">AF6+AF7</f>
        <v>2083276.16807705</v>
      </c>
    </row>
    <row r="9" customFormat="false" ht="15" hidden="false" customHeight="false" outlineLevel="0" collapsed="false">
      <c r="A9" s="0" t="s">
        <v>21</v>
      </c>
      <c r="B9" s="0" t="n">
        <f aca="false">IF(B$3=0,-Assumptions!$B$3*Assumptions!$B$9*1000000,0)</f>
        <v>-29760000</v>
      </c>
      <c r="C9" s="0" t="n">
        <f aca="false">IF(C$3=0,-Assumptions!$B$3*Assumptions!$B$9*1000000,0)</f>
        <v>0</v>
      </c>
      <c r="D9" s="0" t="n">
        <f aca="false">IF(D$3=0,-Assumptions!$B$3*Assumptions!$B$9*1000000,0)</f>
        <v>0</v>
      </c>
      <c r="E9" s="0" t="n">
        <f aca="false">IF(E$3=0,-Assumptions!$B$3*Assumptions!$B$9*1000000,0)</f>
        <v>0</v>
      </c>
      <c r="F9" s="0" t="n">
        <f aca="false">IF(F$3=0,-Assumptions!$B$3*Assumptions!$B$9*1000000,0)</f>
        <v>0</v>
      </c>
      <c r="G9" s="0" t="n">
        <f aca="false">IF(G$3=0,-Assumptions!$B$3*Assumptions!$B$9*1000000,0)</f>
        <v>0</v>
      </c>
      <c r="H9" s="0" t="n">
        <f aca="false">IF(H$3=0,-Assumptions!$B$3*Assumptions!$B$9*1000000,0)</f>
        <v>0</v>
      </c>
      <c r="I9" s="0" t="n">
        <f aca="false">IF(I$3=0,-Assumptions!$B$3*Assumptions!$B$9*1000000,0)</f>
        <v>0</v>
      </c>
      <c r="J9" s="0" t="n">
        <f aca="false">IF(J$3=0,-Assumptions!$B$3*Assumptions!$B$9*1000000,0)</f>
        <v>0</v>
      </c>
      <c r="K9" s="0" t="n">
        <f aca="false">IF(K$3=0,-Assumptions!$B$3*Assumptions!$B$9*1000000,0)</f>
        <v>0</v>
      </c>
      <c r="L9" s="0" t="n">
        <f aca="false">IF(L$3=0,-Assumptions!$B$3*Assumptions!$B$9*1000000,0)</f>
        <v>0</v>
      </c>
      <c r="M9" s="0" t="n">
        <f aca="false">IF(M$3=0,-Assumptions!$B$3*Assumptions!$B$9*1000000,0)</f>
        <v>0</v>
      </c>
      <c r="N9" s="0" t="n">
        <f aca="false">IF(N$3=0,-Assumptions!$B$3*Assumptions!$B$9*1000000,0)</f>
        <v>0</v>
      </c>
      <c r="O9" s="0" t="n">
        <f aca="false">IF(O$3=0,-Assumptions!$B$3*Assumptions!$B$9*1000000,0)</f>
        <v>0</v>
      </c>
      <c r="P9" s="0" t="n">
        <f aca="false">IF(P$3=0,-Assumptions!$B$3*Assumptions!$B$9*1000000,0)</f>
        <v>0</v>
      </c>
      <c r="Q9" s="0" t="n">
        <f aca="false">IF(Q$3=0,-Assumptions!$B$3*Assumptions!$B$9*1000000,0)</f>
        <v>0</v>
      </c>
      <c r="R9" s="0" t="n">
        <f aca="false">IF(R$3=0,-Assumptions!$B$3*Assumptions!$B$9*1000000,0)</f>
        <v>0</v>
      </c>
      <c r="S9" s="0" t="n">
        <f aca="false">IF(S$3=0,-Assumptions!$B$3*Assumptions!$B$9*1000000,0)</f>
        <v>0</v>
      </c>
      <c r="T9" s="0" t="n">
        <f aca="false">IF(T$3=0,-Assumptions!$B$3*Assumptions!$B$9*1000000,0)</f>
        <v>0</v>
      </c>
      <c r="U9" s="0" t="n">
        <f aca="false">IF(U$3=0,-Assumptions!$B$3*Assumptions!$B$9*1000000,0)</f>
        <v>0</v>
      </c>
      <c r="V9" s="0" t="n">
        <f aca="false">IF(V$3=0,-Assumptions!$B$3*Assumptions!$B$9*1000000,0)</f>
        <v>0</v>
      </c>
      <c r="W9" s="0" t="n">
        <f aca="false">IF(W$3=0,-Assumptions!$B$3*Assumptions!$B$9*1000000,0)</f>
        <v>0</v>
      </c>
      <c r="X9" s="0" t="n">
        <f aca="false">IF(X$3=0,-Assumptions!$B$3*Assumptions!$B$9*1000000,0)</f>
        <v>0</v>
      </c>
      <c r="Y9" s="0" t="n">
        <f aca="false">IF(Y$3=0,-Assumptions!$B$3*Assumptions!$B$9*1000000,0)</f>
        <v>0</v>
      </c>
      <c r="Z9" s="0" t="n">
        <f aca="false">IF(Z$3=0,-Assumptions!$B$3*Assumptions!$B$9*1000000,0)</f>
        <v>0</v>
      </c>
      <c r="AA9" s="0" t="n">
        <f aca="false">IF(AA$3=0,-Assumptions!$B$3*Assumptions!$B$9*1000000,0)</f>
        <v>0</v>
      </c>
      <c r="AB9" s="0" t="n">
        <f aca="false">IF(AB$3=0,-Assumptions!$B$3*Assumptions!$B$9*1000000,0)</f>
        <v>0</v>
      </c>
      <c r="AC9" s="0" t="n">
        <f aca="false">IF(AC$3=0,-Assumptions!$B$3*Assumptions!$B$9*1000000,0)</f>
        <v>0</v>
      </c>
      <c r="AD9" s="0" t="n">
        <f aca="false">IF(AD$3=0,-Assumptions!$B$3*Assumptions!$B$9*1000000,0)</f>
        <v>0</v>
      </c>
      <c r="AE9" s="0" t="n">
        <f aca="false">IF(AE$3=0,-Assumptions!$B$3*Assumptions!$B$9*1000000,0)</f>
        <v>0</v>
      </c>
      <c r="AF9" s="0" t="n">
        <f aca="false">IF(AF$3=0,-Assumptions!$B$3*Assumptions!$B$9*1000000,0)</f>
        <v>0</v>
      </c>
    </row>
    <row r="10" customFormat="false" ht="15" hidden="false" customHeight="false" outlineLevel="0" collapsed="false">
      <c r="A10" s="0" t="s">
        <v>22</v>
      </c>
      <c r="B10" s="0" t="n">
        <f aca="false">IF(AND(B$3&gt;=1,B$3&lt;=Assumptions!$B$15),PMT(Assumptions!$B$14,Assumptions!$B$15,Assumptions!$B$3*Assumptions!$B$9*1000000*Assumptions!$B$13),0)</f>
        <v>0</v>
      </c>
      <c r="C10" s="6" t="n">
        <f aca="false">IF(AND(C$3&gt;=1,C$3&lt;=Assumptions!$B$15),PMT(Assumptions!$B$14,Assumptions!$B$15,Assumptions!$B$3*Assumptions!$B$9*1000000*Assumptions!$B$13),0)</f>
        <v>-1810051.96331991</v>
      </c>
      <c r="D10" s="6" t="n">
        <f aca="false">IF(AND(D$3&gt;=1,D$3&lt;=Assumptions!$B$15),PMT(Assumptions!$B$14,Assumptions!$B$15,Assumptions!$B$3*Assumptions!$B$9*1000000*Assumptions!$B$13),0)</f>
        <v>-1810051.96331991</v>
      </c>
      <c r="E10" s="6" t="n">
        <f aca="false">IF(AND(E$3&gt;=1,E$3&lt;=Assumptions!$B$15),PMT(Assumptions!$B$14,Assumptions!$B$15,Assumptions!$B$3*Assumptions!$B$9*1000000*Assumptions!$B$13),0)</f>
        <v>-1810051.96331991</v>
      </c>
      <c r="F10" s="6" t="n">
        <f aca="false">IF(AND(F$3&gt;=1,F$3&lt;=Assumptions!$B$15),PMT(Assumptions!$B$14,Assumptions!$B$15,Assumptions!$B$3*Assumptions!$B$9*1000000*Assumptions!$B$13),0)</f>
        <v>-1810051.96331991</v>
      </c>
      <c r="G10" s="6" t="n">
        <f aca="false">IF(AND(G$3&gt;=1,G$3&lt;=Assumptions!$B$15),PMT(Assumptions!$B$14,Assumptions!$B$15,Assumptions!$B$3*Assumptions!$B$9*1000000*Assumptions!$B$13),0)</f>
        <v>-1810051.96331991</v>
      </c>
      <c r="H10" s="6" t="n">
        <f aca="false">IF(AND(H$3&gt;=1,H$3&lt;=Assumptions!$B$15),PMT(Assumptions!$B$14,Assumptions!$B$15,Assumptions!$B$3*Assumptions!$B$9*1000000*Assumptions!$B$13),0)</f>
        <v>-1810051.96331991</v>
      </c>
      <c r="I10" s="6" t="n">
        <f aca="false">IF(AND(I$3&gt;=1,I$3&lt;=Assumptions!$B$15),PMT(Assumptions!$B$14,Assumptions!$B$15,Assumptions!$B$3*Assumptions!$B$9*1000000*Assumptions!$B$13),0)</f>
        <v>-1810051.96331991</v>
      </c>
      <c r="J10" s="6" t="n">
        <f aca="false">IF(AND(J$3&gt;=1,J$3&lt;=Assumptions!$B$15),PMT(Assumptions!$B$14,Assumptions!$B$15,Assumptions!$B$3*Assumptions!$B$9*1000000*Assumptions!$B$13),0)</f>
        <v>-1810051.96331991</v>
      </c>
      <c r="K10" s="6" t="n">
        <f aca="false">IF(AND(K$3&gt;=1,K$3&lt;=Assumptions!$B$15),PMT(Assumptions!$B$14,Assumptions!$B$15,Assumptions!$B$3*Assumptions!$B$9*1000000*Assumptions!$B$13),0)</f>
        <v>-1810051.96331991</v>
      </c>
      <c r="L10" s="6" t="n">
        <f aca="false">IF(AND(L$3&gt;=1,L$3&lt;=Assumptions!$B$15),PMT(Assumptions!$B$14,Assumptions!$B$15,Assumptions!$B$3*Assumptions!$B$9*1000000*Assumptions!$B$13),0)</f>
        <v>-1810051.96331991</v>
      </c>
      <c r="M10" s="6" t="n">
        <f aca="false">IF(AND(M$3&gt;=1,M$3&lt;=Assumptions!$B$15),PMT(Assumptions!$B$14,Assumptions!$B$15,Assumptions!$B$3*Assumptions!$B$9*1000000*Assumptions!$B$13),0)</f>
        <v>-1810051.96331991</v>
      </c>
      <c r="N10" s="6" t="n">
        <f aca="false">IF(AND(N$3&gt;=1,N$3&lt;=Assumptions!$B$15),PMT(Assumptions!$B$14,Assumptions!$B$15,Assumptions!$B$3*Assumptions!$B$9*1000000*Assumptions!$B$13),0)</f>
        <v>-1810051.96331991</v>
      </c>
      <c r="O10" s="6" t="n">
        <f aca="false">IF(AND(O$3&gt;=1,O$3&lt;=Assumptions!$B$15),PMT(Assumptions!$B$14,Assumptions!$B$15,Assumptions!$B$3*Assumptions!$B$9*1000000*Assumptions!$B$13),0)</f>
        <v>-1810051.96331991</v>
      </c>
      <c r="P10" s="6" t="n">
        <f aca="false">IF(AND(P$3&gt;=1,P$3&lt;=Assumptions!$B$15),PMT(Assumptions!$B$14,Assumptions!$B$15,Assumptions!$B$3*Assumptions!$B$9*1000000*Assumptions!$B$13),0)</f>
        <v>-1810051.96331991</v>
      </c>
      <c r="Q10" s="6" t="n">
        <f aca="false">IF(AND(Q$3&gt;=1,Q$3&lt;=Assumptions!$B$15),PMT(Assumptions!$B$14,Assumptions!$B$15,Assumptions!$B$3*Assumptions!$B$9*1000000*Assumptions!$B$13),0)</f>
        <v>-1810051.96331991</v>
      </c>
      <c r="R10" s="6" t="n">
        <f aca="false">IF(AND(R$3&gt;=1,R$3&lt;=Assumptions!$B$15),PMT(Assumptions!$B$14,Assumptions!$B$15,Assumptions!$B$3*Assumptions!$B$9*1000000*Assumptions!$B$13),0)</f>
        <v>-1810051.96331991</v>
      </c>
      <c r="S10" s="6" t="n">
        <f aca="false">IF(AND(S$3&gt;=1,S$3&lt;=Assumptions!$B$15),PMT(Assumptions!$B$14,Assumptions!$B$15,Assumptions!$B$3*Assumptions!$B$9*1000000*Assumptions!$B$13),0)</f>
        <v>-1810051.96331991</v>
      </c>
      <c r="T10" s="6" t="n">
        <f aca="false">IF(AND(T$3&gt;=1,T$3&lt;=Assumptions!$B$15),PMT(Assumptions!$B$14,Assumptions!$B$15,Assumptions!$B$3*Assumptions!$B$9*1000000*Assumptions!$B$13),0)</f>
        <v>-1810051.96331991</v>
      </c>
      <c r="U10" s="0" t="n">
        <f aca="false">IF(AND(U$3&gt;=1,U$3&lt;=Assumptions!$B$15),PMT(Assumptions!$B$14,Assumptions!$B$15,Assumptions!$B$3*Assumptions!$B$9*1000000*Assumptions!$B$13),0)</f>
        <v>0</v>
      </c>
      <c r="V10" s="0" t="n">
        <f aca="false">IF(AND(V$3&gt;=1,V$3&lt;=Assumptions!$B$15),PMT(Assumptions!$B$14,Assumptions!$B$15,Assumptions!$B$3*Assumptions!$B$9*1000000*Assumptions!$B$13),0)</f>
        <v>0</v>
      </c>
      <c r="W10" s="0" t="n">
        <f aca="false">IF(AND(W$3&gt;=1,W$3&lt;=Assumptions!$B$15),PMT(Assumptions!$B$14,Assumptions!$B$15,Assumptions!$B$3*Assumptions!$B$9*1000000*Assumptions!$B$13),0)</f>
        <v>0</v>
      </c>
      <c r="X10" s="0" t="n">
        <f aca="false">IF(AND(X$3&gt;=1,X$3&lt;=Assumptions!$B$15),PMT(Assumptions!$B$14,Assumptions!$B$15,Assumptions!$B$3*Assumptions!$B$9*1000000*Assumptions!$B$13),0)</f>
        <v>0</v>
      </c>
      <c r="Y10" s="0" t="n">
        <f aca="false">IF(AND(Y$3&gt;=1,Y$3&lt;=Assumptions!$B$15),PMT(Assumptions!$B$14,Assumptions!$B$15,Assumptions!$B$3*Assumptions!$B$9*1000000*Assumptions!$B$13),0)</f>
        <v>0</v>
      </c>
      <c r="Z10" s="0" t="n">
        <f aca="false">IF(AND(Z$3&gt;=1,Z$3&lt;=Assumptions!$B$15),PMT(Assumptions!$B$14,Assumptions!$B$15,Assumptions!$B$3*Assumptions!$B$9*1000000*Assumptions!$B$13),0)</f>
        <v>0</v>
      </c>
      <c r="AA10" s="0" t="n">
        <f aca="false">IF(AND(AA$3&gt;=1,AA$3&lt;=Assumptions!$B$15),PMT(Assumptions!$B$14,Assumptions!$B$15,Assumptions!$B$3*Assumptions!$B$9*1000000*Assumptions!$B$13),0)</f>
        <v>0</v>
      </c>
      <c r="AB10" s="0" t="n">
        <f aca="false">IF(AND(AB$3&gt;=1,AB$3&lt;=Assumptions!$B$15),PMT(Assumptions!$B$14,Assumptions!$B$15,Assumptions!$B$3*Assumptions!$B$9*1000000*Assumptions!$B$13),0)</f>
        <v>0</v>
      </c>
      <c r="AC10" s="0" t="n">
        <f aca="false">IF(AND(AC$3&gt;=1,AC$3&lt;=Assumptions!$B$15),PMT(Assumptions!$B$14,Assumptions!$B$15,Assumptions!$B$3*Assumptions!$B$9*1000000*Assumptions!$B$13),0)</f>
        <v>0</v>
      </c>
      <c r="AD10" s="0" t="n">
        <f aca="false">IF(AND(AD$3&gt;=1,AD$3&lt;=Assumptions!$B$15),PMT(Assumptions!$B$14,Assumptions!$B$15,Assumptions!$B$3*Assumptions!$B$9*1000000*Assumptions!$B$13),0)</f>
        <v>0</v>
      </c>
      <c r="AE10" s="0" t="n">
        <f aca="false">IF(AND(AE$3&gt;=1,AE$3&lt;=Assumptions!$B$15),PMT(Assumptions!$B$14,Assumptions!$B$15,Assumptions!$B$3*Assumptions!$B$9*1000000*Assumptions!$B$13),0)</f>
        <v>0</v>
      </c>
      <c r="AF10" s="0" t="n">
        <f aca="false">IF(AND(AF$3&gt;=1,AF$3&lt;=Assumptions!$B$15),PMT(Assumptions!$B$14,Assumptions!$B$15,Assumptions!$B$3*Assumptions!$B$9*1000000*Assumptions!$B$13),0)</f>
        <v>0</v>
      </c>
    </row>
    <row r="11" customFormat="false" ht="15" hidden="false" customHeight="false" outlineLevel="0" collapsed="false">
      <c r="A11" s="0" t="s">
        <v>23</v>
      </c>
      <c r="B11" s="0" t="n">
        <f aca="false">-MAX(0,B8-Assumptions!$B$3*Assumptions!$B$9*1000000/Assumptions!$B$12*(B$3&gt;=1)*(B$3&lt;=Assumptions!$B$12))*Assumptions!$B$16</f>
        <v>-0</v>
      </c>
      <c r="C11" s="0" t="n">
        <f aca="false">-MAX(0,C8-Assumptions!$B$3*Assumptions!$B$9*1000000/Assumptions!$B$12*(C$3&gt;=1)*(C$3&lt;=Assumptions!$B$12))*Assumptions!$B$16</f>
        <v>-663280</v>
      </c>
      <c r="D11" s="0" t="n">
        <f aca="false">-MAX(0,D8-Assumptions!$B$3*Assumptions!$B$9*1000000/Assumptions!$B$12*(D$3&gt;=1)*(D$3&lt;=Assumptions!$B$12))*Assumptions!$B$16</f>
        <v>-655746.88</v>
      </c>
      <c r="E11" s="0" t="n">
        <f aca="false">-MAX(0,E8-Assumptions!$B$3*Assumptions!$B$9*1000000/Assumptions!$B$12*(E$3&gt;=1)*(E$3&lt;=Assumptions!$B$12))*Assumptions!$B$16</f>
        <v>-648166.13248</v>
      </c>
      <c r="F11" s="0" t="n">
        <f aca="false">-MAX(0,F8-Assumptions!$B$3*Assumptions!$B$9*1000000/Assumptions!$B$12*(F$3&gt;=1)*(F$3&lt;=Assumptions!$B$12))*Assumptions!$B$16</f>
        <v>-640536.39275008</v>
      </c>
      <c r="G11" s="0" t="n">
        <f aca="false">-MAX(0,G8-Assumptions!$B$3*Assumptions!$B$9*1000000/Assumptions!$B$12*(G$3&gt;=1)*(G$3&lt;=Assumptions!$B$12))*Assumptions!$B$16</f>
        <v>-632856.27047508</v>
      </c>
      <c r="H11" s="0" t="n">
        <f aca="false">-MAX(0,H8-Assumptions!$B$3*Assumptions!$B$9*1000000/Assumptions!$B$12*(H$3&gt;=1)*(H$3&lt;=Assumptions!$B$12))*Assumptions!$B$16</f>
        <v>-625124.349155099</v>
      </c>
      <c r="I11" s="0" t="n">
        <f aca="false">-MAX(0,I8-Assumptions!$B$3*Assumptions!$B$9*1000000/Assumptions!$B$12*(I$3&gt;=1)*(I$3&lt;=Assumptions!$B$12))*Assumptions!$B$16</f>
        <v>-617339.185595638</v>
      </c>
      <c r="J11" s="0" t="n">
        <f aca="false">-MAX(0,J8-Assumptions!$B$3*Assumptions!$B$9*1000000/Assumptions!$B$12*(J$3&gt;=1)*(J$3&lt;=Assumptions!$B$12))*Assumptions!$B$16</f>
        <v>-609499.309367156</v>
      </c>
      <c r="K11" s="0" t="n">
        <f aca="false">-MAX(0,K8-Assumptions!$B$3*Assumptions!$B$9*1000000/Assumptions!$B$12*(K$3&gt;=1)*(K$3&lt;=Assumptions!$B$12))*Assumptions!$B$16</f>
        <v>-601603.222253867</v>
      </c>
      <c r="L11" s="0" t="n">
        <f aca="false">-MAX(0,L8-Assumptions!$B$3*Assumptions!$B$9*1000000/Assumptions!$B$12*(L$3&gt;=1)*(L$3&lt;=Assumptions!$B$12))*Assumptions!$B$16</f>
        <v>-593649.397691515</v>
      </c>
      <c r="M11" s="0" t="n">
        <f aca="false">-MAX(0,M8-Assumptions!$B$3*Assumptions!$B$9*1000000/Assumptions!$B$12*(M$3&gt;=1)*(M$3&lt;=Assumptions!$B$12))*Assumptions!$B$16</f>
        <v>-585636.280193945</v>
      </c>
      <c r="N11" s="0" t="n">
        <f aca="false">-MAX(0,N8-Assumptions!$B$3*Assumptions!$B$9*1000000/Assumptions!$B$12*(N$3&gt;=1)*(N$3&lt;=Assumptions!$B$12))*Assumptions!$B$16</f>
        <v>-577562.28476823</v>
      </c>
      <c r="O11" s="0" t="n">
        <f aca="false">-MAX(0,O8-Assumptions!$B$3*Assumptions!$B$9*1000000/Assumptions!$B$12*(O$3&gt;=1)*(O$3&lt;=Assumptions!$B$12))*Assumptions!$B$16</f>
        <v>-412059.493697003</v>
      </c>
      <c r="P11" s="0" t="n">
        <f aca="false">-MAX(0,P8-Assumptions!$B$3*Assumptions!$B$9*1000000/Assumptions!$B$12*(P$3&gt;=1)*(P$3&lt;=Assumptions!$B$12))*Assumptions!$B$16</f>
        <v>-404488.331624956</v>
      </c>
      <c r="Q11" s="0" t="n">
        <f aca="false">-MAX(0,Q8-Assumptions!$B$3*Assumptions!$B$9*1000000/Assumptions!$B$12*(Q$3&gt;=1)*(Q$3&lt;=Assumptions!$B$12))*Assumptions!$B$16</f>
        <v>-396848.835719252</v>
      </c>
      <c r="R11" s="0" t="n">
        <f aca="false">-MAX(0,R8-Assumptions!$B$3*Assumptions!$B$9*1000000/Assumptions!$B$12*(R$3&gt;=1)*(R$3&lt;=Assumptions!$B$12))*Assumptions!$B$16</f>
        <v>-389139.306945586</v>
      </c>
      <c r="S11" s="0" t="n">
        <f aca="false">-MAX(0,S8-Assumptions!$B$3*Assumptions!$B$9*1000000/Assumptions!$B$12*(S$3&gt;=1)*(S$3&lt;=Assumptions!$B$12))*Assumptions!$B$16</f>
        <v>-381358.0136184</v>
      </c>
      <c r="T11" s="0" t="n">
        <f aca="false">-MAX(0,T8-Assumptions!$B$3*Assumptions!$B$9*1000000/Assumptions!$B$12*(T$3&gt;=1)*(T$3&lt;=Assumptions!$B$12))*Assumptions!$B$16</f>
        <v>-373503.190742534</v>
      </c>
      <c r="U11" s="0" t="n">
        <f aca="false">-MAX(0,U8-Assumptions!$B$3*Assumptions!$B$9*1000000/Assumptions!$B$12*(U$3&gt;=1)*(U$3&lt;=Assumptions!$B$12))*Assumptions!$B$16</f>
        <v>-365573.039341743</v>
      </c>
      <c r="V11" s="0" t="n">
        <f aca="false">-MAX(0,V8-Assumptions!$B$3*Assumptions!$B$9*1000000/Assumptions!$B$12*(V$3&gt;=1)*(V$3&lt;=Assumptions!$B$12))*Assumptions!$B$16</f>
        <v>-357565.7257738</v>
      </c>
      <c r="W11" s="0" t="n">
        <f aca="false">-MAX(0,W8-Assumptions!$B$3*Assumptions!$B$9*1000000/Assumptions!$B$12*(W$3&gt;=1)*(W$3&lt;=Assumptions!$B$12))*Assumptions!$B$16</f>
        <v>-349479.381031917</v>
      </c>
      <c r="X11" s="0" t="n">
        <f aca="false">-MAX(0,X8-Assumptions!$B$3*Assumptions!$B$9*1000000/Assumptions!$B$12*(X$3&gt;=1)*(X$3&lt;=Assumptions!$B$12))*Assumptions!$B$16</f>
        <v>-341312.100032225</v>
      </c>
      <c r="Y11" s="0" t="n">
        <f aca="false">-MAX(0,Y8-Assumptions!$B$3*Assumptions!$B$9*1000000/Assumptions!$B$12*(Y$3&gt;=1)*(Y$3&lt;=Assumptions!$B$12))*Assumptions!$B$16</f>
        <v>-333061.940887021</v>
      </c>
      <c r="Z11" s="0" t="n">
        <f aca="false">-MAX(0,Z8-Assumptions!$B$3*Assumptions!$B$9*1000000/Assumptions!$B$12*(Z$3&gt;=1)*(Z$3&lt;=Assumptions!$B$12))*Assumptions!$B$16</f>
        <v>-324726.924163497</v>
      </c>
      <c r="AA11" s="0" t="n">
        <f aca="false">-MAX(0,AA8-Assumptions!$B$3*Assumptions!$B$9*1000000/Assumptions!$B$12*(AA$3&gt;=1)*(AA$3&lt;=Assumptions!$B$12))*Assumptions!$B$16</f>
        <v>-316305.032127666</v>
      </c>
      <c r="AB11" s="0" t="n">
        <f aca="false">-MAX(0,AB8-Assumptions!$B$3*Assumptions!$B$9*1000000/Assumptions!$B$12*(AB$3&gt;=1)*(AB$3&lt;=Assumptions!$B$12))*Assumptions!$B$16</f>
        <v>-307794.207973196</v>
      </c>
      <c r="AC11" s="0" t="n">
        <f aca="false">-MAX(0,AC8-Assumptions!$B$3*Assumptions!$B$9*1000000/Assumptions!$B$12*(AC$3&gt;=1)*(AC$3&lt;=Assumptions!$B$12))*Assumptions!$B$16</f>
        <v>-299192.355034824</v>
      </c>
      <c r="AD11" s="0" t="n">
        <f aca="false">-MAX(0,AD8-Assumptions!$B$3*Assumptions!$B$9*1000000/Assumptions!$B$12*(AD$3&gt;=1)*(AD$3&lt;=Assumptions!$B$12))*Assumptions!$B$16</f>
        <v>-290497.335986077</v>
      </c>
      <c r="AE11" s="0" t="n">
        <f aca="false">-MAX(0,AE8-Assumptions!$B$3*Assumptions!$B$9*1000000/Assumptions!$B$12*(AE$3&gt;=1)*(AE$3&lt;=Assumptions!$B$12))*Assumptions!$B$16</f>
        <v>-281706.972020951</v>
      </c>
      <c r="AF11" s="0" t="n">
        <f aca="false">-MAX(0,AF8-Assumptions!$B$3*Assumptions!$B$9*1000000/Assumptions!$B$12*(AF$3&gt;=1)*(AF$3&lt;=Assumptions!$B$12))*Assumptions!$B$16</f>
        <v>-272819.042019264</v>
      </c>
    </row>
    <row r="12" customFormat="false" ht="15" hidden="false" customHeight="false" outlineLevel="0" collapsed="false">
      <c r="A12" s="0" t="s">
        <v>24</v>
      </c>
      <c r="B12" s="0" t="n">
        <f aca="false">B8+B9+B11</f>
        <v>-29760000</v>
      </c>
      <c r="C12" s="0" t="n">
        <f aca="false">C8+C9+C11</f>
        <v>2981840</v>
      </c>
      <c r="D12" s="0" t="n">
        <f aca="false">D8+D9+D11</f>
        <v>2959240.64</v>
      </c>
      <c r="E12" s="0" t="n">
        <f aca="false">E8+E9+E11</f>
        <v>2936498.39744</v>
      </c>
      <c r="F12" s="0" t="n">
        <f aca="false">F8+F9+F11</f>
        <v>2913609.17825024</v>
      </c>
      <c r="G12" s="0" t="n">
        <f aca="false">G8+G9+G11</f>
        <v>2890568.81142524</v>
      </c>
      <c r="H12" s="0" t="n">
        <f aca="false">H8+H9+H11</f>
        <v>2867373.0474653</v>
      </c>
      <c r="I12" s="0" t="n">
        <f aca="false">I8+I9+I11</f>
        <v>2844017.55678691</v>
      </c>
      <c r="J12" s="0" t="n">
        <f aca="false">J8+J9+J11</f>
        <v>2820497.92810147</v>
      </c>
      <c r="K12" s="0" t="n">
        <f aca="false">K8+K9+K11</f>
        <v>2796809.6667616</v>
      </c>
      <c r="L12" s="0" t="n">
        <f aca="false">L8+L9+L11</f>
        <v>2772948.19307455</v>
      </c>
      <c r="M12" s="0" t="n">
        <f aca="false">M8+M9+M11</f>
        <v>2748908.84058184</v>
      </c>
      <c r="N12" s="0" t="n">
        <f aca="false">N8+N9+N11</f>
        <v>2724686.85430469</v>
      </c>
      <c r="O12" s="0" t="n">
        <f aca="false">O8+O9+O11</f>
        <v>2228178.48109101</v>
      </c>
      <c r="P12" s="0" t="n">
        <f aca="false">P8+P9+P11</f>
        <v>2205464.99487487</v>
      </c>
      <c r="Q12" s="0" t="n">
        <f aca="false">Q8+Q9+Q11</f>
        <v>2182546.50715776</v>
      </c>
      <c r="R12" s="0" t="n">
        <f aca="false">R8+R9+R11</f>
        <v>2159417.92083676</v>
      </c>
      <c r="S12" s="0" t="n">
        <f aca="false">S8+S9+S11</f>
        <v>2136074.0408552</v>
      </c>
      <c r="T12" s="0" t="n">
        <f aca="false">T8+T9+T11</f>
        <v>2112509.5722276</v>
      </c>
      <c r="U12" s="0" t="n">
        <f aca="false">U8+U9+U11</f>
        <v>2088719.11802523</v>
      </c>
      <c r="V12" s="0" t="n">
        <f aca="false">V8+V9+V11</f>
        <v>2064697.1773214</v>
      </c>
      <c r="W12" s="0" t="n">
        <f aca="false">W8+W9+W11</f>
        <v>2040438.14309575</v>
      </c>
      <c r="X12" s="0" t="n">
        <f aca="false">X8+X9+X11</f>
        <v>2015936.30009668</v>
      </c>
      <c r="Y12" s="0" t="n">
        <f aca="false">Y8+Y9+Y11</f>
        <v>1991185.82266106</v>
      </c>
      <c r="Z12" s="0" t="n">
        <f aca="false">Z8+Z9+Z11</f>
        <v>1966180.77249049</v>
      </c>
      <c r="AA12" s="0" t="n">
        <f aca="false">AA8+AA9+AA11</f>
        <v>1940915.096383</v>
      </c>
      <c r="AB12" s="0" t="n">
        <f aca="false">AB8+AB9+AB11</f>
        <v>1915382.62391959</v>
      </c>
      <c r="AC12" s="0" t="n">
        <f aca="false">AC8+AC9+AC11</f>
        <v>1889577.06510447</v>
      </c>
      <c r="AD12" s="0" t="n">
        <f aca="false">AD8+AD9+AD11</f>
        <v>1863492.00795823</v>
      </c>
      <c r="AE12" s="0" t="n">
        <f aca="false">AE8+AE9+AE11</f>
        <v>1837120.91606285</v>
      </c>
      <c r="AF12" s="0" t="n">
        <f aca="false">AF8+AF9+AF11</f>
        <v>1810457.12605779</v>
      </c>
    </row>
    <row r="13" customFormat="false" ht="15" hidden="false" customHeight="false" outlineLevel="0" collapsed="false">
      <c r="A13" s="0" t="s">
        <v>25</v>
      </c>
      <c r="B13" s="0" t="n">
        <f aca="false">B12+B10+IF(B$3=0,Assumptions!$B$3*Assumptions!$B$9*1000000*Assumptions!$B$13,0)</f>
        <v>-8928000</v>
      </c>
      <c r="C13" s="6" t="n">
        <f aca="false">C12+C10+IF(C$3=0,Assumptions!$B$3*Assumptions!$B$9*1000000*Assumptions!$B$13,0)</f>
        <v>1171788.03668009</v>
      </c>
      <c r="D13" s="6" t="n">
        <f aca="false">D12+D10+IF(D$3=0,Assumptions!$B$3*Assumptions!$B$9*1000000*Assumptions!$B$13,0)</f>
        <v>1149188.67668009</v>
      </c>
      <c r="E13" s="6" t="n">
        <f aca="false">E12+E10+IF(E$3=0,Assumptions!$B$3*Assumptions!$B$9*1000000*Assumptions!$B$13,0)</f>
        <v>1126446.43412009</v>
      </c>
      <c r="F13" s="6" t="n">
        <f aca="false">F12+F10+IF(F$3=0,Assumptions!$B$3*Assumptions!$B$9*1000000*Assumptions!$B$13,0)</f>
        <v>1103557.21493033</v>
      </c>
      <c r="G13" s="6" t="n">
        <f aca="false">G12+G10+IF(G$3=0,Assumptions!$B$3*Assumptions!$B$9*1000000*Assumptions!$B$13,0)</f>
        <v>1080516.84810533</v>
      </c>
      <c r="H13" s="6" t="n">
        <f aca="false">H12+H10+IF(H$3=0,Assumptions!$B$3*Assumptions!$B$9*1000000*Assumptions!$B$13,0)</f>
        <v>1057321.08414539</v>
      </c>
      <c r="I13" s="6" t="n">
        <f aca="false">I12+I10+IF(I$3=0,Assumptions!$B$3*Assumptions!$B$9*1000000*Assumptions!$B$13,0)</f>
        <v>1033965.593467</v>
      </c>
      <c r="J13" s="6" t="n">
        <f aca="false">J12+J10+IF(J$3=0,Assumptions!$B$3*Assumptions!$B$9*1000000*Assumptions!$B$13,0)</f>
        <v>1010445.96478156</v>
      </c>
      <c r="K13" s="6" t="n">
        <f aca="false">K12+K10+IF(K$3=0,Assumptions!$B$3*Assumptions!$B$9*1000000*Assumptions!$B$13,0)</f>
        <v>986757.703441693</v>
      </c>
      <c r="L13" s="6" t="n">
        <f aca="false">L12+L10+IF(L$3=0,Assumptions!$B$3*Assumptions!$B$9*1000000*Assumptions!$B$13,0)</f>
        <v>962896.229754635</v>
      </c>
      <c r="M13" s="6" t="n">
        <f aca="false">M12+M10+IF(M$3=0,Assumptions!$B$3*Assumptions!$B$9*1000000*Assumptions!$B$13,0)</f>
        <v>938856.877261926</v>
      </c>
      <c r="N13" s="6" t="n">
        <f aca="false">N12+N10+IF(N$3=0,Assumptions!$B$3*Assumptions!$B$9*1000000*Assumptions!$B$13,0)</f>
        <v>914634.89098478</v>
      </c>
      <c r="O13" s="6" t="n">
        <f aca="false">O12+O10+IF(O$3=0,Assumptions!$B$3*Assumptions!$B$9*1000000*Assumptions!$B$13,0)</f>
        <v>418126.5177711</v>
      </c>
      <c r="P13" s="6" t="n">
        <f aca="false">P12+P10+IF(P$3=0,Assumptions!$B$3*Assumptions!$B$9*1000000*Assumptions!$B$13,0)</f>
        <v>395413.031554958</v>
      </c>
      <c r="Q13" s="6" t="n">
        <f aca="false">Q12+Q10+IF(Q$3=0,Assumptions!$B$3*Assumptions!$B$9*1000000*Assumptions!$B$13,0)</f>
        <v>372494.543837845</v>
      </c>
      <c r="R13" s="6" t="n">
        <f aca="false">R12+R10+IF(R$3=0,Assumptions!$B$3*Assumptions!$B$9*1000000*Assumptions!$B$13,0)</f>
        <v>349365.957516849</v>
      </c>
      <c r="S13" s="6" t="n">
        <f aca="false">S12+S10+IF(S$3=0,Assumptions!$B$3*Assumptions!$B$9*1000000*Assumptions!$B$13,0)</f>
        <v>326022.077535289</v>
      </c>
      <c r="T13" s="6" t="n">
        <f aca="false">T12+T10+IF(T$3=0,Assumptions!$B$3*Assumptions!$B$9*1000000*Assumptions!$B$13,0)</f>
        <v>302457.608907691</v>
      </c>
      <c r="U13" s="0" t="n">
        <f aca="false">U12+U10+IF(U$3=0,Assumptions!$B$3*Assumptions!$B$9*1000000*Assumptions!$B$13,0)</f>
        <v>2088719.11802523</v>
      </c>
      <c r="V13" s="0" t="n">
        <f aca="false">V12+V10+IF(V$3=0,Assumptions!$B$3*Assumptions!$B$9*1000000*Assumptions!$B$13,0)</f>
        <v>2064697.1773214</v>
      </c>
      <c r="W13" s="0" t="n">
        <f aca="false">W12+W10+IF(W$3=0,Assumptions!$B$3*Assumptions!$B$9*1000000*Assumptions!$B$13,0)</f>
        <v>2040438.14309575</v>
      </c>
      <c r="X13" s="0" t="n">
        <f aca="false">X12+X10+IF(X$3=0,Assumptions!$B$3*Assumptions!$B$9*1000000*Assumptions!$B$13,0)</f>
        <v>2015936.30009668</v>
      </c>
      <c r="Y13" s="0" t="n">
        <f aca="false">Y12+Y10+IF(Y$3=0,Assumptions!$B$3*Assumptions!$B$9*1000000*Assumptions!$B$13,0)</f>
        <v>1991185.82266106</v>
      </c>
      <c r="Z13" s="0" t="n">
        <f aca="false">Z12+Z10+IF(Z$3=0,Assumptions!$B$3*Assumptions!$B$9*1000000*Assumptions!$B$13,0)</f>
        <v>1966180.77249049</v>
      </c>
      <c r="AA13" s="0" t="n">
        <f aca="false">AA12+AA10+IF(AA$3=0,Assumptions!$B$3*Assumptions!$B$9*1000000*Assumptions!$B$13,0)</f>
        <v>1940915.096383</v>
      </c>
      <c r="AB13" s="0" t="n">
        <f aca="false">AB12+AB10+IF(AB$3=0,Assumptions!$B$3*Assumptions!$B$9*1000000*Assumptions!$B$13,0)</f>
        <v>1915382.62391959</v>
      </c>
      <c r="AC13" s="0" t="n">
        <f aca="false">AC12+AC10+IF(AC$3=0,Assumptions!$B$3*Assumptions!$B$9*1000000*Assumptions!$B$13,0)</f>
        <v>1889577.06510447</v>
      </c>
      <c r="AD13" s="0" t="n">
        <f aca="false">AD12+AD10+IF(AD$3=0,Assumptions!$B$3*Assumptions!$B$9*1000000*Assumptions!$B$13,0)</f>
        <v>1863492.00795823</v>
      </c>
      <c r="AE13" s="0" t="n">
        <f aca="false">AE12+AE10+IF(AE$3=0,Assumptions!$B$3*Assumptions!$B$9*1000000*Assumptions!$B$13,0)</f>
        <v>1837120.91606285</v>
      </c>
      <c r="AF13" s="0" t="n">
        <f aca="false">AF12+AF10+IF(AF$3=0,Assumptions!$B$3*Assumptions!$B$9*1000000*Assumptions!$B$13,0)</f>
        <v>1810457.12605779</v>
      </c>
    </row>
    <row r="14" customFormat="false" ht="15" hidden="false" customHeight="false" outlineLevel="0" collapsed="false">
      <c r="A14" s="0" t="s">
        <v>26</v>
      </c>
      <c r="B14" s="0" t="str">
        <f aca="false">IF(B10&lt;0,B8/-B10,"")</f>
        <v/>
      </c>
      <c r="C14" s="0" t="n">
        <f aca="false">IF(C10&lt;0,C8/-C10,"")</f>
        <v>2.01382063822869</v>
      </c>
      <c r="D14" s="0" t="n">
        <f aca="false">IF(D10&lt;0,D8/-D10,"")</f>
        <v>1.99717333715081</v>
      </c>
      <c r="E14" s="0" t="n">
        <f aca="false">IF(E10&lt;0,E8/-E10,"")</f>
        <v>1.98042078490674</v>
      </c>
      <c r="F14" s="0" t="n">
        <f aca="false">IF(F10&lt;0,F8/-F10,"")</f>
        <v>1.96355996569374</v>
      </c>
      <c r="G14" s="0" t="n">
        <f aca="false">IF(G10&lt;0,G8/-G10,"")</f>
        <v>1.94658780703612</v>
      </c>
      <c r="H14" s="0" t="n">
        <f aca="false">IF(H10&lt;0,H8/-H10,"")</f>
        <v>1.92950117863723</v>
      </c>
      <c r="I14" s="0" t="n">
        <f aca="false">IF(I10&lt;0,I8/-I10,"")</f>
        <v>1.91229689120852</v>
      </c>
      <c r="J14" s="0" t="n">
        <f aca="false">IF(J10&lt;0,J8/-J10,"")</f>
        <v>1.89497169527525</v>
      </c>
      <c r="K14" s="0" t="n">
        <f aca="false">IF(K10&lt;0,K8/-K10,"")</f>
        <v>1.87752227995834</v>
      </c>
      <c r="L14" s="0" t="n">
        <f aca="false">IF(L10&lt;0,L8/-L10,"")</f>
        <v>1.85994527173198</v>
      </c>
      <c r="M14" s="0" t="n">
        <f aca="false">IF(M10&lt;0,M8/-M10,"")</f>
        <v>1.8422372331564</v>
      </c>
      <c r="N14" s="0" t="n">
        <f aca="false">IF(N10&lt;0,N8/-N10,"")</f>
        <v>1.82439466158535</v>
      </c>
      <c r="O14" s="0" t="n">
        <f aca="false">IF(O10&lt;0,O8/-O10,"")</f>
        <v>1.45865313719802</v>
      </c>
      <c r="P14" s="0" t="n">
        <f aca="false">IF(P10&lt;0,P8/-P10,"")</f>
        <v>1.4419217676562</v>
      </c>
      <c r="Q14" s="0" t="n">
        <f aca="false">IF(Q10&lt;0,Q8/-Q10,"")</f>
        <v>1.4250393884527</v>
      </c>
      <c r="R14" s="0" t="n">
        <f aca="false">IF(R10&lt;0,R8/-R10,"")</f>
        <v>1.40800224492335</v>
      </c>
      <c r="S14" s="0" t="n">
        <f aca="false">IF(S10&lt;0,S8/-S10,"")</f>
        <v>1.3908065102486</v>
      </c>
      <c r="T14" s="0" t="n">
        <f aca="false">IF(T10&lt;0,T8/-T10,"")</f>
        <v>1.37344828399866</v>
      </c>
      <c r="U14" s="0" t="str">
        <f aca="false">IF(U10&lt;0,U8/-U10,"")</f>
        <v/>
      </c>
      <c r="V14" s="0" t="str">
        <f aca="false">IF(V10&lt;0,V8/-V10,"")</f>
        <v/>
      </c>
      <c r="W14" s="0" t="str">
        <f aca="false">IF(W10&lt;0,W8/-W10,"")</f>
        <v/>
      </c>
      <c r="X14" s="0" t="str">
        <f aca="false">IF(X10&lt;0,X8/-X10,"")</f>
        <v/>
      </c>
      <c r="Y14" s="0" t="str">
        <f aca="false">IF(Y10&lt;0,Y8/-Y10,"")</f>
        <v/>
      </c>
      <c r="Z14" s="0" t="str">
        <f aca="false">IF(Z10&lt;0,Z8/-Z10,"")</f>
        <v/>
      </c>
      <c r="AA14" s="0" t="str">
        <f aca="false">IF(AA10&lt;0,AA8/-AA10,"")</f>
        <v/>
      </c>
      <c r="AB14" s="0" t="str">
        <f aca="false">IF(AB10&lt;0,AB8/-AB10,"")</f>
        <v/>
      </c>
      <c r="AC14" s="0" t="str">
        <f aca="false">IF(AC10&lt;0,AC8/-AC10,"")</f>
        <v/>
      </c>
      <c r="AD14" s="0" t="str">
        <f aca="false">IF(AD10&lt;0,AD8/-AD10,"")</f>
        <v/>
      </c>
      <c r="AE14" s="0" t="str">
        <f aca="false">IF(AE10&lt;0,AE8/-AE10,"")</f>
        <v/>
      </c>
      <c r="AF14" s="0" t="str">
        <f aca="false">IF(AF10&lt;0,AF8/-AF10,"")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27</v>
      </c>
      <c r="B3" s="3" t="n">
        <f aca="false">IRR(Annual!B12:AF12)</f>
        <v>0.0785281051557835</v>
      </c>
    </row>
    <row r="4" customFormat="false" ht="15" hidden="false" customHeight="false" outlineLevel="0" collapsed="false">
      <c r="A4" s="0" t="s">
        <v>28</v>
      </c>
      <c r="B4" s="3" t="n">
        <f aca="false">IRR(Annual!B13:AF13)</f>
        <v>0.115982632450375</v>
      </c>
    </row>
    <row r="5" customFormat="false" ht="15" hidden="false" customHeight="false" outlineLevel="0" collapsed="false">
      <c r="A5" s="0" t="s">
        <v>29</v>
      </c>
      <c r="B5" s="7" t="n">
        <f aca="false">MIN(Annual!C14:AF14)</f>
        <v>1.37344828399866</v>
      </c>
    </row>
    <row r="6" customFormat="false" ht="15" hidden="false" customHeight="false" outlineLevel="0" collapsed="false">
      <c r="A6" s="0" t="s">
        <v>30</v>
      </c>
      <c r="B6" s="7" t="n">
        <f aca="false">AVERAGE(Annual!C14:AF14)</f>
        <v>1.75223905983593</v>
      </c>
    </row>
    <row r="7" customFormat="false" ht="15" hidden="false" customHeight="false" outlineLevel="0" collapsed="false">
      <c r="A7" s="0" t="s">
        <v>31</v>
      </c>
      <c r="B7" s="2" t="n">
        <f aca="false">-Annual!B9</f>
        <v>29760000</v>
      </c>
    </row>
    <row r="8" customFormat="false" ht="15" hidden="false" customHeight="false" outlineLevel="0" collapsed="false">
      <c r="A8" s="0" t="s">
        <v>32</v>
      </c>
      <c r="B8" s="2" t="n">
        <f aca="false">SUM(Annual!B12:AF12)</f>
        <v>40945292.8004116</v>
      </c>
    </row>
    <row r="9" customFormat="false" ht="15" hidden="false" customHeight="false" outlineLevel="0" collapsed="false">
      <c r="A9" s="0" t="s">
        <v>33</v>
      </c>
      <c r="B9" s="1" t="n">
        <f aca="false">(-Annual!B9-SUM(Annual!C7:AF7))/SUM(Annual!C4:AF4)</f>
        <v>23.9689145321439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2026-10-16T17:29:18Z</dcterms:created>
  <dc:creator>openpyxl</dc:creator>
  <dc:description/>
  <dc:language>en-US</dc:language>
  <cp:lastModifiedBy/>
  <dcterms:modified xsi:type="dcterms:W3CDTF">2026-10-16T17:29:18Z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