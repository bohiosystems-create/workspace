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<sst xmlns="http://schemas.openxmlformats.org/spreadsheetml/2006/main" count="43" uniqueCount="43">
  <si>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CEDAR HOLLOW APARTMENTS – AFTER-TAX INVESTMENT MODEL (USD)</t>
  </si>
  <si>
    <t xml:space="preserve">Purchase price ($)</t>
  </si>
  <si>
    <t xml:space="preserve">Land share of price</t>
  </si>
  <si>
    <t xml:space="preserve">Cost segregation (share of building, 5-year property)</t>
  </si>
  <si>
    <t xml:space="preserve">Bonus depreciation</t>
  </si>
  <si>
    <t xml:space="preserve">NOI year 1 ($)</t>
  </si>
  <si>
    <t xml:space="preserve">NOI growth</t>
  </si>
  <si>
    <t xml:space="preserve">Loan to value</t>
  </si>
  <si>
    <t xml:space="preserve">Interest rate</t>
  </si>
  <si>
    <t xml:space="preserve">Interest-only (years)</t>
  </si>
  <si>
    <t xml:space="preserve">Amortisation (years)</t>
  </si>
  <si>
    <t xml:space="preserve">Hold (years)</t>
  </si>
  <si>
    <t xml:space="preserve">Exit cap rate</t>
  </si>
  <si>
    <t xml:space="preserve">Selling costs</t>
  </si>
  <si>
    <t xml:space="preserve">Ordinary income tax rate</t>
  </si>
  <si>
    <t xml:space="preserve">Unrecaptured §1250 rate</t>
  </si>
  <si>
    <t xml:space="preserve">Capital gains rate (incl. NIIT)</t>
  </si>
  <si>
    <t xml:space="preserve">Year</t>
  </si>
  <si>
    <t xml:space="preserve">NOI</t>
  </si>
  <si>
    <t xml:space="preserve">Loan opening</t>
  </si>
  <si>
    <t xml:space="preserve">Interest</t>
  </si>
  <si>
    <t xml:space="preserve">Principal</t>
  </si>
  <si>
    <t xml:space="preserve">Loan closing</t>
  </si>
  <si>
    <t xml:space="preserve">Debt service</t>
  </si>
  <si>
    <t xml:space="preserve">Building depreciation</t>
  </si>
  <si>
    <t xml:space="preserve">Cost seg depreciation</t>
  </si>
  <si>
    <t xml:space="preserve">Taxable income</t>
  </si>
  <si>
    <t xml:space="preserve">Loss carried in</t>
  </si>
  <si>
    <t xml:space="preserve">Loss used</t>
  </si>
  <si>
    <t xml:space="preserve">Loss carried out</t>
  </si>
  <si>
    <t xml:space="preserve">Tax on operations</t>
  </si>
  <si>
    <t xml:space="preserve">Pre-tax equity cash flow</t>
  </si>
  <si>
    <t xml:space="preserve">Sale price</t>
  </si>
  <si>
    <t xml:space="preserve">Sale costs</t>
  </si>
  <si>
    <t xml:space="preserve">Tax at sale</t>
  </si>
  <si>
    <t xml:space="preserve">After-tax equity cash flow</t>
  </si>
  <si>
    <t xml:space="preserve">Levered IRR (pre-tax)</t>
  </si>
  <si>
    <t xml:space="preserve">After-tax IRR</t>
  </si>
  <si>
    <t xml:space="preserve">After-tax equity multiple</t>
  </si>
  <si>
    <t xml:space="preserve">Tax at sale ($)</t>
  </si>
  <si>
    <t xml:space="preserve">Depreciation taken ($)</t>
  </si>
  <si>
    <t xml:space="preserve">Net profit after tax ($)</t>
  </si>
  <si>
    <t xml:space="preserve">Year 1 tax shield ($)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</si>
</sst>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"/>
    <numFmt numFmtId="168" formatCode="[$$-409]#,##0.00;[RED]\-[$$-409]#,##0.00"/>
    <numFmt numFmtId="169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85000000</v>
      </c>
    </row>
    <row r="4" customFormat="false" ht="15" hidden="false" customHeight="false" outlineLevel="0" collapsed="false">
      <c r="A4" s="0" t="s">
        <v>2</v>
      </c>
      <c r="B4" s="2" t="n">
        <v>0.2</v>
      </c>
    </row>
    <row r="5" customFormat="false" ht="15" hidden="false" customHeight="false" outlineLevel="0" collapsed="false">
      <c r="A5" s="0" t="s">
        <v>3</v>
      </c>
      <c r="B5" s="2" t="n">
        <v>0.2</v>
      </c>
    </row>
    <row r="6" customFormat="false" ht="15" hidden="false" customHeight="false" outlineLevel="0" collapsed="false">
      <c r="A6" s="0" t="s">
        <v>4</v>
      </c>
      <c r="B6" s="2" t="n">
        <v>0.6</v>
      </c>
    </row>
    <row r="7" customFormat="false" ht="15" hidden="false" customHeight="false" outlineLevel="0" collapsed="false">
      <c r="A7" s="0" t="s">
        <v>5</v>
      </c>
      <c r="B7" s="1" t="n">
        <v>4900000</v>
      </c>
    </row>
    <row r="8" customFormat="false" ht="15" hidden="false" customHeight="false" outlineLevel="0" collapsed="false">
      <c r="A8" s="0" t="s">
        <v>6</v>
      </c>
      <c r="B8" s="2" t="n">
        <v>0.03</v>
      </c>
    </row>
    <row r="9" customFormat="false" ht="15" hidden="false" customHeight="false" outlineLevel="0" collapsed="false">
      <c r="A9" s="0" t="s">
        <v>7</v>
      </c>
      <c r="B9" s="2" t="n">
        <v>0.65</v>
      </c>
    </row>
    <row r="10" customFormat="false" ht="15" hidden="false" customHeight="false" outlineLevel="0" collapsed="false">
      <c r="A10" s="0" t="s">
        <v>8</v>
      </c>
      <c r="B10" s="2" t="n">
        <v>0.061</v>
      </c>
    </row>
    <row r="11" customFormat="false" ht="15" hidden="false" customHeight="false" outlineLevel="0" collapsed="false">
      <c r="A11" s="0" t="s">
        <v>9</v>
      </c>
      <c r="B11" s="3" t="n">
        <v>3</v>
      </c>
    </row>
    <row r="12" customFormat="false" ht="15" hidden="false" customHeight="false" outlineLevel="0" collapsed="false">
      <c r="A12" s="0" t="s">
        <v>10</v>
      </c>
      <c r="B12" s="3" t="n">
        <v>30</v>
      </c>
    </row>
    <row r="13" customFormat="false" ht="15" hidden="false" customHeight="false" outlineLevel="0" collapsed="false">
      <c r="A13" s="0" t="s">
        <v>11</v>
      </c>
      <c r="B13" s="3" t="n">
        <v>7</v>
      </c>
    </row>
    <row r="14" customFormat="false" ht="15" hidden="false" customHeight="false" outlineLevel="0" collapsed="false">
      <c r="A14" s="0" t="s">
        <v>12</v>
      </c>
      <c r="B14" s="2" t="n">
        <v>0.055</v>
      </c>
    </row>
    <row r="15" customFormat="false" ht="15" hidden="false" customHeight="false" outlineLevel="0" collapsed="false">
      <c r="A15" s="0" t="s">
        <v>13</v>
      </c>
      <c r="B15" s="2" t="n">
        <v>0.02</v>
      </c>
    </row>
    <row r="16" customFormat="false" ht="15" hidden="false" customHeight="false" outlineLevel="0" collapsed="false">
      <c r="A16" s="0" t="s">
        <v>14</v>
      </c>
      <c r="B16" s="2" t="n">
        <v>0.37</v>
      </c>
    </row>
    <row r="17" customFormat="false" ht="15" hidden="false" customHeight="false" outlineLevel="0" collapsed="false">
      <c r="A17" s="0" t="s">
        <v>15</v>
      </c>
      <c r="B17" s="2" t="n">
        <v>0.25</v>
      </c>
    </row>
    <row r="18" customFormat="false" ht="15" hidden="false" customHeight="false" outlineLevel="0" collapsed="false">
      <c r="A18" s="0" t="s">
        <v>16</v>
      </c>
      <c r="B18" s="2" t="n">
        <v>0.238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17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18</v>
      </c>
      <c r="B4" s="0" t="n">
        <f aca="false">IF(AND(B$3&gt;=1,B$3&lt;=Inputs!$B$13),Inputs!$B$7*(1+Inputs!$B$8)^(B$3-1),0)</f>
        <v>0</v>
      </c>
      <c r="C4" s="0" t="n">
        <f aca="false">IF(AND(C$3&gt;=1,C$3&lt;=Inputs!$B$13),Inputs!$B$7*(1+Inputs!$B$8)^(C$3-1),0)</f>
        <v>4900000</v>
      </c>
      <c r="D4" s="0" t="n">
        <f aca="false">IF(AND(D$3&gt;=1,D$3&lt;=Inputs!$B$13),Inputs!$B$7*(1+Inputs!$B$8)^(D$3-1),0)</f>
        <v>5047000</v>
      </c>
      <c r="E4" s="0" t="n">
        <f aca="false">IF(AND(E$3&gt;=1,E$3&lt;=Inputs!$B$13),Inputs!$B$7*(1+Inputs!$B$8)^(E$3-1),0)</f>
        <v>5198410</v>
      </c>
      <c r="F4" s="0" t="n">
        <f aca="false">IF(AND(F$3&gt;=1,F$3&lt;=Inputs!$B$13),Inputs!$B$7*(1+Inputs!$B$8)^(F$3-1),0)</f>
        <v>5354362.3</v>
      </c>
      <c r="G4" s="0" t="n">
        <f aca="false">IF(AND(G$3&gt;=1,G$3&lt;=Inputs!$B$13),Inputs!$B$7*(1+Inputs!$B$8)^(G$3-1),0)</f>
        <v>5514993.169</v>
      </c>
      <c r="H4" s="0" t="n">
        <f aca="false">IF(AND(H$3&gt;=1,H$3&lt;=Inputs!$B$13),Inputs!$B$7*(1+Inputs!$B$8)^(H$3-1),0)</f>
        <v>5680442.96407</v>
      </c>
      <c r="I4" s="0" t="n">
        <f aca="false">IF(AND(I$3&gt;=1,I$3&lt;=Inputs!$B$13),Inputs!$B$7*(1+Inputs!$B$8)^(I$3-1),0)</f>
        <v>5850856.2529921</v>
      </c>
      <c r="J4" s="0" t="n">
        <f aca="false">IF(AND(J$3&gt;=1,J$3&lt;=Inputs!$B$13),Inputs!$B$7*(1+Inputs!$B$8)^(J$3-1),0)</f>
        <v>0</v>
      </c>
      <c r="K4" s="0" t="n">
        <f aca="false">IF(AND(K$3&gt;=1,K$3&lt;=Inputs!$B$13),Inputs!$B$7*(1+Inputs!$B$8)^(K$3-1),0)</f>
        <v>0</v>
      </c>
      <c r="L4" s="0" t="n">
        <f aca="false">IF(AND(L$3&gt;=1,L$3&lt;=Inputs!$B$13),Inputs!$B$7*(1+Inputs!$B$8)^(L$3-1),0)</f>
        <v>0</v>
      </c>
    </row>
    <row r="5" customFormat="false" ht="15" hidden="false" customHeight="false" outlineLevel="0" collapsed="false">
      <c r="A5" s="0" t="s">
        <v>19</v>
      </c>
      <c r="B5" s="0" t="n">
        <f aca="false">0</f>
        <v>0</v>
      </c>
      <c r="C5" s="0" t="n">
        <f aca="false">B8</f>
        <v>55250000</v>
      </c>
      <c r="D5" s="0" t="n">
        <f aca="false">C8</f>
        <v>55250000</v>
      </c>
      <c r="E5" s="0" t="n">
        <f aca="false">D8</f>
        <v>55250000</v>
      </c>
      <c r="F5" s="0" t="n">
        <f aca="false">E8</f>
        <v>55250000</v>
      </c>
      <c r="G5" s="4" t="n">
        <f aca="false">F8</f>
        <v>54563355.0219004</v>
      </c>
      <c r="H5" s="4" t="n">
        <f aca="false">G8</f>
        <v>53834824.7001368</v>
      </c>
      <c r="I5" s="4" t="n">
        <f aca="false">H8</f>
        <v>53061854.0287455</v>
      </c>
      <c r="J5" s="0" t="n">
        <f aca="false">I8</f>
        <v>0</v>
      </c>
      <c r="K5" s="0" t="n">
        <f aca="false">J8</f>
        <v>0</v>
      </c>
      <c r="L5" s="0" t="n">
        <f aca="false">K8</f>
        <v>0</v>
      </c>
    </row>
    <row r="6" customFormat="false" ht="15" hidden="false" customHeight="false" outlineLevel="0" collapsed="false">
      <c r="A6" s="0" t="s">
        <v>20</v>
      </c>
      <c r="B6" s="0" t="n">
        <f aca="false">IF(AND(B$3&gt;=1,B$3&lt;=Inputs!$B$13),B5*Inputs!$B$10,0)</f>
        <v>0</v>
      </c>
      <c r="C6" s="0" t="n">
        <f aca="false">IF(AND(C$3&gt;=1,C$3&lt;=Inputs!$B$13),C5*Inputs!$B$10,0)</f>
        <v>3370250</v>
      </c>
      <c r="D6" s="0" t="n">
        <f aca="false">IF(AND(D$3&gt;=1,D$3&lt;=Inputs!$B$13),D5*Inputs!$B$10,0)</f>
        <v>3370250</v>
      </c>
      <c r="E6" s="0" t="n">
        <f aca="false">IF(AND(E$3&gt;=1,E$3&lt;=Inputs!$B$13),E5*Inputs!$B$10,0)</f>
        <v>3370250</v>
      </c>
      <c r="F6" s="0" t="n">
        <f aca="false">IF(AND(F$3&gt;=1,F$3&lt;=Inputs!$B$13),F5*Inputs!$B$10,0)</f>
        <v>3370250</v>
      </c>
      <c r="G6" s="4" t="n">
        <f aca="false">IF(AND(G$3&gt;=1,G$3&lt;=Inputs!$B$13),G5*Inputs!$B$10,0)</f>
        <v>3328364.65633593</v>
      </c>
      <c r="H6" s="4" t="n">
        <f aca="false">IF(AND(H$3&gt;=1,H$3&lt;=Inputs!$B$13),H5*Inputs!$B$10,0)</f>
        <v>3283924.30670834</v>
      </c>
      <c r="I6" s="4" t="n">
        <f aca="false">IF(AND(I$3&gt;=1,I$3&lt;=Inputs!$B$13),I5*Inputs!$B$10,0)</f>
        <v>3236773.09575348</v>
      </c>
      <c r="J6" s="0" t="n">
        <f aca="false">IF(AND(J$3&gt;=1,J$3&lt;=Inputs!$B$13),J5*Inputs!$B$10,0)</f>
        <v>0</v>
      </c>
      <c r="K6" s="0" t="n">
        <f aca="false">IF(AND(K$3&gt;=1,K$3&lt;=Inputs!$B$13),K5*Inputs!$B$10,0)</f>
        <v>0</v>
      </c>
      <c r="L6" s="0" t="n">
        <f aca="false">IF(AND(L$3&gt;=1,L$3&lt;=Inputs!$B$13),L5*Inputs!$B$10,0)</f>
        <v>0</v>
      </c>
    </row>
    <row r="7" customFormat="false" ht="15" hidden="false" customHeight="false" outlineLevel="0" collapsed="false">
      <c r="A7" s="0" t="s">
        <v>21</v>
      </c>
      <c r="B7" s="0" t="n">
        <f aca="false">IF(AND(AND(B$3&gt;=1,B$3&lt;=Inputs!$B$13),B$3&gt;Inputs!$B$11),PMT(Inputs!$B$10,Inputs!$B$12,-Inputs!$B$3*Inputs!$B$9)-B6,0)</f>
        <v>0</v>
      </c>
      <c r="C7" s="0" t="n">
        <f aca="false">IF(AND(AND(C$3&gt;=1,C$3&lt;=Inputs!$B$13),C$3&gt;Inputs!$B$11),PMT(Inputs!$B$10,Inputs!$B$12,-Inputs!$B$3*Inputs!$B$9)-C6,0)</f>
        <v>0</v>
      </c>
      <c r="D7" s="0" t="n">
        <f aca="false">IF(AND(AND(D$3&gt;=1,D$3&lt;=Inputs!$B$13),D$3&gt;Inputs!$B$11),PMT(Inputs!$B$10,Inputs!$B$12,-Inputs!$B$3*Inputs!$B$9)-D6,0)</f>
        <v>0</v>
      </c>
      <c r="E7" s="0" t="n">
        <f aca="false">IF(AND(AND(E$3&gt;=1,E$3&lt;=Inputs!$B$13),E$3&gt;Inputs!$B$11),PMT(Inputs!$B$10,Inputs!$B$12,-Inputs!$B$3*Inputs!$B$9)-E6,0)</f>
        <v>0</v>
      </c>
      <c r="F7" s="4" t="n">
        <f aca="false">IF(AND(AND(F$3&gt;=1,F$3&lt;=Inputs!$B$13),F$3&gt;Inputs!$B$11),PMT(Inputs!$B$10,Inputs!$B$12,-Inputs!$B$3*Inputs!$B$9)-F6,0)</f>
        <v>686644.978099582</v>
      </c>
      <c r="G7" s="4" t="n">
        <f aca="false">IF(AND(AND(G$3&gt;=1,G$3&lt;=Inputs!$B$13),G$3&gt;Inputs!$B$11),PMT(Inputs!$B$10,Inputs!$B$12,-Inputs!$B$3*Inputs!$B$9)-G6,0)</f>
        <v>728530.321763657</v>
      </c>
      <c r="H7" s="4" t="n">
        <f aca="false">IF(AND(AND(H$3&gt;=1,H$3&lt;=Inputs!$B$13),H$3&gt;Inputs!$B$11),PMT(Inputs!$B$10,Inputs!$B$12,-Inputs!$B$3*Inputs!$B$9)-H6,0)</f>
        <v>772970.671391239</v>
      </c>
      <c r="I7" s="4" t="n">
        <f aca="false">IF(AND(AND(I$3&gt;=1,I$3&lt;=Inputs!$B$13),I$3&gt;Inputs!$B$11),PMT(Inputs!$B$10,Inputs!$B$12,-Inputs!$B$3*Inputs!$B$9)-I6,0)</f>
        <v>820121.882346105</v>
      </c>
      <c r="J7" s="0" t="n">
        <f aca="false">IF(AND(AND(J$3&gt;=1,J$3&lt;=Inputs!$B$13),J$3&gt;Inputs!$B$11),PMT(Inputs!$B$10,Inputs!$B$12,-Inputs!$B$3*Inputs!$B$9)-J6,0)</f>
        <v>0</v>
      </c>
      <c r="K7" s="0" t="n">
        <f aca="false">IF(AND(AND(K$3&gt;=1,K$3&lt;=Inputs!$B$13),K$3&gt;Inputs!$B$11),PMT(Inputs!$B$10,Inputs!$B$12,-Inputs!$B$3*Inputs!$B$9)-K6,0)</f>
        <v>0</v>
      </c>
      <c r="L7" s="0" t="n">
        <f aca="false">IF(AND(AND(L$3&gt;=1,L$3&lt;=Inputs!$B$13),L$3&gt;Inputs!$B$11),PMT(Inputs!$B$10,Inputs!$B$12,-Inputs!$B$3*Inputs!$B$9)-L6,0)</f>
        <v>0</v>
      </c>
    </row>
    <row r="8" customFormat="false" ht="15" hidden="false" customHeight="false" outlineLevel="0" collapsed="false">
      <c r="A8" s="0" t="s">
        <v>22</v>
      </c>
      <c r="B8" s="0" t="n">
        <f aca="false">Inputs!$B$3*Inputs!$B$9</f>
        <v>55250000</v>
      </c>
      <c r="C8" s="0" t="n">
        <f aca="false">IF(C$3&gt;=Inputs!$B$13,0,C5-C7)</f>
        <v>55250000</v>
      </c>
      <c r="D8" s="0" t="n">
        <f aca="false">IF(D$3&gt;=Inputs!$B$13,0,D5-D7)</f>
        <v>55250000</v>
      </c>
      <c r="E8" s="0" t="n">
        <f aca="false">IF(E$3&gt;=Inputs!$B$13,0,E5-E7)</f>
        <v>55250000</v>
      </c>
      <c r="F8" s="4" t="n">
        <f aca="false">IF(F$3&gt;=Inputs!$B$13,0,F5-F7)</f>
        <v>54563355.0219004</v>
      </c>
      <c r="G8" s="4" t="n">
        <f aca="false">IF(G$3&gt;=Inputs!$B$13,0,G5-G7)</f>
        <v>53834824.7001368</v>
      </c>
      <c r="H8" s="4" t="n">
        <f aca="false">IF(H$3&gt;=Inputs!$B$13,0,H5-H7)</f>
        <v>53061854.0287455</v>
      </c>
      <c r="I8" s="0" t="n">
        <f aca="false">IF(I$3&gt;=Inputs!$B$13,0,I5-I7)</f>
        <v>0</v>
      </c>
      <c r="J8" s="0" t="n">
        <f aca="false">IF(J$3&gt;=Inputs!$B$13,0,J5-J7)</f>
        <v>0</v>
      </c>
      <c r="K8" s="0" t="n">
        <f aca="false">IF(K$3&gt;=Inputs!$B$13,0,K5-K7)</f>
        <v>0</v>
      </c>
      <c r="L8" s="0" t="n">
        <f aca="false">IF(L$3&gt;=Inputs!$B$13,0,L5-L7)</f>
        <v>0</v>
      </c>
    </row>
    <row r="9" customFormat="false" ht="15" hidden="false" customHeight="false" outlineLevel="0" collapsed="false">
      <c r="A9" s="0" t="s">
        <v>23</v>
      </c>
      <c r="B9" s="0" t="n">
        <f aca="false">B6+B7</f>
        <v>0</v>
      </c>
      <c r="C9" s="0" t="n">
        <f aca="false">C6+C7</f>
        <v>3370250</v>
      </c>
      <c r="D9" s="0" t="n">
        <f aca="false">D6+D7</f>
        <v>3370250</v>
      </c>
      <c r="E9" s="0" t="n">
        <f aca="false">E6+E7</f>
        <v>3370250</v>
      </c>
      <c r="F9" s="4" t="n">
        <f aca="false">F6+F7</f>
        <v>4056894.97809958</v>
      </c>
      <c r="G9" s="4" t="n">
        <f aca="false">G6+G7</f>
        <v>4056894.97809958</v>
      </c>
      <c r="H9" s="4" t="n">
        <f aca="false">H6+H7</f>
        <v>4056894.97809958</v>
      </c>
      <c r="I9" s="4" t="n">
        <f aca="false">I6+I7</f>
        <v>4056894.97809958</v>
      </c>
      <c r="J9" s="0" t="n">
        <f aca="false">J6+J7</f>
        <v>0</v>
      </c>
      <c r="K9" s="0" t="n">
        <f aca="false">K6+K7</f>
        <v>0</v>
      </c>
      <c r="L9" s="0" t="n">
        <f aca="false">L6+L7</f>
        <v>0</v>
      </c>
    </row>
    <row r="10" customFormat="false" ht="15" hidden="false" customHeight="false" outlineLevel="0" collapsed="false">
      <c r="A10" s="0" t="s">
        <v>24</v>
      </c>
      <c r="B10" s="0" t="n">
        <f aca="false">IF(AND(B$3&gt;=1,B$3&lt;=Inputs!$B$13),Inputs!$B$3*(1-Inputs!$B$4)*(1-Inputs!$B$5)/27.5*IF(B$3=1,11.5/12,1)*IF((B$3=Inputs!$B$13),11.5/12,1),0)</f>
        <v>0</v>
      </c>
      <c r="C10" s="0" t="n">
        <f aca="false">IF(AND(C$3&gt;=1,C$3&lt;=Inputs!$B$13),Inputs!$B$3*(1-Inputs!$B$4)*(1-Inputs!$B$5)/27.5*IF(C$3=1,11.5/12,1)*IF((C$3=Inputs!$B$13),11.5/12,1),0)</f>
        <v>1895757.57575758</v>
      </c>
      <c r="D10" s="0" t="n">
        <f aca="false">IF(AND(D$3&gt;=1,D$3&lt;=Inputs!$B$13),Inputs!$B$3*(1-Inputs!$B$4)*(1-Inputs!$B$5)/27.5*IF(D$3=1,11.5/12,1)*IF((D$3=Inputs!$B$13),11.5/12,1),0)</f>
        <v>1978181.81818182</v>
      </c>
      <c r="E10" s="0" t="n">
        <f aca="false">IF(AND(E$3&gt;=1,E$3&lt;=Inputs!$B$13),Inputs!$B$3*(1-Inputs!$B$4)*(1-Inputs!$B$5)/27.5*IF(E$3=1,11.5/12,1)*IF((E$3=Inputs!$B$13),11.5/12,1),0)</f>
        <v>1978181.81818182</v>
      </c>
      <c r="F10" s="0" t="n">
        <f aca="false">IF(AND(F$3&gt;=1,F$3&lt;=Inputs!$B$13),Inputs!$B$3*(1-Inputs!$B$4)*(1-Inputs!$B$5)/27.5*IF(F$3=1,11.5/12,1)*IF((F$3=Inputs!$B$13),11.5/12,1),0)</f>
        <v>1978181.81818182</v>
      </c>
      <c r="G10" s="0" t="n">
        <f aca="false">IF(AND(G$3&gt;=1,G$3&lt;=Inputs!$B$13),Inputs!$B$3*(1-Inputs!$B$4)*(1-Inputs!$B$5)/27.5*IF(G$3=1,11.5/12,1)*IF((G$3=Inputs!$B$13),11.5/12,1),0)</f>
        <v>1978181.81818182</v>
      </c>
      <c r="H10" s="0" t="n">
        <f aca="false">IF(AND(H$3&gt;=1,H$3&lt;=Inputs!$B$13),Inputs!$B$3*(1-Inputs!$B$4)*(1-Inputs!$B$5)/27.5*IF(H$3=1,11.5/12,1)*IF((H$3=Inputs!$B$13),11.5/12,1),0)</f>
        <v>1978181.81818182</v>
      </c>
      <c r="I10" s="0" t="n">
        <f aca="false">IF(AND(I$3&gt;=1,I$3&lt;=Inputs!$B$13),Inputs!$B$3*(1-Inputs!$B$4)*(1-Inputs!$B$5)/27.5*IF(I$3=1,11.5/12,1)*IF((I$3=Inputs!$B$13),11.5/12,1),0)</f>
        <v>1895757.57575758</v>
      </c>
      <c r="J10" s="0" t="n">
        <f aca="false">IF(AND(J$3&gt;=1,J$3&lt;=Inputs!$B$13),Inputs!$B$3*(1-Inputs!$B$4)*(1-Inputs!$B$5)/27.5*IF(J$3=1,11.5/12,1)*IF((J$3=Inputs!$B$13),11.5/12,1),0)</f>
        <v>0</v>
      </c>
      <c r="K10" s="0" t="n">
        <f aca="false">IF(AND(K$3&gt;=1,K$3&lt;=Inputs!$B$13),Inputs!$B$3*(1-Inputs!$B$4)*(1-Inputs!$B$5)/27.5*IF(K$3=1,11.5/12,1)*IF((K$3=Inputs!$B$13),11.5/12,1),0)</f>
        <v>0</v>
      </c>
      <c r="L10" s="0" t="n">
        <f aca="false">IF(AND(L$3&gt;=1,L$3&lt;=Inputs!$B$13),Inputs!$B$3*(1-Inputs!$B$4)*(1-Inputs!$B$5)/27.5*IF(L$3=1,11.5/12,1)*IF((L$3=Inputs!$B$13),11.5/12,1),0)</f>
        <v>0</v>
      </c>
    </row>
    <row r="11" customFormat="false" ht="15" hidden="false" customHeight="false" outlineLevel="0" collapsed="false">
      <c r="A11" s="0" t="s">
        <v>25</v>
      </c>
      <c r="B11" s="0" t="n">
        <f aca="false">IF(AND(B$3&gt;=1,B$3&lt;=Inputs!$B$13),IF(B$3=1,Inputs!$B$3*(1-Inputs!$B$4)*Inputs!$B$5*Inputs!$B$6,0)+IF(B$3&lt;=5,Inputs!$B$3*(1-Inputs!$B$4)*Inputs!$B$5*(1-Inputs!$B$6)/5,0),0)</f>
        <v>0</v>
      </c>
      <c r="C11" s="0" t="n">
        <f aca="false">IF(AND(C$3&gt;=1,C$3&lt;=Inputs!$B$13),IF(C$3=1,Inputs!$B$3*(1-Inputs!$B$4)*Inputs!$B$5*Inputs!$B$6,0)+IF(C$3&lt;=5,Inputs!$B$3*(1-Inputs!$B$4)*Inputs!$B$5*(1-Inputs!$B$6)/5,0),0)</f>
        <v>9248000</v>
      </c>
      <c r="D11" s="0" t="n">
        <f aca="false">IF(AND(D$3&gt;=1,D$3&lt;=Inputs!$B$13),IF(D$3=1,Inputs!$B$3*(1-Inputs!$B$4)*Inputs!$B$5*Inputs!$B$6,0)+IF(D$3&lt;=5,Inputs!$B$3*(1-Inputs!$B$4)*Inputs!$B$5*(1-Inputs!$B$6)/5,0),0)</f>
        <v>1088000</v>
      </c>
      <c r="E11" s="0" t="n">
        <f aca="false">IF(AND(E$3&gt;=1,E$3&lt;=Inputs!$B$13),IF(E$3=1,Inputs!$B$3*(1-Inputs!$B$4)*Inputs!$B$5*Inputs!$B$6,0)+IF(E$3&lt;=5,Inputs!$B$3*(1-Inputs!$B$4)*Inputs!$B$5*(1-Inputs!$B$6)/5,0),0)</f>
        <v>1088000</v>
      </c>
      <c r="F11" s="0" t="n">
        <f aca="false">IF(AND(F$3&gt;=1,F$3&lt;=Inputs!$B$13),IF(F$3=1,Inputs!$B$3*(1-Inputs!$B$4)*Inputs!$B$5*Inputs!$B$6,0)+IF(F$3&lt;=5,Inputs!$B$3*(1-Inputs!$B$4)*Inputs!$B$5*(1-Inputs!$B$6)/5,0),0)</f>
        <v>1088000</v>
      </c>
      <c r="G11" s="0" t="n">
        <f aca="false">IF(AND(G$3&gt;=1,G$3&lt;=Inputs!$B$13),IF(G$3=1,Inputs!$B$3*(1-Inputs!$B$4)*Inputs!$B$5*Inputs!$B$6,0)+IF(G$3&lt;=5,Inputs!$B$3*(1-Inputs!$B$4)*Inputs!$B$5*(1-Inputs!$B$6)/5,0),0)</f>
        <v>1088000</v>
      </c>
      <c r="H11" s="0" t="n">
        <f aca="false">IF(AND(H$3&gt;=1,H$3&lt;=Inputs!$B$13),IF(H$3=1,Inputs!$B$3*(1-Inputs!$B$4)*Inputs!$B$5*Inputs!$B$6,0)+IF(H$3&lt;=5,Inputs!$B$3*(1-Inputs!$B$4)*Inputs!$B$5*(1-Inputs!$B$6)/5,0),0)</f>
        <v>0</v>
      </c>
      <c r="I11" s="0" t="n">
        <f aca="false">IF(AND(I$3&gt;=1,I$3&lt;=Inputs!$B$13),IF(I$3=1,Inputs!$B$3*(1-Inputs!$B$4)*Inputs!$B$5*Inputs!$B$6,0)+IF(I$3&lt;=5,Inputs!$B$3*(1-Inputs!$B$4)*Inputs!$B$5*(1-Inputs!$B$6)/5,0),0)</f>
        <v>0</v>
      </c>
      <c r="J11" s="0" t="n">
        <f aca="false">IF(AND(J$3&gt;=1,J$3&lt;=Inputs!$B$13),IF(J$3=1,Inputs!$B$3*(1-Inputs!$B$4)*Inputs!$B$5*Inputs!$B$6,0)+IF(J$3&lt;=5,Inputs!$B$3*(1-Inputs!$B$4)*Inputs!$B$5*(1-Inputs!$B$6)/5,0),0)</f>
        <v>0</v>
      </c>
      <c r="K11" s="0" t="n">
        <f aca="false">IF(AND(K$3&gt;=1,K$3&lt;=Inputs!$B$13),IF(K$3=1,Inputs!$B$3*(1-Inputs!$B$4)*Inputs!$B$5*Inputs!$B$6,0)+IF(K$3&lt;=5,Inputs!$B$3*(1-Inputs!$B$4)*Inputs!$B$5*(1-Inputs!$B$6)/5,0),0)</f>
        <v>0</v>
      </c>
      <c r="L11" s="0" t="n">
        <f aca="false">IF(AND(L$3&gt;=1,L$3&lt;=Inputs!$B$13),IF(L$3=1,Inputs!$B$3*(1-Inputs!$B$4)*Inputs!$B$5*Inputs!$B$6,0)+IF(L$3&lt;=5,Inputs!$B$3*(1-Inputs!$B$4)*Inputs!$B$5*(1-Inputs!$B$6)/5,0),0)</f>
        <v>0</v>
      </c>
    </row>
    <row r="12" customFormat="false" ht="15" hidden="false" customHeight="false" outlineLevel="0" collapsed="false">
      <c r="A12" s="0" t="s">
        <v>26</v>
      </c>
      <c r="B12" s="0" t="n">
        <f aca="false">B4-B6-B10-B11</f>
        <v>0</v>
      </c>
      <c r="C12" s="0" t="n">
        <f aca="false">C4-C6-C10-C11</f>
        <v>-9614007.57575758</v>
      </c>
      <c r="D12" s="0" t="n">
        <f aca="false">D4-D6-D10-D11</f>
        <v>-1389431.81818182</v>
      </c>
      <c r="E12" s="0" t="n">
        <f aca="false">E4-E6-E10-E11</f>
        <v>-1238021.81818182</v>
      </c>
      <c r="F12" s="0" t="n">
        <f aca="false">F4-F6-F10-F11</f>
        <v>-1082069.51818182</v>
      </c>
      <c r="G12" s="4" t="n">
        <f aca="false">G4-G6-G10-G11</f>
        <v>-879553.305517743</v>
      </c>
      <c r="H12" s="4" t="n">
        <f aca="false">H4-H6-H10-H11</f>
        <v>418336.83917984</v>
      </c>
      <c r="I12" s="4" t="n">
        <f aca="false">I4-I6-I10-I11</f>
        <v>718325.581481049</v>
      </c>
      <c r="J12" s="0" t="n">
        <f aca="false">J4-J6-J10-J11</f>
        <v>0</v>
      </c>
      <c r="K12" s="0" t="n">
        <f aca="false">K4-K6-K10-K11</f>
        <v>0</v>
      </c>
      <c r="L12" s="0" t="n">
        <f aca="false">L4-L6-L10-L11</f>
        <v>0</v>
      </c>
    </row>
    <row r="13" customFormat="false" ht="15" hidden="false" customHeight="false" outlineLevel="0" collapsed="false">
      <c r="A13" s="0" t="s">
        <v>27</v>
      </c>
      <c r="B13" s="0" t="n">
        <f aca="false">0</f>
        <v>0</v>
      </c>
      <c r="C13" s="0" t="n">
        <f aca="false">B15</f>
        <v>0</v>
      </c>
      <c r="D13" s="0" t="n">
        <f aca="false">C15</f>
        <v>9614007.57575758</v>
      </c>
      <c r="E13" s="0" t="n">
        <f aca="false">D15</f>
        <v>11003439.3939394</v>
      </c>
      <c r="F13" s="0" t="n">
        <f aca="false">E15</f>
        <v>12241461.2121212</v>
      </c>
      <c r="G13" s="0" t="n">
        <f aca="false">F15</f>
        <v>13323530.730303</v>
      </c>
      <c r="H13" s="0" t="n">
        <f aca="false">G15</f>
        <v>14203084.0358208</v>
      </c>
      <c r="I13" s="4" t="n">
        <f aca="false">H15</f>
        <v>13784747.1966409</v>
      </c>
      <c r="J13" s="4" t="n">
        <f aca="false">I15</f>
        <v>13066421.6151599</v>
      </c>
      <c r="K13" s="4" t="n">
        <f aca="false">J15</f>
        <v>13066421.6151599</v>
      </c>
      <c r="L13" s="4" t="n">
        <f aca="false">K15</f>
        <v>13066421.6151599</v>
      </c>
    </row>
    <row r="14" customFormat="false" ht="15" hidden="false" customHeight="false" outlineLevel="0" collapsed="false">
      <c r="A14" s="0" t="s">
        <v>28</v>
      </c>
      <c r="B14" s="0" t="n">
        <f aca="false">IF(B12&gt;0,MIN(B12,B13),0)</f>
        <v>0</v>
      </c>
      <c r="C14" s="0" t="n">
        <f aca="false">IF(C12&gt;0,MIN(C12,C13),0)</f>
        <v>0</v>
      </c>
      <c r="D14" s="0" t="n">
        <f aca="false">IF(D12&gt;0,MIN(D12,D13),0)</f>
        <v>0</v>
      </c>
      <c r="E14" s="0" t="n">
        <f aca="false">IF(E12&gt;0,MIN(E12,E13),0)</f>
        <v>0</v>
      </c>
      <c r="F14" s="0" t="n">
        <f aca="false">IF(F12&gt;0,MIN(F12,F13),0)</f>
        <v>0</v>
      </c>
      <c r="G14" s="0" t="n">
        <f aca="false">IF(G12&gt;0,MIN(G12,G13),0)</f>
        <v>0</v>
      </c>
      <c r="H14" s="4" t="n">
        <f aca="false">IF(H12&gt;0,MIN(H12,H13),0)</f>
        <v>418336.83917984</v>
      </c>
      <c r="I14" s="4" t="n">
        <f aca="false">IF(I12&gt;0,MIN(I12,I13),0)</f>
        <v>718325.581481049</v>
      </c>
      <c r="J14" s="0" t="n">
        <f aca="false">IF(J12&gt;0,MIN(J12,J13),0)</f>
        <v>0</v>
      </c>
      <c r="K14" s="0" t="n">
        <f aca="false">IF(K12&gt;0,MIN(K12,K13),0)</f>
        <v>0</v>
      </c>
      <c r="L14" s="0" t="n">
        <f aca="false">IF(L12&gt;0,MIN(L12,L13),0)</f>
        <v>0</v>
      </c>
    </row>
    <row r="15" customFormat="false" ht="15" hidden="false" customHeight="false" outlineLevel="0" collapsed="false">
      <c r="A15" s="0" t="s">
        <v>29</v>
      </c>
      <c r="B15" s="0" t="n">
        <f aca="false">B13-B14+MAX(0,-B12)</f>
        <v>0</v>
      </c>
      <c r="C15" s="0" t="n">
        <f aca="false">C13-C14+MAX(0,-C12)</f>
        <v>9614007.57575758</v>
      </c>
      <c r="D15" s="0" t="n">
        <f aca="false">D13-D14+MAX(0,-D12)</f>
        <v>11003439.3939394</v>
      </c>
      <c r="E15" s="0" t="n">
        <f aca="false">E13-E14+MAX(0,-E12)</f>
        <v>12241461.2121212</v>
      </c>
      <c r="F15" s="0" t="n">
        <f aca="false">F13-F14+MAX(0,-F12)</f>
        <v>13323530.730303</v>
      </c>
      <c r="G15" s="0" t="n">
        <f aca="false">G13-G14+MAX(0,-G12)</f>
        <v>14203084.0358208</v>
      </c>
      <c r="H15" s="4" t="n">
        <f aca="false">H13-H14+MAX(0,-H12)</f>
        <v>13784747.1966409</v>
      </c>
      <c r="I15" s="4" t="n">
        <f aca="false">I13-I14+MAX(0,-I12)</f>
        <v>13066421.6151599</v>
      </c>
      <c r="J15" s="4" t="n">
        <f aca="false">J13-J14+MAX(0,-J12)</f>
        <v>13066421.6151599</v>
      </c>
      <c r="K15" s="4" t="n">
        <f aca="false">K13-K14+MAX(0,-K12)</f>
        <v>13066421.6151599</v>
      </c>
      <c r="L15" s="4" t="n">
        <f aca="false">L13-L14+MAX(0,-L12)</f>
        <v>13066421.6151599</v>
      </c>
    </row>
    <row r="16" customFormat="false" ht="15" hidden="false" customHeight="false" outlineLevel="0" collapsed="false">
      <c r="A16" s="0" t="s">
        <v>30</v>
      </c>
      <c r="B16" s="0" t="n">
        <f aca="false">MAX(0,B12-B14)*Inputs!$B$16</f>
        <v>0</v>
      </c>
      <c r="C16" s="0" t="n">
        <f aca="false">MAX(0,C12-C14)*Inputs!$B$16</f>
        <v>0</v>
      </c>
      <c r="D16" s="0" t="n">
        <f aca="false">MAX(0,D12-D14)*Inputs!$B$16</f>
        <v>0</v>
      </c>
      <c r="E16" s="0" t="n">
        <f aca="false">MAX(0,E12-E14)*Inputs!$B$16</f>
        <v>0</v>
      </c>
      <c r="F16" s="0" t="n">
        <f aca="false">MAX(0,F12-F14)*Inputs!$B$16</f>
        <v>0</v>
      </c>
      <c r="G16" s="0" t="n">
        <f aca="false">MAX(0,G12-G14)*Inputs!$B$16</f>
        <v>0</v>
      </c>
      <c r="H16" s="0" t="n">
        <f aca="false">MAX(0,H12-H14)*Inputs!$B$16</f>
        <v>0</v>
      </c>
      <c r="I16" s="0" t="n">
        <f aca="false">MAX(0,I12-I14)*Inputs!$B$16</f>
        <v>0</v>
      </c>
      <c r="J16" s="0" t="n">
        <f aca="false">MAX(0,J12-J14)*Inputs!$B$16</f>
        <v>0</v>
      </c>
      <c r="K16" s="0" t="n">
        <f aca="false">MAX(0,K12-K14)*Inputs!$B$16</f>
        <v>0</v>
      </c>
      <c r="L16" s="0" t="n">
        <f aca="false">MAX(0,L12-L14)*Inputs!$B$16</f>
        <v>0</v>
      </c>
    </row>
    <row r="17" customFormat="false" ht="15" hidden="false" customHeight="false" outlineLevel="0" collapsed="false">
      <c r="A17" s="0" t="s">
        <v>31</v>
      </c>
      <c r="B17" s="0" t="n">
        <f aca="false">-(Inputs!$B$3-Inputs!$B$3*Inputs!$B$9)</f>
        <v>-29750000</v>
      </c>
      <c r="C17" s="0" t="n">
        <f aca="false">C4-C9+IF((C$3=Inputs!$B$13),C18-C19-C5+C7,0)</f>
        <v>1529750</v>
      </c>
      <c r="D17" s="0" t="n">
        <f aca="false">D4-D9+IF((D$3=Inputs!$B$13),D18-D19-D5+D7,0)</f>
        <v>1676750</v>
      </c>
      <c r="E17" s="0" t="n">
        <f aca="false">E4-E9+IF((E$3=Inputs!$B$13),E18-E19-E5+E7,0)</f>
        <v>1828160</v>
      </c>
      <c r="F17" s="4" t="n">
        <f aca="false">F4-F9+IF((F$3=Inputs!$B$13),F18-F19-F5+F7,0)</f>
        <v>1297467.32190042</v>
      </c>
      <c r="G17" s="4" t="n">
        <f aca="false">G4-G9+IF((G$3=Inputs!$B$13),G18-G19-G5+G7,0)</f>
        <v>1458098.19090042</v>
      </c>
      <c r="H17" s="4" t="n">
        <f aca="false">H4-H9+IF((H$3=Inputs!$B$13),H18-H19-H5+H7,0)</f>
        <v>1623547.98597042</v>
      </c>
      <c r="I17" s="4" t="n">
        <f aca="false">I4-I9+IF((I$3=Inputs!$B$13),I18-I19-I5+I7,0)</f>
        <v>56931398.2515881</v>
      </c>
      <c r="J17" s="0" t="n">
        <f aca="false">J4-J9+IF((J$3=Inputs!$B$13),J18-J19-J5+J7,0)</f>
        <v>0</v>
      </c>
      <c r="K17" s="0" t="n">
        <f aca="false">K4-K9+IF((K$3=Inputs!$B$13),K18-K19-K5+K7,0)</f>
        <v>0</v>
      </c>
      <c r="L17" s="0" t="n">
        <f aca="false">L4-L9+IF((L$3=Inputs!$B$13),L18-L19-L5+L7,0)</f>
        <v>0</v>
      </c>
    </row>
    <row r="18" customFormat="false" ht="15" hidden="false" customHeight="false" outlineLevel="0" collapsed="false">
      <c r="A18" s="0" t="s">
        <v>32</v>
      </c>
      <c r="B18" s="0" t="n">
        <f aca="false">IF((B$3=Inputs!$B$13),Inputs!$B$7*(1+Inputs!$B$8)^B$3/Inputs!$B$14,0)</f>
        <v>0</v>
      </c>
      <c r="C18" s="0" t="n">
        <f aca="false">IF((C$3=Inputs!$B$13),Inputs!$B$7*(1+Inputs!$B$8)^C$3/Inputs!$B$14,0)</f>
        <v>0</v>
      </c>
      <c r="D18" s="0" t="n">
        <f aca="false">IF((D$3=Inputs!$B$13),Inputs!$B$7*(1+Inputs!$B$8)^D$3/Inputs!$B$14,0)</f>
        <v>0</v>
      </c>
      <c r="E18" s="0" t="n">
        <f aca="false">IF((E$3=Inputs!$B$13),Inputs!$B$7*(1+Inputs!$B$8)^E$3/Inputs!$B$14,0)</f>
        <v>0</v>
      </c>
      <c r="F18" s="0" t="n">
        <f aca="false">IF((F$3=Inputs!$B$13),Inputs!$B$7*(1+Inputs!$B$8)^F$3/Inputs!$B$14,0)</f>
        <v>0</v>
      </c>
      <c r="G18" s="0" t="n">
        <f aca="false">IF((G$3=Inputs!$B$13),Inputs!$B$7*(1+Inputs!$B$8)^G$3/Inputs!$B$14,0)</f>
        <v>0</v>
      </c>
      <c r="H18" s="0" t="n">
        <f aca="false">IF((H$3=Inputs!$B$13),Inputs!$B$7*(1+Inputs!$B$8)^H$3/Inputs!$B$14,0)</f>
        <v>0</v>
      </c>
      <c r="I18" s="0" t="n">
        <f aca="false">IF((I$3=Inputs!$B$13),Inputs!$B$7*(1+Inputs!$B$8)^I$3/Inputs!$B$14,0)</f>
        <v>109570580.737852</v>
      </c>
      <c r="J18" s="0" t="n">
        <f aca="false">IF((J$3=Inputs!$B$13),Inputs!$B$7*(1+Inputs!$B$8)^J$3/Inputs!$B$14,0)</f>
        <v>0</v>
      </c>
      <c r="K18" s="0" t="n">
        <f aca="false">IF((K$3=Inputs!$B$13),Inputs!$B$7*(1+Inputs!$B$8)^K$3/Inputs!$B$14,0)</f>
        <v>0</v>
      </c>
      <c r="L18" s="0" t="n">
        <f aca="false">IF((L$3=Inputs!$B$13),Inputs!$B$7*(1+Inputs!$B$8)^L$3/Inputs!$B$14,0)</f>
        <v>0</v>
      </c>
    </row>
    <row r="19" customFormat="false" ht="15" hidden="false" customHeight="false" outlineLevel="0" collapsed="false">
      <c r="A19" s="0" t="s">
        <v>33</v>
      </c>
      <c r="B19" s="0" t="n">
        <f aca="false">B18*Inputs!$B$15</f>
        <v>0</v>
      </c>
      <c r="C19" s="0" t="n">
        <f aca="false">C18*Inputs!$B$15</f>
        <v>0</v>
      </c>
      <c r="D19" s="0" t="n">
        <f aca="false">D18*Inputs!$B$15</f>
        <v>0</v>
      </c>
      <c r="E19" s="0" t="n">
        <f aca="false">E18*Inputs!$B$15</f>
        <v>0</v>
      </c>
      <c r="F19" s="0" t="n">
        <f aca="false">F18*Inputs!$B$15</f>
        <v>0</v>
      </c>
      <c r="G19" s="0" t="n">
        <f aca="false">G18*Inputs!$B$15</f>
        <v>0</v>
      </c>
      <c r="H19" s="0" t="n">
        <f aca="false">H18*Inputs!$B$15</f>
        <v>0</v>
      </c>
      <c r="I19" s="0" t="n">
        <f aca="false">I18*Inputs!$B$15</f>
        <v>2191411.61475704</v>
      </c>
      <c r="J19" s="0" t="n">
        <f aca="false">J18*Inputs!$B$15</f>
        <v>0</v>
      </c>
      <c r="K19" s="0" t="n">
        <f aca="false">K18*Inputs!$B$15</f>
        <v>0</v>
      </c>
      <c r="L19" s="0" t="n">
        <f aca="false">L18*Inputs!$B$15</f>
        <v>0</v>
      </c>
    </row>
    <row r="20" customFormat="false" ht="15" hidden="false" customHeight="false" outlineLevel="0" collapsed="false">
      <c r="A20" s="0" t="s">
        <v>34</v>
      </c>
      <c r="B20" s="0" t="n">
        <f aca="false">IF((B$3=Inputs!$B$13),MAX(0,MIN(SUM($C11:B11),B18-B19-(Inputs!$B$3-SUM($C10:B10)-SUM($C11:B11)))-B15)*Inputs!$B$16+MIN(SUM($C10:B10),MAX(0,B18-B19-(Inputs!$B$3-SUM($C10:B10))))*Inputs!$B$17+MAX(0,B18-B19-Inputs!$B$3)*Inputs!$B$18-MAX(0,B15-SUM($C11:B11))*Inputs!$B$16,0)</f>
        <v>0</v>
      </c>
      <c r="C20" s="0" t="n">
        <f aca="false">IF((C$3=Inputs!$B$13),MAX(0,MIN(SUM($C11:C11),C18-C19-(Inputs!$B$3-SUM($C10:C10)-SUM($C11:C11)))-C15)*Inputs!$B$16+MIN(SUM($C10:C10),MAX(0,C18-C19-(Inputs!$B$3-SUM($C10:C10))))*Inputs!$B$17+MAX(0,C18-C19-Inputs!$B$3)*Inputs!$B$18-MAX(0,C15-SUM($C11:C11))*Inputs!$B$16,0)</f>
        <v>0</v>
      </c>
      <c r="D20" s="0" t="n">
        <f aca="false">IF((D$3=Inputs!$B$13),MAX(0,MIN(SUM($C11:D11),D18-D19-(Inputs!$B$3-SUM($C10:D10)-SUM($C11:D11)))-D15)*Inputs!$B$16+MIN(SUM($C10:D10),MAX(0,D18-D19-(Inputs!$B$3-SUM($C10:D10))))*Inputs!$B$17+MAX(0,D18-D19-Inputs!$B$3)*Inputs!$B$18-MAX(0,D15-SUM($C11:D11))*Inputs!$B$16,0)</f>
        <v>0</v>
      </c>
      <c r="E20" s="0" t="n">
        <f aca="false">IF((E$3=Inputs!$B$13),MAX(0,MIN(SUM($C11:E11),E18-E19-(Inputs!$B$3-SUM($C10:E10)-SUM($C11:E11)))-E15)*Inputs!$B$16+MIN(SUM($C10:E10),MAX(0,E18-E19-(Inputs!$B$3-SUM($C10:E10))))*Inputs!$B$17+MAX(0,E18-E19-Inputs!$B$3)*Inputs!$B$18-MAX(0,E15-SUM($C11:E11))*Inputs!$B$16,0)</f>
        <v>0</v>
      </c>
      <c r="F20" s="0" t="n">
        <f aca="false">IF((F$3=Inputs!$B$13),MAX(0,MIN(SUM($C11:F11),F18-F19-(Inputs!$B$3-SUM($C10:F10)-SUM($C11:F11)))-F15)*Inputs!$B$16+MIN(SUM($C10:F10),MAX(0,F18-F19-(Inputs!$B$3-SUM($C10:F10))))*Inputs!$B$17+MAX(0,F18-F19-Inputs!$B$3)*Inputs!$B$18-MAX(0,F15-SUM($C11:F11))*Inputs!$B$16,0)</f>
        <v>0</v>
      </c>
      <c r="G20" s="0" t="n">
        <f aca="false">IF((G$3=Inputs!$B$13),MAX(0,MIN(SUM($C11:G11),G18-G19-(Inputs!$B$3-SUM($C10:G10)-SUM($C11:G11)))-G15)*Inputs!$B$16+MIN(SUM($C10:G10),MAX(0,G18-G19-(Inputs!$B$3-SUM($C10:G10))))*Inputs!$B$17+MAX(0,G18-G19-Inputs!$B$3)*Inputs!$B$18-MAX(0,G15-SUM($C11:G11))*Inputs!$B$16,0)</f>
        <v>0</v>
      </c>
      <c r="H20" s="0" t="n">
        <f aca="false">IF((H$3=Inputs!$B$13),MAX(0,MIN(SUM($C11:H11),H18-H19-(Inputs!$B$3-SUM($C10:H10)-SUM($C11:H11)))-H15)*Inputs!$B$16+MIN(SUM($C10:H10),MAX(0,H18-H19-(Inputs!$B$3-SUM($C10:H10))))*Inputs!$B$17+MAX(0,H18-H19-Inputs!$B$3)*Inputs!$B$18-MAX(0,H15-SUM($C11:H11))*Inputs!$B$16,0)</f>
        <v>0</v>
      </c>
      <c r="I20" s="0" t="n">
        <f aca="false">IF((I$3=Inputs!$B$13),MAX(0,MIN(SUM($C11:I11),I18-I19-(Inputs!$B$3-SUM($C10:I10)-SUM($C11:I11)))-I15)*Inputs!$B$16+MIN(SUM($C10:I10),MAX(0,I18-I19-(Inputs!$B$3-SUM($C10:I10))))*Inputs!$B$17+MAX(0,I18-I19-Inputs!$B$3)*Inputs!$B$18-MAX(0,I15-SUM($C11:I11))*Inputs!$B$16,0)</f>
        <v>8944272.31429352</v>
      </c>
      <c r="J20" s="0" t="n">
        <f aca="false">IF((J$3=Inputs!$B$13),MAX(0,MIN(SUM($C11:J11),J18-J19-(Inputs!$B$3-SUM($C10:J10)-SUM($C11:J11)))-J15)*Inputs!$B$16+MIN(SUM($C10:J10),MAX(0,J18-J19-(Inputs!$B$3-SUM($C10:J10))))*Inputs!$B$17+MAX(0,J18-J19-Inputs!$B$3)*Inputs!$B$18-MAX(0,J15-SUM($C11:J11))*Inputs!$B$16,0)</f>
        <v>0</v>
      </c>
      <c r="K20" s="0" t="n">
        <f aca="false">IF((K$3=Inputs!$B$13),MAX(0,MIN(SUM($C11:K11),K18-K19-(Inputs!$B$3-SUM($C10:K10)-SUM($C11:K11)))-K15)*Inputs!$B$16+MIN(SUM($C10:K10),MAX(0,K18-K19-(Inputs!$B$3-SUM($C10:K10))))*Inputs!$B$17+MAX(0,K18-K19-Inputs!$B$3)*Inputs!$B$18-MAX(0,K15-SUM($C11:K11))*Inputs!$B$16,0)</f>
        <v>0</v>
      </c>
      <c r="L20" s="0" t="n">
        <f aca="false">IF((L$3=Inputs!$B$13),MAX(0,MIN(SUM($C11:L11),L18-L19-(Inputs!$B$3-SUM($C10:L10)-SUM($C11:L11)))-L15)*Inputs!$B$16+MIN(SUM($C10:L10),MAX(0,L18-L19-(Inputs!$B$3-SUM($C10:L10))))*Inputs!$B$17+MAX(0,L18-L19-Inputs!$B$3)*Inputs!$B$18-MAX(0,L15-SUM($C11:L11))*Inputs!$B$16,0)</f>
        <v>0</v>
      </c>
    </row>
    <row r="21" customFormat="false" ht="15" hidden="false" customHeight="false" outlineLevel="0" collapsed="false">
      <c r="A21" s="0" t="s">
        <v>35</v>
      </c>
      <c r="B21" s="0" t="n">
        <f aca="false">B17-B16-B20</f>
        <v>-29750000</v>
      </c>
      <c r="C21" s="0" t="n">
        <f aca="false">C17-C16-C20</f>
        <v>1529750</v>
      </c>
      <c r="D21" s="0" t="n">
        <f aca="false">D17-D16-D20</f>
        <v>1676750</v>
      </c>
      <c r="E21" s="0" t="n">
        <f aca="false">E17-E16-E20</f>
        <v>1828160</v>
      </c>
      <c r="F21" s="4" t="n">
        <f aca="false">F17-F16-F20</f>
        <v>1297467.32190042</v>
      </c>
      <c r="G21" s="4" t="n">
        <f aca="false">G17-G16-G20</f>
        <v>1458098.19090042</v>
      </c>
      <c r="H21" s="4" t="n">
        <f aca="false">H17-H16-H20</f>
        <v>1623547.98597042</v>
      </c>
      <c r="I21" s="4" t="n">
        <f aca="false">I17-I16-I20</f>
        <v>47987125.9372946</v>
      </c>
      <c r="J21" s="0" t="n">
        <f aca="false">J17-J16-J20</f>
        <v>0</v>
      </c>
      <c r="K21" s="0" t="n">
        <f aca="false">K17-K16-K20</f>
        <v>0</v>
      </c>
      <c r="L21" s="0" t="n">
        <f aca="false">L17-L16-L20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36</v>
      </c>
      <c r="B3" s="2" t="n">
        <f aca="false">IRR('Cash Flow'!B17:L17)</f>
        <v>0.134555116017906</v>
      </c>
    </row>
    <row r="4" customFormat="false" ht="15" hidden="false" customHeight="false" outlineLevel="0" collapsed="false">
      <c r="A4" s="0" t="s">
        <v>37</v>
      </c>
      <c r="B4" s="2" t="n">
        <f aca="false">IRR('Cash Flow'!B21:L21)</f>
        <v>0.110165121393592</v>
      </c>
    </row>
    <row r="5" customFormat="false" ht="15" hidden="false" customHeight="false" outlineLevel="0" collapsed="false">
      <c r="A5" s="0" t="s">
        <v>38</v>
      </c>
      <c r="B5" s="5" t="n">
        <f aca="false">SUMIF('Cash Flow'!B21:L21,"&gt;0")/-SUMIF('Cash Flow'!B21:L21,"&lt;0")</f>
        <v>1.92944199785095</v>
      </c>
    </row>
    <row r="6" customFormat="false" ht="15" hidden="false" customHeight="false" outlineLevel="0" collapsed="false">
      <c r="A6" s="0" t="s">
        <v>39</v>
      </c>
      <c r="B6" s="1" t="n">
        <f aca="false">SUM('Cash Flow'!B20:L20)</f>
        <v>8944272.31429352</v>
      </c>
    </row>
    <row r="7" customFormat="false" ht="15" hidden="false" customHeight="false" outlineLevel="0" collapsed="false">
      <c r="A7" s="0" t="s">
        <v>40</v>
      </c>
      <c r="B7" s="1" t="n">
        <f aca="false">SUM('Cash Flow'!B10:L10)+SUM('Cash Flow'!B11:L11)</f>
        <v>27282424.2424242</v>
      </c>
    </row>
    <row r="8" customFormat="false" ht="15" hidden="false" customHeight="false" outlineLevel="0" collapsed="false">
      <c r="A8" s="0" t="s">
        <v>41</v>
      </c>
      <c r="B8" s="1" t="n">
        <f aca="false">SUM('Cash Flow'!B21:L21)</f>
        <v>27650899.4360659</v>
      </c>
    </row>
    <row r="9" customFormat="false" ht="15" hidden="false" customHeight="false" outlineLevel="0" collapsed="false">
      <c r="A9" s="0" t="s">
        <v>42</v>
      </c>
      <c r="B9" s="1" t="n">
        <f aca="false">-MIN(0,'Cash Flow'!C12)*Inputs!$B$16</f>
        <v>3557182.8030303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2026-10-17T12:22:18Z</dcterms:created>
  <dc:creator>openpyxl</dc:creator>
  <dc:description/>
  <dc:language>en-US</dc:language>
  <cp:lastModifiedBy/>
  <dcterms:modified xsi:type="dcterms:W3CDTF">2026-10-17T12:22:18Z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