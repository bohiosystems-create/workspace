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المدخلات" sheetId="1" state="visible" r:id="rId3"/>
    <sheet name="التدفقات النقدية" sheetId="2" state="visible" r:id="rId4"/>
    <sheet name="النتائج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<sst xmlns="http://schemas.openxmlformats.org/spreadsheetml/2006/main" count="28" uniqueCount="28">
  <si>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مشروع النخيل السكني – AL NAKHEEL RESIDENTIAL, RIYADH (SAR)</t>
  </si>
  <si>
    <t xml:space="preserve">تاريخ البدء / Start date</t>
  </si>
  <si>
    <t xml:space="preserve">عدد الوحدات / Units</t>
  </si>
  <si>
    <t xml:space="preserve">سعر البيع للوحدة / Sale price per unit (SAR)</t>
  </si>
  <si>
    <t xml:space="preserve">حصة البيع / Share of units sold</t>
  </si>
  <si>
    <t xml:space="preserve">الإيجار السنوي للوحدة / Rent per unit a year (SAR)</t>
  </si>
  <si>
    <t xml:space="preserve">تكلفة البناء / Build cost (SAR)</t>
  </si>
  <si>
    <t xml:space="preserve">الأرض / Land (SAR)</t>
  </si>
  <si>
    <t xml:space="preserve">سايبور / SAIBOR</t>
  </si>
  <si>
    <t xml:space="preserve">الهامش (نقطة أساس) / Margin (bps)</t>
  </si>
  <si>
    <t xml:space="preserve">نسبة التمويل / Loan to cost</t>
  </si>
  <si>
    <t xml:space="preserve">تاريخ التخارج / Exit date</t>
  </si>
  <si>
    <t xml:space="preserve">عائد التخارج / Exit yield</t>
  </si>
  <si>
    <t xml:space="preserve">Year</t>
  </si>
  <si>
    <t xml:space="preserve">Date</t>
  </si>
  <si>
    <t xml:space="preserve">Build</t>
  </si>
  <si>
    <t xml:space="preserve">Land</t>
  </si>
  <si>
    <t xml:space="preserve">Sales</t>
  </si>
  <si>
    <t xml:space="preserve">Rent</t>
  </si>
  <si>
    <t xml:space="preserve">Debt</t>
  </si>
  <si>
    <t xml:space="preserve">Interest</t>
  </si>
  <si>
    <t xml:space="preserve">Exit</t>
  </si>
  <si>
    <t xml:space="preserve">Cash flow</t>
  </si>
  <si>
    <t xml:space="preserve">العائد الداخلي / Levered IRR</t>
  </si>
  <si>
    <t xml:space="preserve">صافي الربح / Net profit (SAR)</t>
  </si>
  <si>
    <t xml:space="preserve">تكلفة التمويل / Finance rate</t>
  </si>
  <si>
    <t xml:space="preserve">سنة التخارج / Exit year</t>
  </si>
  <si>
    <t xml:space="preserve">قيمة التخارج / Exit value (SAR)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</si>
</sst>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0.00%"/>
    <numFmt numFmtId="168" formatCode="0"/>
    <numFmt numFmtId="169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46387</v>
      </c>
    </row>
    <row r="4" customFormat="false" ht="15" hidden="false" customHeight="false" outlineLevel="0" collapsed="false">
      <c r="A4" s="0" t="s">
        <v>2</v>
      </c>
      <c r="B4" s="2" t="n">
        <v>640</v>
      </c>
    </row>
    <row r="5" customFormat="false" ht="15" hidden="false" customHeight="false" outlineLevel="0" collapsed="false">
      <c r="A5" s="0" t="s">
        <v>3</v>
      </c>
      <c r="B5" s="2" t="n">
        <v>1150000</v>
      </c>
    </row>
    <row r="6" customFormat="false" ht="15" hidden="false" customHeight="false" outlineLevel="0" collapsed="false">
      <c r="A6" s="0" t="s">
        <v>4</v>
      </c>
      <c r="B6" s="3" t="n">
        <v>0.6</v>
      </c>
    </row>
    <row r="7" customFormat="false" ht="15" hidden="false" customHeight="false" outlineLevel="0" collapsed="false">
      <c r="A7" s="0" t="s">
        <v>5</v>
      </c>
      <c r="B7" s="2" t="n">
        <v>62000</v>
      </c>
    </row>
    <row r="8" customFormat="false" ht="15" hidden="false" customHeight="false" outlineLevel="0" collapsed="false">
      <c r="A8" s="0" t="s">
        <v>6</v>
      </c>
      <c r="B8" s="2" t="n">
        <v>420000000</v>
      </c>
    </row>
    <row r="9" customFormat="false" ht="15" hidden="false" customHeight="false" outlineLevel="0" collapsed="false">
      <c r="A9" s="0" t="s">
        <v>7</v>
      </c>
      <c r="B9" s="2" t="n">
        <v>165000000</v>
      </c>
    </row>
    <row r="10" customFormat="false" ht="15" hidden="false" customHeight="false" outlineLevel="0" collapsed="false">
      <c r="A10" s="0" t="s">
        <v>8</v>
      </c>
      <c r="B10" s="3" t="n">
        <v>0.0545</v>
      </c>
    </row>
    <row r="11" customFormat="false" ht="15" hidden="false" customHeight="false" outlineLevel="0" collapsed="false">
      <c r="A11" s="0" t="s">
        <v>9</v>
      </c>
      <c r="B11" s="4" t="n">
        <v>275</v>
      </c>
    </row>
    <row r="12" customFormat="false" ht="15" hidden="false" customHeight="false" outlineLevel="0" collapsed="false">
      <c r="A12" s="0" t="s">
        <v>10</v>
      </c>
      <c r="B12" s="3" t="n">
        <v>0.5</v>
      </c>
    </row>
    <row r="13" customFormat="false" ht="15" hidden="false" customHeight="false" outlineLevel="0" collapsed="false">
      <c r="A13" s="0" t="s">
        <v>11</v>
      </c>
      <c r="B13" s="1" t="n">
        <v>48579</v>
      </c>
    </row>
    <row r="14" customFormat="false" ht="15" hidden="false" customHeight="false" outlineLevel="0" collapsed="false">
      <c r="A14" s="0" t="s">
        <v>12</v>
      </c>
      <c r="B14" s="3" t="n">
        <v>0.07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</row>
    <row r="4" customFormat="false" ht="15" hidden="false" customHeight="false" outlineLevel="0" collapsed="false">
      <c r="A4" s="0" t="s">
        <v>14</v>
      </c>
      <c r="B4" s="1" t="n">
        <f aca="false">EDATE(المدخلات!$B$3,12*B$3)</f>
        <v>46387</v>
      </c>
      <c r="C4" s="1" t="n">
        <f aca="false">EDATE(المدخلات!$B$3,12*C$3)</f>
        <v>46752</v>
      </c>
      <c r="D4" s="1" t="n">
        <f aca="false">EDATE(المدخلات!$B$3,12*D$3)</f>
        <v>47118</v>
      </c>
      <c r="E4" s="1" t="n">
        <f aca="false">EDATE(المدخلات!$B$3,12*E$3)</f>
        <v>47483</v>
      </c>
      <c r="F4" s="1" t="n">
        <f aca="false">EDATE(المدخلات!$B$3,12*F$3)</f>
        <v>47848</v>
      </c>
      <c r="G4" s="1" t="n">
        <f aca="false">EDATE(المدخلات!$B$3,12*G$3)</f>
        <v>48213</v>
      </c>
      <c r="H4" s="1" t="n">
        <f aca="false">EDATE(المدخلات!$B$3,12*H$3)</f>
        <v>48579</v>
      </c>
      <c r="I4" s="1" t="n">
        <f aca="false">EDATE(المدخلات!$B$3,12*I$3)</f>
        <v>48944</v>
      </c>
      <c r="J4" s="1" t="n">
        <f aca="false">EDATE(المدخلات!$B$3,12*J$3)</f>
        <v>49309</v>
      </c>
      <c r="K4" s="1" t="n">
        <f aca="false">EDATE(المدخلات!$B$3,12*K$3)</f>
        <v>49674</v>
      </c>
      <c r="L4" s="1" t="n">
        <f aca="false">EDATE(المدخلات!$B$3,12*L$3)</f>
        <v>50040</v>
      </c>
    </row>
    <row r="5" customFormat="false" ht="15" hidden="false" customHeight="false" outlineLevel="0" collapsed="false">
      <c r="A5" s="0" t="s">
        <v>15</v>
      </c>
      <c r="B5" s="0" t="n">
        <f aca="false">IF(AND(B$3&gt;=1,B$3&lt;=3),المدخلات!$B$8/3,0)</f>
        <v>0</v>
      </c>
      <c r="C5" s="0" t="n">
        <f aca="false">IF(AND(C$3&gt;=1,C$3&lt;=3),المدخلات!$B$8/3,0)</f>
        <v>140000000</v>
      </c>
      <c r="D5" s="0" t="n">
        <f aca="false">IF(AND(D$3&gt;=1,D$3&lt;=3),المدخلات!$B$8/3,0)</f>
        <v>140000000</v>
      </c>
      <c r="E5" s="0" t="n">
        <f aca="false">IF(AND(E$3&gt;=1,E$3&lt;=3),المدخلات!$B$8/3,0)</f>
        <v>140000000</v>
      </c>
      <c r="F5" s="0" t="n">
        <f aca="false">IF(AND(F$3&gt;=1,F$3&lt;=3),المدخلات!$B$8/3,0)</f>
        <v>0</v>
      </c>
      <c r="G5" s="0" t="n">
        <f aca="false">IF(AND(G$3&gt;=1,G$3&lt;=3),المدخلات!$B$8/3,0)</f>
        <v>0</v>
      </c>
      <c r="H5" s="0" t="n">
        <f aca="false">IF(AND(H$3&gt;=1,H$3&lt;=3),المدخلات!$B$8/3,0)</f>
        <v>0</v>
      </c>
      <c r="I5" s="0" t="n">
        <f aca="false">IF(AND(I$3&gt;=1,I$3&lt;=3),المدخلات!$B$8/3,0)</f>
        <v>0</v>
      </c>
      <c r="J5" s="0" t="n">
        <f aca="false">IF(AND(J$3&gt;=1,J$3&lt;=3),المدخلات!$B$8/3,0)</f>
        <v>0</v>
      </c>
      <c r="K5" s="0" t="n">
        <f aca="false">IF(AND(K$3&gt;=1,K$3&lt;=3),المدخلات!$B$8/3,0)</f>
        <v>0</v>
      </c>
      <c r="L5" s="0" t="n">
        <f aca="false">IF(AND(L$3&gt;=1,L$3&lt;=3),المدخلات!$B$8/3,0)</f>
        <v>0</v>
      </c>
    </row>
    <row r="6" customFormat="false" ht="15" hidden="false" customHeight="false" outlineLevel="0" collapsed="false">
      <c r="A6" s="0" t="s">
        <v>16</v>
      </c>
      <c r="B6" s="2" t="n">
        <f aca="false">IF(B$3=0,المدخلات!$B$9,0)</f>
        <v>165000000</v>
      </c>
      <c r="C6" s="5" t="n">
        <f aca="false">IF(C$3=0,المدخلات!$B$9,0)</f>
        <v>0</v>
      </c>
      <c r="D6" s="5" t="n">
        <f aca="false">IF(D$3=0,المدخلات!$B$9,0)</f>
        <v>0</v>
      </c>
      <c r="E6" s="5" t="n">
        <f aca="false">IF(E$3=0,المدخلات!$B$9,0)</f>
        <v>0</v>
      </c>
      <c r="F6" s="5" t="n">
        <f aca="false">IF(F$3=0,المدخلات!$B$9,0)</f>
        <v>0</v>
      </c>
      <c r="G6" s="5" t="n">
        <f aca="false">IF(G$3=0,المدخلات!$B$9,0)</f>
        <v>0</v>
      </c>
      <c r="H6" s="5" t="n">
        <f aca="false">IF(H$3=0,المدخلات!$B$9,0)</f>
        <v>0</v>
      </c>
      <c r="I6" s="5" t="n">
        <f aca="false">IF(I$3=0,المدخلات!$B$9,0)</f>
        <v>0</v>
      </c>
      <c r="J6" s="5" t="n">
        <f aca="false">IF(J$3=0,المدخلات!$B$9,0)</f>
        <v>0</v>
      </c>
      <c r="K6" s="5" t="n">
        <f aca="false">IF(K$3=0,المدخلات!$B$9,0)</f>
        <v>0</v>
      </c>
      <c r="L6" s="5" t="n">
        <f aca="false">IF(L$3=0,المدخلات!$B$9,0)</f>
        <v>0</v>
      </c>
    </row>
    <row r="7" customFormat="false" ht="15" hidden="false" customHeight="false" outlineLevel="0" collapsed="false">
      <c r="A7" s="0" t="s">
        <v>17</v>
      </c>
      <c r="B7" s="0" t="n">
        <f aca="false">IF(AND(B$3&gt;=2,B$3&lt;=4),المدخلات!$B$4*المدخلات!$B$6*المدخلات!$B$5/3,0)</f>
        <v>0</v>
      </c>
      <c r="C7" s="0" t="n">
        <f aca="false">IF(AND(C$3&gt;=2,C$3&lt;=4),المدخلات!$B$4*المدخلات!$B$6*المدخلات!$B$5/3,0)</f>
        <v>0</v>
      </c>
      <c r="D7" s="0" t="n">
        <f aca="false">IF(AND(D$3&gt;=2,D$3&lt;=4),المدخلات!$B$4*المدخلات!$B$6*المدخلات!$B$5/3,0)</f>
        <v>147200000</v>
      </c>
      <c r="E7" s="0" t="n">
        <f aca="false">IF(AND(E$3&gt;=2,E$3&lt;=4),المدخلات!$B$4*المدخلات!$B$6*المدخلات!$B$5/3,0)</f>
        <v>147200000</v>
      </c>
      <c r="F7" s="0" t="n">
        <f aca="false">IF(AND(F$3&gt;=2,F$3&lt;=4),المدخلات!$B$4*المدخلات!$B$6*المدخلات!$B$5/3,0)</f>
        <v>147200000</v>
      </c>
      <c r="G7" s="0" t="n">
        <f aca="false">IF(AND(G$3&gt;=2,G$3&lt;=4),المدخلات!$B$4*المدخلات!$B$6*المدخلات!$B$5/3,0)</f>
        <v>0</v>
      </c>
      <c r="H7" s="0" t="n">
        <f aca="false">IF(AND(H$3&gt;=2,H$3&lt;=4),المدخلات!$B$4*المدخلات!$B$6*المدخلات!$B$5/3,0)</f>
        <v>0</v>
      </c>
      <c r="I7" s="0" t="n">
        <f aca="false">IF(AND(I$3&gt;=2,I$3&lt;=4),المدخلات!$B$4*المدخلات!$B$6*المدخلات!$B$5/3,0)</f>
        <v>0</v>
      </c>
      <c r="J7" s="0" t="n">
        <f aca="false">IF(AND(J$3&gt;=2,J$3&lt;=4),المدخلات!$B$4*المدخلات!$B$6*المدخلات!$B$5/3,0)</f>
        <v>0</v>
      </c>
      <c r="K7" s="0" t="n">
        <f aca="false">IF(AND(K$3&gt;=2,K$3&lt;=4),المدخلات!$B$4*المدخلات!$B$6*المدخلات!$B$5/3,0)</f>
        <v>0</v>
      </c>
      <c r="L7" s="0" t="n">
        <f aca="false">IF(AND(L$3&gt;=2,L$3&lt;=4),المدخلات!$B$4*المدخلات!$B$6*المدخلات!$B$5/3,0)</f>
        <v>0</v>
      </c>
    </row>
    <row r="8" customFormat="false" ht="15" hidden="false" customHeight="false" outlineLevel="0" collapsed="false">
      <c r="A8" s="0" t="s">
        <v>18</v>
      </c>
      <c r="B8" s="0" t="n">
        <f aca="false">IF(AND(B$3&gt;=4,B4&lt;=المدخلات!$B$13),المدخلات!$B$4*(1-المدخلات!$B$6)*المدخلات!$B$7*1.025^(B$3-4),0)</f>
        <v>0</v>
      </c>
      <c r="C8" s="0" t="n">
        <f aca="false">IF(AND(C$3&gt;=4,C4&lt;=المدخلات!$B$13),المدخلات!$B$4*(1-المدخلات!$B$6)*المدخلات!$B$7*1.025^(C$3-4),0)</f>
        <v>0</v>
      </c>
      <c r="D8" s="0" t="n">
        <f aca="false">IF(AND(D$3&gt;=4,D4&lt;=المدخلات!$B$13),المدخلات!$B$4*(1-المدخلات!$B$6)*المدخلات!$B$7*1.025^(D$3-4),0)</f>
        <v>0</v>
      </c>
      <c r="E8" s="0" t="n">
        <f aca="false">IF(AND(E$3&gt;=4,E4&lt;=المدخلات!$B$13),المدخلات!$B$4*(1-المدخلات!$B$6)*المدخلات!$B$7*1.025^(E$3-4),0)</f>
        <v>0</v>
      </c>
      <c r="F8" s="0" t="n">
        <f aca="false">IF(AND(F$3&gt;=4,F4&lt;=المدخلات!$B$13),المدخلات!$B$4*(1-المدخلات!$B$6)*المدخلات!$B$7*1.025^(F$3-4),0)</f>
        <v>15872000</v>
      </c>
      <c r="G8" s="0" t="n">
        <f aca="false">IF(AND(G$3&gt;=4,G4&lt;=المدخلات!$B$13),المدخلات!$B$4*(1-المدخلات!$B$6)*المدخلات!$B$7*1.025^(G$3-4),0)</f>
        <v>16268800</v>
      </c>
      <c r="H8" s="0" t="n">
        <f aca="false">IF(AND(H$3&gt;=4,H4&lt;=المدخلات!$B$13),المدخلات!$B$4*(1-المدخلات!$B$6)*المدخلات!$B$7*1.025^(H$3-4),0)</f>
        <v>16675520</v>
      </c>
      <c r="I8" s="0" t="n">
        <f aca="false">IF(AND(I$3&gt;=4,I4&lt;=المدخلات!$B$13),المدخلات!$B$4*(1-المدخلات!$B$6)*المدخلات!$B$7*1.025^(I$3-4),0)</f>
        <v>0</v>
      </c>
      <c r="J8" s="0" t="n">
        <f aca="false">IF(AND(J$3&gt;=4,J4&lt;=المدخلات!$B$13),المدخلات!$B$4*(1-المدخلات!$B$6)*المدخلات!$B$7*1.025^(J$3-4),0)</f>
        <v>0</v>
      </c>
      <c r="K8" s="0" t="n">
        <f aca="false">IF(AND(K$3&gt;=4,K4&lt;=المدخلات!$B$13),المدخلات!$B$4*(1-المدخلات!$B$6)*المدخلات!$B$7*1.025^(K$3-4),0)</f>
        <v>0</v>
      </c>
      <c r="L8" s="0" t="n">
        <f aca="false">IF(AND(L$3&gt;=4,L4&lt;=المدخلات!$B$13),المدخلات!$B$4*(1-المدخلات!$B$6)*المدخلات!$B$7*1.025^(L$3-4),0)</f>
        <v>0</v>
      </c>
    </row>
    <row r="9" customFormat="false" ht="15" hidden="false" customHeight="false" outlineLevel="0" collapsed="false">
      <c r="A9" s="0" t="s">
        <v>19</v>
      </c>
      <c r="B9" s="0" t="n">
        <f aca="false">(المدخلات!$B$8+المدخلات!$B$9)*المدخلات!$B$12</f>
        <v>292500000</v>
      </c>
      <c r="C9" s="0" t="n">
        <f aca="false">(المدخلات!$B$8+المدخلات!$B$9)*المدخلات!$B$12</f>
        <v>292500000</v>
      </c>
      <c r="D9" s="0" t="n">
        <f aca="false">(المدخلات!$B$8+المدخلات!$B$9)*المدخلات!$B$12</f>
        <v>292500000</v>
      </c>
      <c r="E9" s="0" t="n">
        <f aca="false">(المدخلات!$B$8+المدخلات!$B$9)*المدخلات!$B$12</f>
        <v>292500000</v>
      </c>
      <c r="F9" s="0" t="n">
        <f aca="false">(المدخلات!$B$8+المدخلات!$B$9)*المدخلات!$B$12</f>
        <v>292500000</v>
      </c>
      <c r="G9" s="0" t="n">
        <f aca="false">(المدخلات!$B$8+المدخلات!$B$9)*المدخلات!$B$12</f>
        <v>292500000</v>
      </c>
      <c r="H9" s="0" t="n">
        <f aca="false">(المدخلات!$B$8+المدخلات!$B$9)*المدخلات!$B$12</f>
        <v>292500000</v>
      </c>
      <c r="I9" s="0" t="n">
        <f aca="false">(المدخلات!$B$8+المدخلات!$B$9)*المدخلات!$B$12</f>
        <v>292500000</v>
      </c>
      <c r="J9" s="0" t="n">
        <f aca="false">(المدخلات!$B$8+المدخلات!$B$9)*المدخلات!$B$12</f>
        <v>292500000</v>
      </c>
      <c r="K9" s="0" t="n">
        <f aca="false">(المدخلات!$B$8+المدخلات!$B$9)*المدخلات!$B$12</f>
        <v>292500000</v>
      </c>
      <c r="L9" s="0" t="n">
        <f aca="false">(المدخلات!$B$8+المدخلات!$B$9)*المدخلات!$B$12</f>
        <v>292500000</v>
      </c>
    </row>
    <row r="10" customFormat="false" ht="15" hidden="false" customHeight="false" outlineLevel="0" collapsed="false">
      <c r="A10" s="0" t="s">
        <v>20</v>
      </c>
      <c r="B10" s="0" t="n">
        <f aca="false">0</f>
        <v>0</v>
      </c>
      <c r="C10" s="0" t="n">
        <f aca="false">IF(C$3&lt;=4,C9*(المدخلات!$B$10+المدخلات!$B$11/10000),0)</f>
        <v>23985000</v>
      </c>
      <c r="D10" s="0" t="n">
        <f aca="false">IF(D$3&lt;=4,D9*(المدخلات!$B$10+المدخلات!$B$11/10000),0)</f>
        <v>23985000</v>
      </c>
      <c r="E10" s="0" t="n">
        <f aca="false">IF(E$3&lt;=4,E9*(المدخلات!$B$10+المدخلات!$B$11/10000),0)</f>
        <v>23985000</v>
      </c>
      <c r="F10" s="0" t="n">
        <f aca="false">IF(F$3&lt;=4,F9*(المدخلات!$B$10+المدخلات!$B$11/10000),0)</f>
        <v>23985000</v>
      </c>
      <c r="G10" s="0" t="n">
        <f aca="false">IF(G$3&lt;=4,G9*(المدخلات!$B$10+المدخلات!$B$11/10000),0)</f>
        <v>0</v>
      </c>
      <c r="H10" s="0" t="n">
        <f aca="false">IF(H$3&lt;=4,H9*(المدخلات!$B$10+المدخلات!$B$11/10000),0)</f>
        <v>0</v>
      </c>
      <c r="I10" s="0" t="n">
        <f aca="false">IF(I$3&lt;=4,I9*(المدخلات!$B$10+المدخلات!$B$11/10000),0)</f>
        <v>0</v>
      </c>
      <c r="J10" s="0" t="n">
        <f aca="false">IF(J$3&lt;=4,J9*(المدخلات!$B$10+المدخلات!$B$11/10000),0)</f>
        <v>0</v>
      </c>
      <c r="K10" s="0" t="n">
        <f aca="false">IF(K$3&lt;=4,K9*(المدخلات!$B$10+المدخلات!$B$11/10000),0)</f>
        <v>0</v>
      </c>
      <c r="L10" s="0" t="n">
        <f aca="false">IF(L$3&lt;=4,L9*(المدخلات!$B$10+المدخلات!$B$11/10000),0)</f>
        <v>0</v>
      </c>
    </row>
    <row r="11" customFormat="false" ht="15" hidden="false" customHeight="false" outlineLevel="0" collapsed="false">
      <c r="A11" s="0" t="s">
        <v>21</v>
      </c>
      <c r="B11" s="0" t="n">
        <f aca="false">IF(B$3=MATCH(المدخلات!$B$13,$B$4:$L$4,0)-1,B8*1.025/المدخلات!$B$14,0)</f>
        <v>0</v>
      </c>
      <c r="C11" s="0" t="n">
        <f aca="false">IF(C$3=MATCH(المدخلات!$B$13,$B$4:$L$4,0)-1,C8*1.025/المدخلات!$B$14,0)</f>
        <v>0</v>
      </c>
      <c r="D11" s="0" t="n">
        <f aca="false">IF(D$3=MATCH(المدخلات!$B$13,$B$4:$L$4,0)-1,D8*1.025/المدخلات!$B$14,0)</f>
        <v>0</v>
      </c>
      <c r="E11" s="0" t="n">
        <f aca="false">IF(E$3=MATCH(المدخلات!$B$13,$B$4:$L$4,0)-1,E8*1.025/المدخلات!$B$14,0)</f>
        <v>0</v>
      </c>
      <c r="F11" s="0" t="n">
        <f aca="false">IF(F$3=MATCH(المدخلات!$B$13,$B$4:$L$4,0)-1,F8*1.025/المدخلات!$B$14,0)</f>
        <v>0</v>
      </c>
      <c r="G11" s="0" t="n">
        <f aca="false">IF(G$3=MATCH(المدخلات!$B$13,$B$4:$L$4,0)-1,G8*1.025/المدخلات!$B$14,0)</f>
        <v>0</v>
      </c>
      <c r="H11" s="0" t="n">
        <f aca="false">IF(H$3=MATCH(المدخلات!$B$13,$B$4:$L$4,0)-1,H8*1.025/المدخلات!$B$14,0)</f>
        <v>244177257.142857</v>
      </c>
      <c r="I11" s="0" t="n">
        <f aca="false">IF(I$3=MATCH(المدخلات!$B$13,$B$4:$L$4,0)-1,I8*1.025/المدخلات!$B$14,0)</f>
        <v>0</v>
      </c>
      <c r="J11" s="0" t="n">
        <f aca="false">IF(J$3=MATCH(المدخلات!$B$13,$B$4:$L$4,0)-1,J8*1.025/المدخلات!$B$14,0)</f>
        <v>0</v>
      </c>
      <c r="K11" s="0" t="n">
        <f aca="false">IF(K$3=MATCH(المدخلات!$B$13,$B$4:$L$4,0)-1,K8*1.025/المدخلات!$B$14,0)</f>
        <v>0</v>
      </c>
      <c r="L11" s="0" t="n">
        <f aca="false">IF(L$3=MATCH(المدخلات!$B$13,$B$4:$L$4,0)-1,L8*1.025/المدخلات!$B$14,0)</f>
        <v>0</v>
      </c>
    </row>
    <row r="12" customFormat="false" ht="15" hidden="false" customHeight="false" outlineLevel="0" collapsed="false">
      <c r="A12" s="0" t="s">
        <v>22</v>
      </c>
      <c r="B12" s="0" t="n">
        <f aca="false">-B5-B6+B7+B8-B10+B11+IF(B$3=0,B9,0)-IF(B$3=4,B9,0)</f>
        <v>127500000</v>
      </c>
      <c r="C12" s="0" t="n">
        <f aca="false">-C5-C6+C7+C8-C10+C11+IF(C$3=0,C9,0)-IF(C$3=4,C9,0)</f>
        <v>-163985000</v>
      </c>
      <c r="D12" s="0" t="n">
        <f aca="false">-D5-D6+D7+D8-D10+D11+IF(D$3=0,D9,0)-IF(D$3=4,D9,0)</f>
        <v>-16785000</v>
      </c>
      <c r="E12" s="0" t="n">
        <f aca="false">-E5-E6+E7+E8-E10+E11+IF(E$3=0,E9,0)-IF(E$3=4,E9,0)</f>
        <v>-16785000</v>
      </c>
      <c r="F12" s="0" t="n">
        <f aca="false">-F5-F6+F7+F8-F10+F11+IF(F$3=0,F9,0)-IF(F$3=4,F9,0)</f>
        <v>-153413000</v>
      </c>
      <c r="G12" s="0" t="n">
        <f aca="false">-G5-G6+G7+G8-G10+G11+IF(G$3=0,G9,0)-IF(G$3=4,G9,0)</f>
        <v>16268800</v>
      </c>
      <c r="H12" s="0" t="n">
        <f aca="false">-H5-H6+H7+H8-H10+H11+IF(H$3=0,H9,0)-IF(H$3=4,H9,0)</f>
        <v>260852777.142857</v>
      </c>
      <c r="I12" s="0" t="n">
        <f aca="false">-I5-I6+I7+I8-I10+I11+IF(I$3=0,I9,0)-IF(I$3=4,I9,0)</f>
        <v>0</v>
      </c>
      <c r="J12" s="0" t="n">
        <f aca="false">-J5-J6+J7+J8-J10+J11+IF(J$3=0,J9,0)-IF(J$3=4,J9,0)</f>
        <v>0</v>
      </c>
      <c r="K12" s="0" t="n">
        <f aca="false">-K5-K6+K7+K8-K10+K11+IF(K$3=0,K9,0)-IF(K$3=4,K9,0)</f>
        <v>0</v>
      </c>
      <c r="L12" s="0" t="n">
        <f aca="false">-L5-L6+L7+L8-L10+L11+IF(L$3=0,L9,0)-IF(L$3=4,L9,0)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23</v>
      </c>
      <c r="B3" s="3" t="n">
        <f aca="false">IRR('التدفقات النقدية'!$B$12:$L$12)</f>
        <v>0.118371987820632</v>
      </c>
    </row>
    <row r="4" customFormat="false" ht="15" hidden="false" customHeight="false" outlineLevel="0" collapsed="false">
      <c r="A4" s="0" t="s">
        <v>24</v>
      </c>
      <c r="B4" s="2" t="n">
        <f aca="false">SUM('التدفقات النقدية'!$B$12:$L$12)</f>
        <v>53653577.1428571</v>
      </c>
    </row>
    <row r="5" customFormat="false" ht="15" hidden="false" customHeight="false" outlineLevel="0" collapsed="false">
      <c r="A5" s="0" t="s">
        <v>25</v>
      </c>
      <c r="B5" s="3" t="n">
        <f aca="false">المدخلات!$B$10+المدخلات!$B$11/10000</f>
        <v>0.082</v>
      </c>
    </row>
    <row r="6" customFormat="false" ht="15" hidden="false" customHeight="false" outlineLevel="0" collapsed="false">
      <c r="A6" s="0" t="s">
        <v>26</v>
      </c>
      <c r="B6" s="4" t="n">
        <f aca="false">MATCH(المدخلات!$B$13,'التدفقات النقدية'!$B$4:$L$4,0)-1</f>
        <v>6</v>
      </c>
    </row>
    <row r="7" customFormat="false" ht="15" hidden="false" customHeight="false" outlineLevel="0" collapsed="false">
      <c r="A7" s="0" t="s">
        <v>27</v>
      </c>
      <c r="B7" s="2" t="n">
        <f aca="false">SUM('التدفقات النقدية'!$B$11:$L$11)</f>
        <v>244177257.142857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2026-10-17T22:22:00Z</dcterms:created>
  <dc:creator>openpyxl</dc:creator>
  <dc:description/>
  <dc:language>en-US</dc:language>
  <cp:lastModifiedBy/>
  <dcterms:modified xsi:type="dcterms:W3CDTF">2026-10-17T22:22:00Z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