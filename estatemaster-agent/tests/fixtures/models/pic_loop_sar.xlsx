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Loop" sheetId="2" state="visible" r:id="rId2"/>
    <sheet name="Returns" sheetId="3" state="visible" r:id="rId3"/>
  </sheets>
  <definedNames/>
  <calcPr calcId="124519" fullCalcOnLoad="1" iterate="1" iterateCount="200" iterateDelta="1e-09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LOOP – CAPITALISED INTEREST (SAR)</t>
        </is>
      </c>
    </row>
    <row r="2">
      <c r="A2" t="inlineStr">
        <is>
          <t>Loan</t>
        </is>
      </c>
      <c r="B2" t="n">
        <v>100000000</v>
      </c>
    </row>
    <row r="3">
      <c r="A3" t="inlineStr">
        <is>
          <t>Interest rate</t>
        </is>
      </c>
      <c r="B3" t="n">
        <v>0.08</v>
      </c>
    </row>
    <row r="4">
      <c r="A4" t="inlineStr">
        <is>
          <t>Fee</t>
        </is>
      </c>
      <c r="B4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Drawn</t>
        </is>
      </c>
      <c r="B1">
        <f>Inputs!B2</f>
        <v/>
      </c>
    </row>
    <row r="2">
      <c r="A2" t="inlineStr">
        <is>
          <t>Interest</t>
        </is>
      </c>
      <c r="B2">
        <f>Inputs!B3*(B1+B2/2)</f>
        <v/>
      </c>
    </row>
    <row r="3">
      <c r="A3" t="inlineStr">
        <is>
          <t>Fee</t>
        </is>
      </c>
      <c r="B3">
        <f>Inputs!B4*B1</f>
        <v/>
      </c>
    </row>
    <row r="4">
      <c r="A4" t="inlineStr">
        <is>
          <t>Total debt</t>
        </is>
      </c>
      <c r="B4">
        <f>B1+B2+B3</f>
        <v/>
      </c>
    </row>
    <row r="5">
      <c r="A5" t="inlineStr">
        <is>
          <t>Covenant</t>
        </is>
      </c>
      <c r="B5">
        <f>IF(B4&gt;105000000,"Breached","Within")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debt</t>
        </is>
      </c>
      <c r="B1">
        <f>Loop!B4</f>
        <v/>
      </c>
    </row>
    <row r="2">
      <c r="A2" t="inlineStr">
        <is>
          <t>Interest cost</t>
        </is>
      </c>
      <c r="B2">
        <f>Loop!B2</f>
        <v/>
      </c>
    </row>
    <row r="3">
      <c r="A3" t="inlineStr">
        <is>
          <t>Covenant</t>
        </is>
      </c>
      <c r="B3">
        <f>Loop!B5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2026-10-24T09:23:51Z</dcterms:created>
  <dcterms:modified xsi:type="dcterms:W3CDTF">2026-10-24T09:23:51Z</dcterms:modified>
</cp:coreProperties>
</file>