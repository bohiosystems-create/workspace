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Assets" sheetId="1" state="visible" r:id="rId3"/>
    <sheet name="Fund" sheetId="2" state="visible" r:id="rId4"/>
    <sheet name="Fund Return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<sst xmlns="http://schemas.openxmlformats.org/spreadsheetml/2006/main" count="30" uniqueCount="30">
  <si>
    <t xml:space="preserve">EUROPEAN LOGISTICS FUND I – FUND MODEL (EUR m)</t>
  </si>
  <si>
    <t xml:space="preserve">Asset</t>
  </si>
  <si>
    <t xml:space="preserve">Equity in (EUR m)</t>
  </si>
  <si>
    <t xml:space="preserve">Entry year</t>
  </si>
  <si>
    <t xml:space="preserve">Exit year</t>
  </si>
  <si>
    <t xml:space="preserve">Exit multiple on equity</t>
  </si>
  <si>
    <t xml:space="preserve">Annual yield to equity</t>
  </si>
  <si>
    <t xml:space="preserve">Lyon DC</t>
  </si>
  <si>
    <t xml:space="preserve">Rotterdam XXL</t>
  </si>
  <si>
    <t xml:space="preserve">Milan last-mile</t>
  </si>
  <si>
    <t xml:space="preserve">Poznan park</t>
  </si>
  <si>
    <t xml:space="preserve">FUND CASH FLOWS (EUR m)</t>
  </si>
  <si>
    <t xml:space="preserve">Year</t>
  </si>
  <si>
    <t xml:space="preserve">Gross equity calls</t>
  </si>
  <si>
    <t xml:space="preserve">Gross distributions</t>
  </si>
  <si>
    <t xml:space="preserve">Gross cash flow</t>
  </si>
  <si>
    <t xml:space="preserve">Management fee</t>
  </si>
  <si>
    <t xml:space="preserve">Net before carry</t>
  </si>
  <si>
    <t xml:space="preserve">Carry</t>
  </si>
  <si>
    <t xml:space="preserve">LP net cash flow</t>
  </si>
  <si>
    <t xml:space="preserve">Management fee (% of committed p.a.)</t>
  </si>
  <si>
    <t xml:space="preserve">Carried interest</t>
  </si>
  <si>
    <t xml:space="preserve">Hurdle (simple, on contributions)</t>
  </si>
  <si>
    <t xml:space="preserve">Commitments (EUR m)</t>
  </si>
  <si>
    <t xml:space="preserve">Gross IRR</t>
  </si>
  <si>
    <t xml:space="preserve">Net IRR to LPs</t>
  </si>
  <si>
    <t xml:space="preserve">Gross MOIC</t>
  </si>
  <si>
    <t xml:space="preserve">Net TVPI</t>
  </si>
  <si>
    <t xml:space="preserve">Total carry (EUR m)</t>
  </si>
  <si>
    <t xml:space="preserve">Net profit to LPs (EUR m)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</si>
</sst>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0%"/>
    <numFmt numFmtId="166" formatCode="0.00\x"/>
    <numFmt numFmtId="167" formatCode="0.0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1" customFormat="false" ht="15" hidden="false" customHeight="false" outlineLevel="0" collapsed="false">
      <c r="A1" s="0" t="s">
        <v>0</v>
      </c>
    </row>
    <row r="3" customFormat="false" ht="15" hidden="false" customHeight="false" outlineLevel="0" collapsed="false">
      <c r="A3" s="0" t="s">
        <v>1</v>
      </c>
      <c r="B3" s="0" t="s">
        <v>2</v>
      </c>
      <c r="C3" s="0" t="s">
        <v>3</v>
      </c>
      <c r="D3" s="0" t="s">
        <v>4</v>
      </c>
      <c r="E3" s="0" t="s">
        <v>5</v>
      </c>
      <c r="F3" s="0" t="s">
        <v>6</v>
      </c>
    </row>
    <row r="4" customFormat="false" ht="15" hidden="false" customHeight="false" outlineLevel="0" collapsed="false">
      <c r="A4" s="0" t="s">
        <v>7</v>
      </c>
      <c r="B4" s="0" t="n">
        <v>42</v>
      </c>
      <c r="C4" s="0" t="n">
        <v>0</v>
      </c>
      <c r="D4" s="0" t="n">
        <v>5</v>
      </c>
      <c r="E4" s="0" t="n">
        <v>1.65</v>
      </c>
      <c r="F4" s="0" t="n">
        <v>0.05</v>
      </c>
    </row>
    <row r="5" customFormat="false" ht="15" hidden="false" customHeight="false" outlineLevel="0" collapsed="false">
      <c r="A5" s="0" t="s">
        <v>8</v>
      </c>
      <c r="B5" s="0" t="n">
        <v>58</v>
      </c>
      <c r="C5" s="0" t="n">
        <v>0</v>
      </c>
      <c r="D5" s="0" t="n">
        <v>6</v>
      </c>
      <c r="E5" s="0" t="n">
        <v>1.8</v>
      </c>
      <c r="F5" s="0" t="n">
        <v>0.045</v>
      </c>
    </row>
    <row r="6" customFormat="false" ht="15" hidden="false" customHeight="false" outlineLevel="0" collapsed="false">
      <c r="A6" s="0" t="s">
        <v>9</v>
      </c>
      <c r="B6" s="0" t="n">
        <v>35</v>
      </c>
      <c r="C6" s="0" t="n">
        <v>1</v>
      </c>
      <c r="D6" s="0" t="n">
        <v>5</v>
      </c>
      <c r="E6" s="0" t="n">
        <v>1.55</v>
      </c>
      <c r="F6" s="0" t="n">
        <v>0.055</v>
      </c>
    </row>
    <row r="7" customFormat="false" ht="15" hidden="false" customHeight="false" outlineLevel="0" collapsed="false">
      <c r="A7" s="0" t="s">
        <v>10</v>
      </c>
      <c r="B7" s="0" t="n">
        <v>28</v>
      </c>
      <c r="C7" s="0" t="n">
        <v>1</v>
      </c>
      <c r="D7" s="0" t="n">
        <v>6</v>
      </c>
      <c r="E7" s="0" t="n">
        <v>1.7</v>
      </c>
      <c r="F7" s="0" t="n">
        <v>0.06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1" customFormat="false" ht="15" hidden="false" customHeight="false" outlineLevel="0" collapsed="false">
      <c r="A1" s="0" t="s">
        <v>11</v>
      </c>
    </row>
    <row r="3" customFormat="false" ht="15" hidden="false" customHeight="false" outlineLevel="0" collapsed="false">
      <c r="A3" s="0" t="s">
        <v>12</v>
      </c>
      <c r="B3" s="0" t="n">
        <v>0</v>
      </c>
      <c r="C3" s="0" t="n">
        <v>1</v>
      </c>
      <c r="D3" s="0" t="n">
        <v>2</v>
      </c>
      <c r="E3" s="0" t="n">
        <v>3</v>
      </c>
      <c r="F3" s="0" t="n">
        <v>4</v>
      </c>
      <c r="G3" s="0" t="n">
        <v>5</v>
      </c>
      <c r="H3" s="0" t="n">
        <v>6</v>
      </c>
      <c r="I3" s="0" t="n">
        <v>7</v>
      </c>
    </row>
    <row r="5" customFormat="false" ht="15" hidden="false" customHeight="false" outlineLevel="0" collapsed="false">
      <c r="A5" s="0" t="s">
        <v>13</v>
      </c>
      <c r="B5" s="0" t="n">
        <f aca="false">-SUMIF(Assets!$C$4:$C$7,B$3,Assets!$B$4:$B$7)</f>
        <v>-100</v>
      </c>
      <c r="C5" s="0" t="n">
        <f aca="false">-SUMIF(Assets!$C$4:$C$7,C$3,Assets!$B$4:$B$7)</f>
        <v>-63</v>
      </c>
      <c r="D5" s="0" t="n">
        <f aca="false">-SUMIF(Assets!$C$4:$C$7,D$3,Assets!$B$4:$B$7)</f>
        <v>-0</v>
      </c>
      <c r="E5" s="0" t="n">
        <f aca="false">-SUMIF(Assets!$C$4:$C$7,E$3,Assets!$B$4:$B$7)</f>
        <v>-0</v>
      </c>
      <c r="F5" s="0" t="n">
        <f aca="false">-SUMIF(Assets!$C$4:$C$7,F$3,Assets!$B$4:$B$7)</f>
        <v>-0</v>
      </c>
      <c r="G5" s="0" t="n">
        <f aca="false">-SUMIF(Assets!$C$4:$C$7,G$3,Assets!$B$4:$B$7)</f>
        <v>-0</v>
      </c>
      <c r="H5" s="0" t="n">
        <f aca="false">-SUMIF(Assets!$C$4:$C$7,H$3,Assets!$B$4:$B$7)</f>
        <v>-0</v>
      </c>
      <c r="I5" s="0" t="n">
        <f aca="false">-SUMIF(Assets!$C$4:$C$7,I$3,Assets!$B$4:$B$7)</f>
        <v>-0</v>
      </c>
    </row>
    <row r="6" customFormat="false" ht="15" hidden="false" customHeight="false" outlineLevel="0" collapsed="false">
      <c r="A6" s="0" t="s">
        <v>14</v>
      </c>
      <c r="B6" s="0" t="n">
        <f aca="false">SUMPRODUCT((Assets!$C$4:$C$7&lt;B$3)*(Assets!$D$4:$D$7&gt;=B$3)*Assets!$B$4:$B$7*Assets!$F$4:$F$7)+SUMPRODUCT((Assets!$D$4:$D$7=B$3)*Assets!$B$4:$B$7*Assets!$E$4:$E$7)</f>
        <v>0</v>
      </c>
      <c r="C6" s="0" t="n">
        <f aca="false">SUMPRODUCT((Assets!$C$4:$C$7&lt;C$3)*(Assets!$D$4:$D$7&gt;=C$3)*Assets!$B$4:$B$7*Assets!$F$4:$F$7)+SUMPRODUCT((Assets!$D$4:$D$7=C$3)*Assets!$B$4:$B$7*Assets!$E$4:$E$7)</f>
        <v>4.71</v>
      </c>
      <c r="D6" s="0" t="n">
        <f aca="false">SUMPRODUCT((Assets!$C$4:$C$7&lt;D$3)*(Assets!$D$4:$D$7&gt;=D$3)*Assets!$B$4:$B$7*Assets!$F$4:$F$7)+SUMPRODUCT((Assets!$D$4:$D$7=D$3)*Assets!$B$4:$B$7*Assets!$E$4:$E$7)</f>
        <v>8.315</v>
      </c>
      <c r="E6" s="0" t="n">
        <f aca="false">SUMPRODUCT((Assets!$C$4:$C$7&lt;E$3)*(Assets!$D$4:$D$7&gt;=E$3)*Assets!$B$4:$B$7*Assets!$F$4:$F$7)+SUMPRODUCT((Assets!$D$4:$D$7=E$3)*Assets!$B$4:$B$7*Assets!$E$4:$E$7)</f>
        <v>8.315</v>
      </c>
      <c r="F6" s="0" t="n">
        <f aca="false">SUMPRODUCT((Assets!$C$4:$C$7&lt;F$3)*(Assets!$D$4:$D$7&gt;=F$3)*Assets!$B$4:$B$7*Assets!$F$4:$F$7)+SUMPRODUCT((Assets!$D$4:$D$7=F$3)*Assets!$B$4:$B$7*Assets!$E$4:$E$7)</f>
        <v>8.315</v>
      </c>
      <c r="G6" s="0" t="n">
        <f aca="false">SUMPRODUCT((Assets!$C$4:$C$7&lt;G$3)*(Assets!$D$4:$D$7&gt;=G$3)*Assets!$B$4:$B$7*Assets!$F$4:$F$7)+SUMPRODUCT((Assets!$D$4:$D$7=G$3)*Assets!$B$4:$B$7*Assets!$E$4:$E$7)</f>
        <v>131.865</v>
      </c>
      <c r="H6" s="0" t="n">
        <f aca="false">SUMPRODUCT((Assets!$C$4:$C$7&lt;H$3)*(Assets!$D$4:$D$7&gt;=H$3)*Assets!$B$4:$B$7*Assets!$F$4:$F$7)+SUMPRODUCT((Assets!$D$4:$D$7=H$3)*Assets!$B$4:$B$7*Assets!$E$4:$E$7)</f>
        <v>156.29</v>
      </c>
      <c r="I6" s="0" t="n">
        <f aca="false">SUMPRODUCT((Assets!$C$4:$C$7&lt;I$3)*(Assets!$D$4:$D$7&gt;=I$3)*Assets!$B$4:$B$7*Assets!$F$4:$F$7)+SUMPRODUCT((Assets!$D$4:$D$7=I$3)*Assets!$B$4:$B$7*Assets!$E$4:$E$7)</f>
        <v>0</v>
      </c>
    </row>
    <row r="7" customFormat="false" ht="15" hidden="false" customHeight="false" outlineLevel="0" collapsed="false">
      <c r="A7" s="0" t="s">
        <v>15</v>
      </c>
      <c r="B7" s="0" t="n">
        <f aca="false">B5+B6</f>
        <v>-100</v>
      </c>
      <c r="C7" s="0" t="n">
        <f aca="false">C5+C6</f>
        <v>-58.29</v>
      </c>
      <c r="D7" s="0" t="n">
        <f aca="false">D5+D6</f>
        <v>8.315</v>
      </c>
      <c r="E7" s="0" t="n">
        <f aca="false">E5+E6</f>
        <v>8.315</v>
      </c>
      <c r="F7" s="0" t="n">
        <f aca="false">F5+F6</f>
        <v>8.315</v>
      </c>
      <c r="G7" s="0" t="n">
        <f aca="false">G5+G6</f>
        <v>131.865</v>
      </c>
      <c r="H7" s="0" t="n">
        <f aca="false">H5+H6</f>
        <v>156.29</v>
      </c>
      <c r="I7" s="0" t="n">
        <f aca="false">I5+I6</f>
        <v>0</v>
      </c>
    </row>
    <row r="8" customFormat="false" ht="15" hidden="false" customHeight="false" outlineLevel="0" collapsed="false">
      <c r="A8" s="0" t="s">
        <v>16</v>
      </c>
      <c r="B8" s="0" t="n">
        <f aca="false">IF(B$3&lt;=6,-$B$17*$B$14,0)</f>
        <v>-2.445</v>
      </c>
      <c r="C8" s="0" t="n">
        <f aca="false">IF(C$3&lt;=6,-$B$17*$B$14,0)</f>
        <v>-2.445</v>
      </c>
      <c r="D8" s="0" t="n">
        <f aca="false">IF(D$3&lt;=6,-$B$17*$B$14,0)</f>
        <v>-2.445</v>
      </c>
      <c r="E8" s="0" t="n">
        <f aca="false">IF(E$3&lt;=6,-$B$17*$B$14,0)</f>
        <v>-2.445</v>
      </c>
      <c r="F8" s="0" t="n">
        <f aca="false">IF(F$3&lt;=6,-$B$17*$B$14,0)</f>
        <v>-2.445</v>
      </c>
      <c r="G8" s="0" t="n">
        <f aca="false">IF(G$3&lt;=6,-$B$17*$B$14,0)</f>
        <v>-2.445</v>
      </c>
      <c r="H8" s="0" t="n">
        <f aca="false">IF(H$3&lt;=6,-$B$17*$B$14,0)</f>
        <v>-2.445</v>
      </c>
      <c r="I8" s="0" t="n">
        <f aca="false">IF(I$3&lt;=6,-$B$17*$B$14,0)</f>
        <v>0</v>
      </c>
    </row>
    <row r="9" customFormat="false" ht="15" hidden="false" customHeight="false" outlineLevel="0" collapsed="false">
      <c r="A9" s="0" t="s">
        <v>17</v>
      </c>
      <c r="B9" s="0" t="n">
        <f aca="false">B7+B8</f>
        <v>-102.445</v>
      </c>
      <c r="C9" s="0" t="n">
        <f aca="false">C7+C8</f>
        <v>-60.735</v>
      </c>
      <c r="D9" s="0" t="n">
        <f aca="false">D7+D8</f>
        <v>5.87</v>
      </c>
      <c r="E9" s="0" t="n">
        <f aca="false">E7+E8</f>
        <v>5.87</v>
      </c>
      <c r="F9" s="0" t="n">
        <f aca="false">F7+F8</f>
        <v>5.87</v>
      </c>
      <c r="G9" s="0" t="n">
        <f aca="false">G7+G8</f>
        <v>129.42</v>
      </c>
      <c r="H9" s="0" t="n">
        <f aca="false">H7+H8</f>
        <v>153.845</v>
      </c>
      <c r="I9" s="0" t="n">
        <f aca="false">I7+I8</f>
        <v>0</v>
      </c>
    </row>
    <row r="10" customFormat="false" ht="15" hidden="false" customHeight="false" outlineLevel="0" collapsed="false">
      <c r="A10" s="0" t="s">
        <v>18</v>
      </c>
      <c r="B10" s="0" t="n">
        <f aca="false">IF(B$3=7,0,IF(B$3=6,-MAX(0,SUM($B$9:B9)-$B$16*$B$17*4)*$B$15,0))</f>
        <v>0</v>
      </c>
      <c r="C10" s="0" t="n">
        <f aca="false">IF(C$3=7,0,IF(C$3=6,-MAX(0,SUM($B$9:C9)-$B$16*$B$17*4)*$B$15,0))</f>
        <v>0</v>
      </c>
      <c r="D10" s="0" t="n">
        <f aca="false">IF(D$3=7,0,IF(D$3=6,-MAX(0,SUM($B$9:D9)-$B$16*$B$17*4)*$B$15,0))</f>
        <v>0</v>
      </c>
      <c r="E10" s="0" t="n">
        <f aca="false">IF(E$3=7,0,IF(E$3=6,-MAX(0,SUM($B$9:E9)-$B$16*$B$17*4)*$B$15,0))</f>
        <v>0</v>
      </c>
      <c r="F10" s="0" t="n">
        <f aca="false">IF(F$3=7,0,IF(F$3=6,-MAX(0,SUM($B$9:F9)-$B$16*$B$17*4)*$B$15,0))</f>
        <v>0</v>
      </c>
      <c r="G10" s="0" t="n">
        <f aca="false">IF(G$3=7,0,IF(G$3=6,-MAX(0,SUM($B$9:G9)-$B$16*$B$17*4)*$B$15,0))</f>
        <v>0</v>
      </c>
      <c r="H10" s="0" t="n">
        <f aca="false">IF(H$3=7,0,IF(H$3=6,-MAX(0,SUM($B$9:H9)-$B$16*$B$17*4)*$B$15,0))</f>
        <v>-17.107</v>
      </c>
      <c r="I10" s="0" t="n">
        <f aca="false">IF(I$3=7,0,IF(I$3=6,-MAX(0,SUM($B$9:I9)-$B$16*$B$17*4)*$B$15,0))</f>
        <v>0</v>
      </c>
    </row>
    <row r="11" customFormat="false" ht="15" hidden="false" customHeight="false" outlineLevel="0" collapsed="false">
      <c r="A11" s="0" t="s">
        <v>19</v>
      </c>
      <c r="B11" s="0" t="n">
        <f aca="false">B9+B10</f>
        <v>-102.445</v>
      </c>
      <c r="C11" s="0" t="n">
        <f aca="false">C9+C10</f>
        <v>-60.735</v>
      </c>
      <c r="D11" s="0" t="n">
        <f aca="false">D9+D10</f>
        <v>5.87</v>
      </c>
      <c r="E11" s="0" t="n">
        <f aca="false">E9+E10</f>
        <v>5.87</v>
      </c>
      <c r="F11" s="0" t="n">
        <f aca="false">F9+F10</f>
        <v>5.87</v>
      </c>
      <c r="G11" s="0" t="n">
        <f aca="false">G9+G10</f>
        <v>129.42</v>
      </c>
      <c r="H11" s="0" t="n">
        <f aca="false">H9+H10</f>
        <v>136.738</v>
      </c>
      <c r="I11" s="0" t="n">
        <f aca="false">I9+I10</f>
        <v>0</v>
      </c>
    </row>
    <row r="14" customFormat="false" ht="15" hidden="false" customHeight="false" outlineLevel="0" collapsed="false">
      <c r="A14" s="0" t="s">
        <v>20</v>
      </c>
      <c r="B14" s="0" t="n">
        <v>0.015</v>
      </c>
    </row>
    <row r="15" customFormat="false" ht="15" hidden="false" customHeight="false" outlineLevel="0" collapsed="false">
      <c r="A15" s="0" t="s">
        <v>21</v>
      </c>
      <c r="B15" s="0" t="n">
        <v>0.2</v>
      </c>
    </row>
    <row r="16" customFormat="false" ht="15" hidden="false" customHeight="false" outlineLevel="0" collapsed="false">
      <c r="A16" s="0" t="s">
        <v>22</v>
      </c>
      <c r="B16" s="0" t="n">
        <v>0.08</v>
      </c>
    </row>
    <row r="17" customFormat="false" ht="15" hidden="false" customHeight="false" outlineLevel="0" collapsed="false">
      <c r="A17" s="0" t="s">
        <v>23</v>
      </c>
      <c r="B17" s="0" t="n">
        <f aca="false">SUM(Assets!B4:B7)</f>
        <v>163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3:B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3" customFormat="false" ht="15" hidden="false" customHeight="false" outlineLevel="0" collapsed="false">
      <c r="A3" s="0" t="s">
        <v>24</v>
      </c>
      <c r="B3" s="1" t="n">
        <f aca="false">IRR(Fund!$B$7:$I$7)</f>
        <v>0.14835567852904</v>
      </c>
    </row>
    <row r="4" customFormat="false" ht="15" hidden="false" customHeight="false" outlineLevel="0" collapsed="false">
      <c r="A4" s="0" t="s">
        <v>25</v>
      </c>
      <c r="B4" s="1" t="n">
        <f aca="false">IRR(Fund!$B$11:$I$11)</f>
        <v>0.118003887502751</v>
      </c>
    </row>
    <row r="5" customFormat="false" ht="15" hidden="false" customHeight="false" outlineLevel="0" collapsed="false">
      <c r="A5" s="0" t="s">
        <v>26</v>
      </c>
      <c r="B5" s="2" t="n">
        <f aca="false">SUMIF(Fund!$B$7:$I$7,"&gt;0")/-SUMIF(Fund!$B$7:$I$7,"&lt;0")</f>
        <v>1.97801503569398</v>
      </c>
    </row>
    <row r="6" customFormat="false" ht="15" hidden="false" customHeight="false" outlineLevel="0" collapsed="false">
      <c r="A6" s="0" t="s">
        <v>27</v>
      </c>
      <c r="B6" s="2" t="n">
        <f aca="false">SUMIF(Fund!$B$11:$I$11,"&gt;0")/-SUMIF(Fund!$B$11:$I$11,"&lt;0")</f>
        <v>1.73898762103199</v>
      </c>
    </row>
    <row r="7" customFormat="false" ht="15" hidden="false" customHeight="false" outlineLevel="0" collapsed="false">
      <c r="A7" s="0" t="s">
        <v>28</v>
      </c>
      <c r="B7" s="3" t="n">
        <f aca="false">-SUM(Fund!$B$10:$I$10)</f>
        <v>17.107</v>
      </c>
    </row>
    <row r="8" customFormat="false" ht="15" hidden="false" customHeight="false" outlineLevel="0" collapsed="false">
      <c r="A8" s="0" t="s">
        <v>29</v>
      </c>
      <c r="B8" s="3" t="n">
        <f aca="false">SUM(Fund!$B$11:$I$11)</f>
        <v>120.588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2026-10-16T14:59:27Z</dcterms:created>
  <dc:creator>openpyxl</dc:creator>
  <dc:description/>
  <dc:language>en-US</dc:language>
  <cp:lastModifiedBy/>
  <dcterms:modified xsi:type="dcterms:W3CDTF">2026-10-16T14:59:27Z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