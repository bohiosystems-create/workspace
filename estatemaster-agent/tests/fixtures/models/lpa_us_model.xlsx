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Waterfall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<sst xmlns="http://schemas.openxmlformats.org/spreadsheetml/2006/main" count="64" uniqueCount="61">
  <si>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RIVERBEND APARTMENTS (USD)</t>
  </si>
  <si>
    <t xml:space="preserve">Purchase price</t>
  </si>
  <si>
    <t xml:space="preserve">Senior loan</t>
  </si>
  <si>
    <t xml:space="preserve">Initial capital (equity)</t>
  </si>
  <si>
    <t xml:space="preserve">Sponsor acquisition fee</t>
  </si>
  <si>
    <t xml:space="preserve">Investor manager acquisition fee</t>
  </si>
  <si>
    <t xml:space="preserve">Gross collections year 1</t>
  </si>
  <si>
    <t xml:space="preserve">Rent growth</t>
  </si>
  <si>
    <t xml:space="preserve">Operating expenses (share of collections)</t>
  </si>
  <si>
    <t xml:space="preserve">Property management fee (share of collections)</t>
  </si>
  <si>
    <t xml:space="preserve">Asset management fee (share of collections)</t>
  </si>
  <si>
    <t xml:space="preserve">Interest rate</t>
  </si>
  <si>
    <t xml:space="preserve">Refinancing loan</t>
  </si>
  <si>
    <t xml:space="preserve">Refinancing year</t>
  </si>
  <si>
    <t xml:space="preserve">Exit cap rate</t>
  </si>
  <si>
    <t xml:space="preserve">Selling costs</t>
  </si>
  <si>
    <t xml:space="preserve">Exit year</t>
  </si>
  <si>
    <t xml:space="preserve">GP percentage interest</t>
  </si>
  <si>
    <t xml:space="preserve">Investor percentage interest</t>
  </si>
  <si>
    <t xml:space="preserve">Sponsor percentage interest</t>
  </si>
  <si>
    <t xml:space="preserve">Hurdle 1 IRR (all partners)</t>
  </si>
  <si>
    <t xml:space="preserve">Hurdle 2 IRR (Investor Partner)</t>
  </si>
  <si>
    <t xml:space="preserve">Tier 2 split to partners</t>
  </si>
  <si>
    <t xml:space="preserve">Tier 2 promote to Sponsor</t>
  </si>
  <si>
    <t xml:space="preserve">Tier 3 split to partners</t>
  </si>
  <si>
    <t xml:space="preserve">Tier 3 promote to Sponsor</t>
  </si>
  <si>
    <t xml:space="preserve">Working capital reserve</t>
  </si>
  <si>
    <t xml:space="preserve">CASH FLOW (USD)</t>
  </si>
  <si>
    <t xml:space="preserve">Year</t>
  </si>
  <si>
    <t xml:space="preserve">Period</t>
  </si>
  <si>
    <t xml:space="preserve">Gross collections</t>
  </si>
  <si>
    <t xml:space="preserve">Operating expenses</t>
  </si>
  <si>
    <t xml:space="preserve">Property management fee</t>
  </si>
  <si>
    <t xml:space="preserve">Asset management fee</t>
  </si>
  <si>
    <t xml:space="preserve">Net operating income</t>
  </si>
  <si>
    <t xml:space="preserve">Interest</t>
  </si>
  <si>
    <t xml:space="preserve">Refinancing proceeds</t>
  </si>
  <si>
    <t xml:space="preserve">Sale proceeds (net of debt)</t>
  </si>
  <si>
    <t xml:space="preserve">Distributable cash</t>
  </si>
  <si>
    <t xml:space="preserve">Equity contributions</t>
  </si>
  <si>
    <t xml:space="preserve">DISTRIBUTION WATERFALL (USD)</t>
  </si>
  <si>
    <t xml:space="preserve">Contributions</t>
  </si>
  <si>
    <t xml:space="preserve">Hurdle 1 balance before distribution</t>
  </si>
  <si>
    <t xml:space="preserve">Tier 1 distribution (to 10% IRR)</t>
  </si>
  <si>
    <t xml:space="preserve">Hurdle 1 balance after distribution</t>
  </si>
  <si>
    <t xml:space="preserve">Hurdle 2 Investor balance before distribution</t>
  </si>
  <si>
    <t xml:space="preserve">Tier 2 distribution (to Investor 17% IRR)</t>
  </si>
  <si>
    <t xml:space="preserve">Hurdle 2 Investor balance after distribution</t>
  </si>
  <si>
    <t xml:space="preserve">Tier 3 distribution (thereafter)</t>
  </si>
  <si>
    <t xml:space="preserve">Promote to Sponsor</t>
  </si>
  <si>
    <t xml:space="preserve">Distributed to partners pro rata</t>
  </si>
  <si>
    <t xml:space="preserve">Investor net cash flow</t>
  </si>
  <si>
    <t xml:space="preserve">Sponsor net cash flow</t>
  </si>
  <si>
    <t xml:space="preserve">GP net cash flow</t>
  </si>
  <si>
    <t xml:space="preserve">Equity net cash flow</t>
  </si>
  <si>
    <t xml:space="preserve">RETURNS</t>
  </si>
  <si>
    <t xml:space="preserve">Levered IRR</t>
  </si>
  <si>
    <t xml:space="preserve">LP IRR</t>
  </si>
  <si>
    <t xml:space="preserve">Sponsor IRR</t>
  </si>
  <si>
    <t xml:space="preserve">Carried interest (promote) total</t>
  </si>
  <si>
    <t xml:space="preserve">Equity multiple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</si>
</sst>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n">
        <v>30000000</v>
      </c>
    </row>
    <row r="4" customFormat="false" ht="15" hidden="false" customHeight="false" outlineLevel="0" collapsed="false">
      <c r="A4" s="0" t="s">
        <v>2</v>
      </c>
      <c r="B4" s="0" t="n">
        <v>21000000</v>
      </c>
    </row>
    <row r="5" customFormat="false" ht="15" hidden="false" customHeight="false" outlineLevel="0" collapsed="false">
      <c r="A5" s="0" t="s">
        <v>3</v>
      </c>
      <c r="B5" s="0" t="n">
        <v>10000000</v>
      </c>
    </row>
    <row r="6" customFormat="false" ht="15" hidden="false" customHeight="false" outlineLevel="0" collapsed="false">
      <c r="A6" s="0" t="s">
        <v>4</v>
      </c>
      <c r="B6" s="0" t="n">
        <v>216700</v>
      </c>
    </row>
    <row r="7" customFormat="false" ht="15" hidden="false" customHeight="false" outlineLevel="0" collapsed="false">
      <c r="A7" s="0" t="s">
        <v>5</v>
      </c>
      <c r="B7" s="0" t="n">
        <v>300000</v>
      </c>
    </row>
    <row r="8" customFormat="false" ht="15" hidden="false" customHeight="false" outlineLevel="0" collapsed="false">
      <c r="A8" s="0" t="s">
        <v>6</v>
      </c>
      <c r="B8" s="0" t="n">
        <v>3200000</v>
      </c>
    </row>
    <row r="9" customFormat="false" ht="15" hidden="false" customHeight="false" outlineLevel="0" collapsed="false">
      <c r="A9" s="0" t="s">
        <v>7</v>
      </c>
      <c r="B9" s="1" t="n">
        <v>0.05</v>
      </c>
    </row>
    <row r="10" customFormat="false" ht="15" hidden="false" customHeight="false" outlineLevel="0" collapsed="false">
      <c r="A10" s="0" t="s">
        <v>8</v>
      </c>
      <c r="B10" s="1" t="n">
        <v>0.38</v>
      </c>
    </row>
    <row r="11" customFormat="false" ht="15" hidden="false" customHeight="false" outlineLevel="0" collapsed="false">
      <c r="A11" s="0" t="s">
        <v>9</v>
      </c>
      <c r="B11" s="1" t="n">
        <v>0.0225</v>
      </c>
    </row>
    <row r="12" customFormat="false" ht="15" hidden="false" customHeight="false" outlineLevel="0" collapsed="false">
      <c r="A12" s="0" t="s">
        <v>10</v>
      </c>
      <c r="B12" s="1" t="n">
        <v>0.015</v>
      </c>
    </row>
    <row r="13" customFormat="false" ht="15" hidden="false" customHeight="false" outlineLevel="0" collapsed="false">
      <c r="A13" s="0" t="s">
        <v>11</v>
      </c>
      <c r="B13" s="1" t="n">
        <v>0.055</v>
      </c>
    </row>
    <row r="14" customFormat="false" ht="15" hidden="false" customHeight="false" outlineLevel="0" collapsed="false">
      <c r="A14" s="0" t="s">
        <v>12</v>
      </c>
      <c r="B14" s="0" t="n">
        <v>36000000</v>
      </c>
    </row>
    <row r="15" customFormat="false" ht="15" hidden="false" customHeight="false" outlineLevel="0" collapsed="false">
      <c r="A15" s="0" t="s">
        <v>13</v>
      </c>
      <c r="B15" s="0" t="n">
        <v>3</v>
      </c>
    </row>
    <row r="16" customFormat="false" ht="15" hidden="false" customHeight="false" outlineLevel="0" collapsed="false">
      <c r="A16" s="0" t="s">
        <v>14</v>
      </c>
      <c r="B16" s="1" t="n">
        <v>0.0525</v>
      </c>
    </row>
    <row r="17" customFormat="false" ht="15" hidden="false" customHeight="false" outlineLevel="0" collapsed="false">
      <c r="A17" s="0" t="s">
        <v>15</v>
      </c>
      <c r="B17" s="1" t="n">
        <v>0.02</v>
      </c>
    </row>
    <row r="18" customFormat="false" ht="15" hidden="false" customHeight="false" outlineLevel="0" collapsed="false">
      <c r="A18" s="0" t="s">
        <v>16</v>
      </c>
      <c r="B18" s="0" t="n">
        <v>7</v>
      </c>
    </row>
    <row r="19" customFormat="false" ht="15" hidden="false" customHeight="false" outlineLevel="0" collapsed="false">
      <c r="A19" s="0" t="s">
        <v>17</v>
      </c>
      <c r="B19" s="1" t="n">
        <v>0.005</v>
      </c>
    </row>
    <row r="20" customFormat="false" ht="15" hidden="false" customHeight="false" outlineLevel="0" collapsed="false">
      <c r="A20" s="0" t="s">
        <v>18</v>
      </c>
      <c r="B20" s="1" t="n">
        <v>0.895</v>
      </c>
    </row>
    <row r="21" customFormat="false" ht="15" hidden="false" customHeight="false" outlineLevel="0" collapsed="false">
      <c r="A21" s="0" t="s">
        <v>19</v>
      </c>
      <c r="B21" s="1" t="n">
        <v>0.1</v>
      </c>
    </row>
    <row r="22" customFormat="false" ht="15" hidden="false" customHeight="false" outlineLevel="0" collapsed="false">
      <c r="A22" s="0" t="s">
        <v>20</v>
      </c>
      <c r="B22" s="1" t="n">
        <v>0.1</v>
      </c>
    </row>
    <row r="23" customFormat="false" ht="15" hidden="false" customHeight="false" outlineLevel="0" collapsed="false">
      <c r="A23" s="0" t="s">
        <v>21</v>
      </c>
      <c r="B23" s="1" t="n">
        <v>0.15</v>
      </c>
    </row>
    <row r="24" customFormat="false" ht="15" hidden="false" customHeight="false" outlineLevel="0" collapsed="false">
      <c r="A24" s="0" t="s">
        <v>22</v>
      </c>
      <c r="B24" s="1" t="n">
        <v>0.8</v>
      </c>
    </row>
    <row r="25" customFormat="false" ht="15" hidden="false" customHeight="false" outlineLevel="0" collapsed="false">
      <c r="A25" s="0" t="s">
        <v>23</v>
      </c>
      <c r="B25" s="1" t="n">
        <v>0.2</v>
      </c>
    </row>
    <row r="26" customFormat="false" ht="15" hidden="false" customHeight="false" outlineLevel="0" collapsed="false">
      <c r="A26" s="0" t="s">
        <v>24</v>
      </c>
      <c r="B26" s="1" t="n">
        <v>0.7</v>
      </c>
    </row>
    <row r="27" customFormat="false" ht="15" hidden="false" customHeight="false" outlineLevel="0" collapsed="false">
      <c r="A27" s="0" t="s">
        <v>25</v>
      </c>
      <c r="B27" s="1" t="n">
        <v>0.3</v>
      </c>
    </row>
    <row r="29" customFormat="false" ht="15" hidden="false" customHeight="false" outlineLevel="0" collapsed="false">
      <c r="A29" s="0" t="s">
        <v>26</v>
      </c>
      <c r="B29" s="0" t="n">
        <f aca="false">Inputs!$B$4+Inputs!$B$5-Inputs!$B$3-Inputs!$B$6-Inputs!$B$7</f>
        <v>483300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</row>
    <row r="3" customFormat="false" ht="15" hidden="false" customHeight="false" outlineLevel="0" collapsed="false">
      <c r="A3" s="0" t="s">
        <v>28</v>
      </c>
      <c r="C3" s="0" t="n">
        <v>2026</v>
      </c>
      <c r="D3" s="0" t="n">
        <v>2027</v>
      </c>
      <c r="E3" s="0" t="n">
        <v>2028</v>
      </c>
      <c r="F3" s="0" t="n">
        <v>2029</v>
      </c>
      <c r="G3" s="0" t="n">
        <v>2030</v>
      </c>
      <c r="H3" s="0" t="n">
        <v>2031</v>
      </c>
      <c r="I3" s="0" t="n">
        <v>2032</v>
      </c>
      <c r="J3" s="0" t="n">
        <v>2033</v>
      </c>
    </row>
    <row r="4" customFormat="false" ht="15" hidden="false" customHeight="false" outlineLevel="0" collapsed="false">
      <c r="A4" s="0" t="s">
        <v>29</v>
      </c>
      <c r="C4" s="0" t="n">
        <v>0</v>
      </c>
      <c r="D4" s="0" t="n">
        <f aca="false">C4+1</f>
        <v>1</v>
      </c>
      <c r="E4" s="0" t="n">
        <f aca="false">D4+1</f>
        <v>2</v>
      </c>
      <c r="F4" s="0" t="n">
        <f aca="false">E4+1</f>
        <v>3</v>
      </c>
      <c r="G4" s="0" t="n">
        <f aca="false">F4+1</f>
        <v>4</v>
      </c>
      <c r="H4" s="0" t="n">
        <f aca="false">G4+1</f>
        <v>5</v>
      </c>
      <c r="I4" s="0" t="n">
        <f aca="false">H4+1</f>
        <v>6</v>
      </c>
      <c r="J4" s="0" t="n">
        <f aca="false">I4+1</f>
        <v>7</v>
      </c>
    </row>
    <row r="6" customFormat="false" ht="15" hidden="false" customHeight="false" outlineLevel="0" collapsed="false">
      <c r="A6" s="0" t="s">
        <v>30</v>
      </c>
      <c r="C6" s="0" t="n">
        <f aca="false">IF(C$4&gt;=1,Inputs!$B$8*(1+Inputs!$B$9)^(C$4-1),0)</f>
        <v>0</v>
      </c>
      <c r="D6" s="0" t="n">
        <f aca="false">IF(D$4&gt;=1,Inputs!$B$8*(1+Inputs!$B$9)^(D$4-1),0)</f>
        <v>3200000</v>
      </c>
      <c r="E6" s="0" t="n">
        <f aca="false">IF(E$4&gt;=1,Inputs!$B$8*(1+Inputs!$B$9)^(E$4-1),0)</f>
        <v>3360000</v>
      </c>
      <c r="F6" s="0" t="n">
        <f aca="false">IF(F$4&gt;=1,Inputs!$B$8*(1+Inputs!$B$9)^(F$4-1),0)</f>
        <v>3528000</v>
      </c>
      <c r="G6" s="0" t="n">
        <f aca="false">IF(G$4&gt;=1,Inputs!$B$8*(1+Inputs!$B$9)^(G$4-1),0)</f>
        <v>3704400</v>
      </c>
      <c r="H6" s="0" t="n">
        <f aca="false">IF(H$4&gt;=1,Inputs!$B$8*(1+Inputs!$B$9)^(H$4-1),0)</f>
        <v>3889620</v>
      </c>
      <c r="I6" s="0" t="n">
        <f aca="false">IF(I$4&gt;=1,Inputs!$B$8*(1+Inputs!$B$9)^(I$4-1),0)</f>
        <v>4084101</v>
      </c>
      <c r="J6" s="0" t="n">
        <f aca="false">IF(J$4&gt;=1,Inputs!$B$8*(1+Inputs!$B$9)^(J$4-1),0)</f>
        <v>4288306.05</v>
      </c>
    </row>
    <row r="7" customFormat="false" ht="15" hidden="false" customHeight="false" outlineLevel="0" collapsed="false">
      <c r="A7" s="0" t="s">
        <v>31</v>
      </c>
      <c r="C7" s="0" t="n">
        <f aca="false">-C6*Inputs!$B$10</f>
        <v>-0</v>
      </c>
      <c r="D7" s="0" t="n">
        <f aca="false">-D6*Inputs!$B$10</f>
        <v>-1216000</v>
      </c>
      <c r="E7" s="0" t="n">
        <f aca="false">-E6*Inputs!$B$10</f>
        <v>-1276800</v>
      </c>
      <c r="F7" s="0" t="n">
        <f aca="false">-F6*Inputs!$B$10</f>
        <v>-1340640</v>
      </c>
      <c r="G7" s="0" t="n">
        <f aca="false">-G6*Inputs!$B$10</f>
        <v>-1407672</v>
      </c>
      <c r="H7" s="0" t="n">
        <f aca="false">-H6*Inputs!$B$10</f>
        <v>-1478055.6</v>
      </c>
      <c r="I7" s="0" t="n">
        <f aca="false">-I6*Inputs!$B$10</f>
        <v>-1551958.38</v>
      </c>
      <c r="J7" s="0" t="n">
        <f aca="false">-J6*Inputs!$B$10</f>
        <v>-1629556.299</v>
      </c>
    </row>
    <row r="8" customFormat="false" ht="15" hidden="false" customHeight="false" outlineLevel="0" collapsed="false">
      <c r="A8" s="0" t="s">
        <v>32</v>
      </c>
      <c r="C8" s="0" t="n">
        <f aca="false">-C6*Inputs!$B$11</f>
        <v>-0</v>
      </c>
      <c r="D8" s="0" t="n">
        <f aca="false">-D6*Inputs!$B$11</f>
        <v>-72000</v>
      </c>
      <c r="E8" s="0" t="n">
        <f aca="false">-E6*Inputs!$B$11</f>
        <v>-75600</v>
      </c>
      <c r="F8" s="0" t="n">
        <f aca="false">-F6*Inputs!$B$11</f>
        <v>-79380</v>
      </c>
      <c r="G8" s="0" t="n">
        <f aca="false">-G6*Inputs!$B$11</f>
        <v>-83349</v>
      </c>
      <c r="H8" s="0" t="n">
        <f aca="false">-H6*Inputs!$B$11</f>
        <v>-87516.45</v>
      </c>
      <c r="I8" s="0" t="n">
        <f aca="false">-I6*Inputs!$B$11</f>
        <v>-91892.2725</v>
      </c>
      <c r="J8" s="0" t="n">
        <f aca="false">-J6*Inputs!$B$11</f>
        <v>-96486.886125</v>
      </c>
    </row>
    <row r="9" customFormat="false" ht="15" hidden="false" customHeight="false" outlineLevel="0" collapsed="false">
      <c r="A9" s="0" t="s">
        <v>33</v>
      </c>
      <c r="C9" s="0" t="n">
        <f aca="false">-C6*Inputs!$B$12</f>
        <v>-0</v>
      </c>
      <c r="D9" s="0" t="n">
        <f aca="false">-D6*Inputs!$B$12</f>
        <v>-48000</v>
      </c>
      <c r="E9" s="0" t="n">
        <f aca="false">-E6*Inputs!$B$12</f>
        <v>-50400</v>
      </c>
      <c r="F9" s="0" t="n">
        <f aca="false">-F6*Inputs!$B$12</f>
        <v>-52920</v>
      </c>
      <c r="G9" s="0" t="n">
        <f aca="false">-G6*Inputs!$B$12</f>
        <v>-55566</v>
      </c>
      <c r="H9" s="0" t="n">
        <f aca="false">-H6*Inputs!$B$12</f>
        <v>-58344.3</v>
      </c>
      <c r="I9" s="0" t="n">
        <f aca="false">-I6*Inputs!$B$12</f>
        <v>-61261.515</v>
      </c>
      <c r="J9" s="0" t="n">
        <f aca="false">-J6*Inputs!$B$12</f>
        <v>-64324.59075</v>
      </c>
    </row>
    <row r="10" customFormat="false" ht="15" hidden="false" customHeight="false" outlineLevel="0" collapsed="false">
      <c r="A10" s="0" t="s">
        <v>34</v>
      </c>
      <c r="C10" s="0" t="n">
        <f aca="false">SUM(C6:C9)</f>
        <v>0</v>
      </c>
      <c r="D10" s="0" t="n">
        <f aca="false">SUM(D6:D9)</f>
        <v>1864000</v>
      </c>
      <c r="E10" s="0" t="n">
        <f aca="false">SUM(E6:E9)</f>
        <v>1957200</v>
      </c>
      <c r="F10" s="0" t="n">
        <f aca="false">SUM(F6:F9)</f>
        <v>2055060</v>
      </c>
      <c r="G10" s="0" t="n">
        <f aca="false">SUM(G6:G9)</f>
        <v>2157813</v>
      </c>
      <c r="H10" s="0" t="n">
        <f aca="false">SUM(H6:H9)</f>
        <v>2265703.65</v>
      </c>
      <c r="I10" s="0" t="n">
        <f aca="false">SUM(I6:I9)</f>
        <v>2378988.8325</v>
      </c>
      <c r="J10" s="0" t="n">
        <f aca="false">SUM(J6:J9)</f>
        <v>2497938.274125</v>
      </c>
    </row>
    <row r="11" customFormat="false" ht="15" hidden="false" customHeight="false" outlineLevel="0" collapsed="false">
      <c r="A11" s="0" t="s">
        <v>35</v>
      </c>
      <c r="C11" s="0" t="n">
        <f aca="false">IF(C$4&gt;=1,-IF(C$4&gt;Inputs!$B$15,Inputs!$B$14,Inputs!$B$4)*Inputs!$B$13,0)</f>
        <v>0</v>
      </c>
      <c r="D11" s="0" t="n">
        <f aca="false">IF(D$4&gt;=1,-IF(D$4&gt;Inputs!$B$15,Inputs!$B$14,Inputs!$B$4)*Inputs!$B$13,0)</f>
        <v>-1155000</v>
      </c>
      <c r="E11" s="0" t="n">
        <f aca="false">IF(E$4&gt;=1,-IF(E$4&gt;Inputs!$B$15,Inputs!$B$14,Inputs!$B$4)*Inputs!$B$13,0)</f>
        <v>-1155000</v>
      </c>
      <c r="F11" s="0" t="n">
        <f aca="false">IF(F$4&gt;=1,-IF(F$4&gt;Inputs!$B$15,Inputs!$B$14,Inputs!$B$4)*Inputs!$B$13,0)</f>
        <v>-1155000</v>
      </c>
      <c r="G11" s="0" t="n">
        <f aca="false">IF(G$4&gt;=1,-IF(G$4&gt;Inputs!$B$15,Inputs!$B$14,Inputs!$B$4)*Inputs!$B$13,0)</f>
        <v>-1980000</v>
      </c>
      <c r="H11" s="0" t="n">
        <f aca="false">IF(H$4&gt;=1,-IF(H$4&gt;Inputs!$B$15,Inputs!$B$14,Inputs!$B$4)*Inputs!$B$13,0)</f>
        <v>-1980000</v>
      </c>
      <c r="I11" s="0" t="n">
        <f aca="false">IF(I$4&gt;=1,-IF(I$4&gt;Inputs!$B$15,Inputs!$B$14,Inputs!$B$4)*Inputs!$B$13,0)</f>
        <v>-1980000</v>
      </c>
      <c r="J11" s="0" t="n">
        <f aca="false">IF(J$4&gt;=1,-IF(J$4&gt;Inputs!$B$15,Inputs!$B$14,Inputs!$B$4)*Inputs!$B$13,0)</f>
        <v>-1980000</v>
      </c>
    </row>
    <row r="12" customFormat="false" ht="15" hidden="false" customHeight="false" outlineLevel="0" collapsed="false">
      <c r="A12" s="0" t="s">
        <v>36</v>
      </c>
      <c r="C12" s="0" t="n">
        <f aca="false">IF(C$4=Inputs!$B$15,Inputs!$B$14-Inputs!$B$4,0)</f>
        <v>0</v>
      </c>
      <c r="D12" s="0" t="n">
        <f aca="false">IF(D$4=Inputs!$B$15,Inputs!$B$14-Inputs!$B$4,0)</f>
        <v>0</v>
      </c>
      <c r="E12" s="0" t="n">
        <f aca="false">IF(E$4=Inputs!$B$15,Inputs!$B$14-Inputs!$B$4,0)</f>
        <v>0</v>
      </c>
      <c r="F12" s="0" t="n">
        <f aca="false">IF(F$4=Inputs!$B$15,Inputs!$B$14-Inputs!$B$4,0)</f>
        <v>15000000</v>
      </c>
      <c r="G12" s="0" t="n">
        <f aca="false">IF(G$4=Inputs!$B$15,Inputs!$B$14-Inputs!$B$4,0)</f>
        <v>0</v>
      </c>
      <c r="H12" s="0" t="n">
        <f aca="false">IF(H$4=Inputs!$B$15,Inputs!$B$14-Inputs!$B$4,0)</f>
        <v>0</v>
      </c>
      <c r="I12" s="0" t="n">
        <f aca="false">IF(I$4=Inputs!$B$15,Inputs!$B$14-Inputs!$B$4,0)</f>
        <v>0</v>
      </c>
      <c r="J12" s="0" t="n">
        <f aca="false">IF(J$4=Inputs!$B$15,Inputs!$B$14-Inputs!$B$4,0)</f>
        <v>0</v>
      </c>
    </row>
    <row r="13" customFormat="false" ht="15" hidden="false" customHeight="false" outlineLevel="0" collapsed="false">
      <c r="A13" s="0" t="s">
        <v>37</v>
      </c>
      <c r="C13" s="0" t="n">
        <f aca="false">IF(C$4=Inputs!$B$18,C10*(1+Inputs!$B$9)/Inputs!$B$16*(1-Inputs!$B$17)-Inputs!$B$14+Inputs!$B$29,0)</f>
        <v>0</v>
      </c>
      <c r="D13" s="0" t="n">
        <f aca="false">IF(D$4=Inputs!$B$18,D10*(1+Inputs!$B$9)/Inputs!$B$16*(1-Inputs!$B$17)-Inputs!$B$14+Inputs!$B$29,0)</f>
        <v>0</v>
      </c>
      <c r="E13" s="0" t="n">
        <f aca="false">IF(E$4=Inputs!$B$18,E10*(1+Inputs!$B$9)/Inputs!$B$16*(1-Inputs!$B$17)-Inputs!$B$14+Inputs!$B$29,0)</f>
        <v>0</v>
      </c>
      <c r="F13" s="0" t="n">
        <f aca="false">IF(F$4=Inputs!$B$18,F10*(1+Inputs!$B$9)/Inputs!$B$16*(1-Inputs!$B$17)-Inputs!$B$14+Inputs!$B$29,0)</f>
        <v>0</v>
      </c>
      <c r="G13" s="0" t="n">
        <f aca="false">IF(G$4=Inputs!$B$18,G10*(1+Inputs!$B$9)/Inputs!$B$16*(1-Inputs!$B$17)-Inputs!$B$14+Inputs!$B$29,0)</f>
        <v>0</v>
      </c>
      <c r="H13" s="0" t="n">
        <f aca="false">IF(H$4=Inputs!$B$18,H10*(1+Inputs!$B$9)/Inputs!$B$16*(1-Inputs!$B$17)-Inputs!$B$14+Inputs!$B$29,0)</f>
        <v>0</v>
      </c>
      <c r="I13" s="0" t="n">
        <f aca="false">IF(I$4=Inputs!$B$18,I10*(1+Inputs!$B$9)/Inputs!$B$16*(1-Inputs!$B$17)-Inputs!$B$14+Inputs!$B$29,0)</f>
        <v>0</v>
      </c>
      <c r="J13" s="0" t="n">
        <f aca="false">IF(J$4=Inputs!$B$18,J10*(1+Inputs!$B$9)/Inputs!$B$16*(1-Inputs!$B$17)-Inputs!$B$14+Inputs!$B$29,0)</f>
        <v>13442890.17285</v>
      </c>
    </row>
    <row r="14" customFormat="false" ht="15" hidden="false" customHeight="false" outlineLevel="0" collapsed="false">
      <c r="A14" s="0" t="s">
        <v>38</v>
      </c>
      <c r="C14" s="0" t="n">
        <f aca="false">IF(C$4&gt;=1,MAX(0,C10+C11+C12+C13),0)</f>
        <v>0</v>
      </c>
      <c r="D14" s="0" t="n">
        <f aca="false">IF(D$4&gt;=1,MAX(0,D10+D11+D12+D13),0)</f>
        <v>709000</v>
      </c>
      <c r="E14" s="0" t="n">
        <f aca="false">IF(E$4&gt;=1,MAX(0,E10+E11+E12+E13),0)</f>
        <v>802200</v>
      </c>
      <c r="F14" s="0" t="n">
        <f aca="false">IF(F$4&gt;=1,MAX(0,F10+F11+F12+F13),0)</f>
        <v>15900060</v>
      </c>
      <c r="G14" s="0" t="n">
        <f aca="false">IF(G$4&gt;=1,MAX(0,G10+G11+G12+G13),0)</f>
        <v>177813</v>
      </c>
      <c r="H14" s="0" t="n">
        <f aca="false">IF(H$4&gt;=1,MAX(0,H10+H11+H12+H13),0)</f>
        <v>285703.650000001</v>
      </c>
      <c r="I14" s="0" t="n">
        <f aca="false">IF(I$4&gt;=1,MAX(0,I10+I11+I12+I13),0)</f>
        <v>398988.832500001</v>
      </c>
      <c r="J14" s="0" t="n">
        <f aca="false">IF(J$4&gt;=1,MAX(0,J10+J11+J12+J13),0)</f>
        <v>13960828.446975</v>
      </c>
    </row>
    <row r="15" customFormat="false" ht="15" hidden="false" customHeight="false" outlineLevel="0" collapsed="false">
      <c r="A15" s="0" t="s">
        <v>39</v>
      </c>
      <c r="C15" s="0" t="n">
        <f aca="false">IF(C$4=0,Inputs!$B$5,0)</f>
        <v>10000000</v>
      </c>
      <c r="D15" s="0" t="n">
        <f aca="false">IF(D$4=0,Inputs!$B$5,0)</f>
        <v>0</v>
      </c>
      <c r="E15" s="0" t="n">
        <f aca="false">IF(E$4=0,Inputs!$B$5,0)</f>
        <v>0</v>
      </c>
      <c r="F15" s="0" t="n">
        <f aca="false">IF(F$4=0,Inputs!$B$5,0)</f>
        <v>0</v>
      </c>
      <c r="G15" s="0" t="n">
        <f aca="false">IF(G$4=0,Inputs!$B$5,0)</f>
        <v>0</v>
      </c>
      <c r="H15" s="0" t="n">
        <f aca="false">IF(H$4=0,Inputs!$B$5,0)</f>
        <v>0</v>
      </c>
      <c r="I15" s="0" t="n">
        <f aca="false">IF(I$4=0,Inputs!$B$5,0)</f>
        <v>0</v>
      </c>
      <c r="J15" s="0" t="n">
        <f aca="false">IF(J$4=0,Inputs!$B$5,0)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40</v>
      </c>
    </row>
    <row r="3" customFormat="false" ht="15" hidden="false" customHeight="false" outlineLevel="0" collapsed="false">
      <c r="A3" s="0" t="s">
        <v>28</v>
      </c>
      <c r="C3" s="0" t="n">
        <f aca="false">'Cash Flow'!C3</f>
        <v>2026</v>
      </c>
      <c r="D3" s="0" t="n">
        <f aca="false">'Cash Flow'!D3</f>
        <v>2027</v>
      </c>
      <c r="E3" s="0" t="n">
        <f aca="false">'Cash Flow'!E3</f>
        <v>2028</v>
      </c>
      <c r="F3" s="0" t="n">
        <f aca="false">'Cash Flow'!F3</f>
        <v>2029</v>
      </c>
      <c r="G3" s="0" t="n">
        <f aca="false">'Cash Flow'!G3</f>
        <v>2030</v>
      </c>
      <c r="H3" s="0" t="n">
        <f aca="false">'Cash Flow'!H3</f>
        <v>2031</v>
      </c>
      <c r="I3" s="0" t="n">
        <f aca="false">'Cash Flow'!I3</f>
        <v>2032</v>
      </c>
      <c r="J3" s="0" t="n">
        <f aca="false">'Cash Flow'!J3</f>
        <v>2033</v>
      </c>
    </row>
    <row r="4" customFormat="false" ht="15" hidden="false" customHeight="false" outlineLevel="0" collapsed="false">
      <c r="A4" s="0" t="s">
        <v>29</v>
      </c>
      <c r="C4" s="0" t="n">
        <f aca="false">'Cash Flow'!C4</f>
        <v>0</v>
      </c>
      <c r="D4" s="0" t="n">
        <f aca="false">'Cash Flow'!D4</f>
        <v>1</v>
      </c>
      <c r="E4" s="0" t="n">
        <f aca="false">'Cash Flow'!E4</f>
        <v>2</v>
      </c>
      <c r="F4" s="0" t="n">
        <f aca="false">'Cash Flow'!F4</f>
        <v>3</v>
      </c>
      <c r="G4" s="0" t="n">
        <f aca="false">'Cash Flow'!G4</f>
        <v>4</v>
      </c>
      <c r="H4" s="0" t="n">
        <f aca="false">'Cash Flow'!H4</f>
        <v>5</v>
      </c>
      <c r="I4" s="0" t="n">
        <f aca="false">'Cash Flow'!I4</f>
        <v>6</v>
      </c>
      <c r="J4" s="0" t="n">
        <f aca="false">'Cash Flow'!J4</f>
        <v>7</v>
      </c>
    </row>
    <row r="6" customFormat="false" ht="15" hidden="false" customHeight="false" outlineLevel="0" collapsed="false">
      <c r="A6" s="0" t="s">
        <v>41</v>
      </c>
      <c r="C6" s="0" t="n">
        <f aca="false">'Cash Flow'!C15</f>
        <v>10000000</v>
      </c>
      <c r="D6" s="0" t="n">
        <f aca="false">'Cash Flow'!D15</f>
        <v>0</v>
      </c>
      <c r="E6" s="0" t="n">
        <f aca="false">'Cash Flow'!E15</f>
        <v>0</v>
      </c>
      <c r="F6" s="0" t="n">
        <f aca="false">'Cash Flow'!F15</f>
        <v>0</v>
      </c>
      <c r="G6" s="0" t="n">
        <f aca="false">'Cash Flow'!G15</f>
        <v>0</v>
      </c>
      <c r="H6" s="0" t="n">
        <f aca="false">'Cash Flow'!H15</f>
        <v>0</v>
      </c>
      <c r="I6" s="0" t="n">
        <f aca="false">'Cash Flow'!I15</f>
        <v>0</v>
      </c>
      <c r="J6" s="0" t="n">
        <f aca="false">'Cash Flow'!J15</f>
        <v>0</v>
      </c>
    </row>
    <row r="7" customFormat="false" ht="15" hidden="false" customHeight="false" outlineLevel="0" collapsed="false">
      <c r="A7" s="0" t="s">
        <v>38</v>
      </c>
      <c r="C7" s="0" t="n">
        <f aca="false">'Cash Flow'!C14</f>
        <v>0</v>
      </c>
      <c r="D7" s="0" t="n">
        <f aca="false">'Cash Flow'!D14</f>
        <v>709000</v>
      </c>
      <c r="E7" s="0" t="n">
        <f aca="false">'Cash Flow'!E14</f>
        <v>802200</v>
      </c>
      <c r="F7" s="0" t="n">
        <f aca="false">'Cash Flow'!F14</f>
        <v>15900060</v>
      </c>
      <c r="G7" s="0" t="n">
        <f aca="false">'Cash Flow'!G14</f>
        <v>177813</v>
      </c>
      <c r="H7" s="0" t="n">
        <f aca="false">'Cash Flow'!H14</f>
        <v>285703.650000001</v>
      </c>
      <c r="I7" s="0" t="n">
        <f aca="false">'Cash Flow'!I14</f>
        <v>398988.832500001</v>
      </c>
      <c r="J7" s="0" t="n">
        <f aca="false">'Cash Flow'!J14</f>
        <v>13960828.446975</v>
      </c>
    </row>
    <row r="9" customFormat="false" ht="15" hidden="false" customHeight="false" outlineLevel="0" collapsed="false">
      <c r="A9" s="0" t="s">
        <v>42</v>
      </c>
      <c r="C9" s="0" t="n">
        <f aca="false">C6</f>
        <v>10000000</v>
      </c>
      <c r="D9" s="0" t="n">
        <f aca="false">C11*(1+Inputs!$B$22)+D6</f>
        <v>11000000</v>
      </c>
      <c r="E9" s="0" t="n">
        <f aca="false">D11*(1+Inputs!$B$22)+E6</f>
        <v>11320100</v>
      </c>
      <c r="F9" s="0" t="n">
        <f aca="false">E11*(1+Inputs!$B$22)+F6</f>
        <v>11569690</v>
      </c>
      <c r="G9" s="0" t="n">
        <f aca="false">F11*(1+Inputs!$B$22)+G6</f>
        <v>-2445956.5625</v>
      </c>
      <c r="H9" s="0" t="n">
        <f aca="false">G11*(1+Inputs!$B$22)+H6</f>
        <v>-2690552.21875</v>
      </c>
      <c r="I9" s="0" t="n">
        <f aca="false">H11*(1+Inputs!$B$22)+I6</f>
        <v>-2959607.440625</v>
      </c>
      <c r="J9" s="0" t="n">
        <f aca="false">I11*(1+Inputs!$B$22)+J6</f>
        <v>-3255568.1846875</v>
      </c>
    </row>
    <row r="10" customFormat="false" ht="15" hidden="false" customHeight="false" outlineLevel="0" collapsed="false">
      <c r="A10" s="0" t="s">
        <v>43</v>
      </c>
      <c r="C10" s="0" t="n">
        <f aca="false">MIN(C7,MAX(0,C9))</f>
        <v>0</v>
      </c>
      <c r="D10" s="0" t="n">
        <f aca="false">MIN(D7,MAX(0,D9))</f>
        <v>709000</v>
      </c>
      <c r="E10" s="0" t="n">
        <f aca="false">MIN(E7,MAX(0,E9))</f>
        <v>802200</v>
      </c>
      <c r="F10" s="0" t="n">
        <f aca="false">MIN(F7,MAX(0,F9))</f>
        <v>11569690</v>
      </c>
      <c r="G10" s="0" t="n">
        <f aca="false">MIN(G7,MAX(0,G9))</f>
        <v>0</v>
      </c>
      <c r="H10" s="0" t="n">
        <f aca="false">MIN(H7,MAX(0,H9))</f>
        <v>0</v>
      </c>
      <c r="I10" s="0" t="n">
        <f aca="false">MIN(I7,MAX(0,I9))</f>
        <v>0</v>
      </c>
      <c r="J10" s="0" t="n">
        <f aca="false">MIN(J7,MAX(0,J9))</f>
        <v>0</v>
      </c>
    </row>
    <row r="11" customFormat="false" ht="15" hidden="false" customHeight="false" outlineLevel="0" collapsed="false">
      <c r="A11" s="0" t="s">
        <v>44</v>
      </c>
      <c r="C11" s="0" t="n">
        <f aca="false">C9-C10-C14</f>
        <v>10000000</v>
      </c>
      <c r="D11" s="0" t="n">
        <f aca="false">D9-D10-D14</f>
        <v>10291000</v>
      </c>
      <c r="E11" s="0" t="n">
        <f aca="false">E9-E10-E14</f>
        <v>10517900</v>
      </c>
      <c r="F11" s="0" t="n">
        <f aca="false">F9-F10-F14</f>
        <v>-2223596.875</v>
      </c>
      <c r="G11" s="0" t="n">
        <f aca="false">G9-G10-G14</f>
        <v>-2445956.5625</v>
      </c>
      <c r="H11" s="0" t="n">
        <f aca="false">H9-H10-H14</f>
        <v>-2690552.21875</v>
      </c>
      <c r="I11" s="0" t="n">
        <f aca="false">I9-I10-I14</f>
        <v>-2959607.440625</v>
      </c>
      <c r="J11" s="0" t="n">
        <f aca="false">J9-J10-J14</f>
        <v>-3255568.1846875</v>
      </c>
    </row>
    <row r="13" customFormat="false" ht="15" hidden="false" customHeight="false" outlineLevel="0" collapsed="false">
      <c r="A13" s="0" t="s">
        <v>45</v>
      </c>
      <c r="C13" s="0" t="n">
        <f aca="false">C6*Inputs!$B$20</f>
        <v>8950000</v>
      </c>
      <c r="D13" s="0" t="n">
        <f aca="false">C15*(1+Inputs!$B$23)+D6*Inputs!$B$20</f>
        <v>10292500</v>
      </c>
      <c r="E13" s="0" t="n">
        <f aca="false">D15*(1+Inputs!$B$23)+E6*Inputs!$B$20</f>
        <v>11106636.75</v>
      </c>
      <c r="F13" s="0" t="n">
        <f aca="false">E15*(1+Inputs!$B$23)+F6*Inputs!$B$20</f>
        <v>11946967.9125</v>
      </c>
      <c r="G13" s="0" t="n">
        <f aca="false">F15*(1+Inputs!$B$23)+G6*Inputs!$B$20</f>
        <v>0</v>
      </c>
      <c r="H13" s="0" t="n">
        <f aca="false">G15*(1+Inputs!$B$23)+H6*Inputs!$B$20</f>
        <v>0</v>
      </c>
      <c r="I13" s="0" t="n">
        <f aca="false">H15*(1+Inputs!$B$23)+I6*Inputs!$B$20</f>
        <v>0</v>
      </c>
      <c r="J13" s="0" t="n">
        <f aca="false">I15*(1+Inputs!$B$23)+J6*Inputs!$B$20</f>
        <v>0</v>
      </c>
    </row>
    <row r="14" customFormat="false" ht="15" hidden="false" customHeight="false" outlineLevel="0" collapsed="false">
      <c r="A14" s="0" t="s">
        <v>46</v>
      </c>
      <c r="C14" s="0" t="n">
        <f aca="false">MIN(C7-C10,MAX(0,C13-C10*Inputs!$B$20)/(Inputs!$B$24*Inputs!$B$20))</f>
        <v>0</v>
      </c>
      <c r="D14" s="0" t="n">
        <f aca="false">MIN(D7-D10,MAX(0,D13-D10*Inputs!$B$20)/(Inputs!$B$24*Inputs!$B$20))</f>
        <v>0</v>
      </c>
      <c r="E14" s="0" t="n">
        <f aca="false">MIN(E7-E10,MAX(0,E13-E10*Inputs!$B$20)/(Inputs!$B$24*Inputs!$B$20))</f>
        <v>0</v>
      </c>
      <c r="F14" s="0" t="n">
        <f aca="false">MIN(F7-F10,MAX(0,F13-F10*Inputs!$B$20)/(Inputs!$B$24*Inputs!$B$20))</f>
        <v>2223596.875</v>
      </c>
      <c r="G14" s="0" t="n">
        <f aca="false">MIN(G7-G10,MAX(0,G13-G10*Inputs!$B$20)/(Inputs!$B$24*Inputs!$B$20))</f>
        <v>0</v>
      </c>
      <c r="H14" s="0" t="n">
        <f aca="false">MIN(H7-H10,MAX(0,H13-H10*Inputs!$B$20)/(Inputs!$B$24*Inputs!$B$20))</f>
        <v>0</v>
      </c>
      <c r="I14" s="0" t="n">
        <f aca="false">MIN(I7-I10,MAX(0,I13-I10*Inputs!$B$20)/(Inputs!$B$24*Inputs!$B$20))</f>
        <v>0</v>
      </c>
      <c r="J14" s="0" t="n">
        <f aca="false">MIN(J7-J10,MAX(0,J13-J10*Inputs!$B$20)/(Inputs!$B$24*Inputs!$B$20))</f>
        <v>0</v>
      </c>
    </row>
    <row r="15" customFormat="false" ht="15" hidden="false" customHeight="false" outlineLevel="0" collapsed="false">
      <c r="A15" s="0" t="s">
        <v>47</v>
      </c>
      <c r="C15" s="0" t="n">
        <f aca="false">C13-C10*Inputs!$B$20-C14*Inputs!$B$24*Inputs!$B$20</f>
        <v>8950000</v>
      </c>
      <c r="D15" s="0" t="n">
        <f aca="false">D13-D10*Inputs!$B$20-D14*Inputs!$B$24*Inputs!$B$20</f>
        <v>9657945</v>
      </c>
      <c r="E15" s="0" t="n">
        <f aca="false">E13-E10*Inputs!$B$20-E14*Inputs!$B$24*Inputs!$B$20</f>
        <v>10388667.75</v>
      </c>
      <c r="F15" s="0" t="n">
        <f aca="false">F13-F10*Inputs!$B$20-F14*Inputs!$B$24*Inputs!$B$20</f>
        <v>0</v>
      </c>
      <c r="G15" s="0" t="n">
        <f aca="false">G13-G10*Inputs!$B$20-G14*Inputs!$B$24*Inputs!$B$20</f>
        <v>0</v>
      </c>
      <c r="H15" s="0" t="n">
        <f aca="false">H13-H10*Inputs!$B$20-H14*Inputs!$B$24*Inputs!$B$20</f>
        <v>0</v>
      </c>
      <c r="I15" s="0" t="n">
        <f aca="false">I13-I10*Inputs!$B$20-I14*Inputs!$B$24*Inputs!$B$20</f>
        <v>0</v>
      </c>
      <c r="J15" s="0" t="n">
        <f aca="false">J13-J10*Inputs!$B$20-J14*Inputs!$B$24*Inputs!$B$20</f>
        <v>0</v>
      </c>
    </row>
    <row r="17" customFormat="false" ht="15" hidden="false" customHeight="false" outlineLevel="0" collapsed="false">
      <c r="A17" s="0" t="s">
        <v>48</v>
      </c>
      <c r="C17" s="0" t="n">
        <f aca="false">C7-C10-C14</f>
        <v>0</v>
      </c>
      <c r="D17" s="0" t="n">
        <f aca="false">D7-D10-D14</f>
        <v>0</v>
      </c>
      <c r="E17" s="0" t="n">
        <f aca="false">E7-E10-E14</f>
        <v>0</v>
      </c>
      <c r="F17" s="0" t="n">
        <f aca="false">F7-F10-F14</f>
        <v>2106773.125</v>
      </c>
      <c r="G17" s="0" t="n">
        <f aca="false">G7-G10-G14</f>
        <v>177813</v>
      </c>
      <c r="H17" s="0" t="n">
        <f aca="false">H7-H10-H14</f>
        <v>285703.650000001</v>
      </c>
      <c r="I17" s="0" t="n">
        <f aca="false">I7-I10-I14</f>
        <v>398988.832500001</v>
      </c>
      <c r="J17" s="0" t="n">
        <f aca="false">J7-J10-J14</f>
        <v>13960828.446975</v>
      </c>
    </row>
    <row r="19" customFormat="false" ht="15" hidden="false" customHeight="false" outlineLevel="0" collapsed="false">
      <c r="A19" s="0" t="s">
        <v>49</v>
      </c>
      <c r="C19" s="0" t="n">
        <f aca="false">C14*Inputs!$B$25+C17*Inputs!$B$27</f>
        <v>0</v>
      </c>
      <c r="D19" s="0" t="n">
        <f aca="false">D14*Inputs!$B$25+D17*Inputs!$B$27</f>
        <v>0</v>
      </c>
      <c r="E19" s="0" t="n">
        <f aca="false">E14*Inputs!$B$25+E17*Inputs!$B$27</f>
        <v>0</v>
      </c>
      <c r="F19" s="0" t="n">
        <f aca="false">F14*Inputs!$B$25+F17*Inputs!$B$27</f>
        <v>1076751.3125</v>
      </c>
      <c r="G19" s="0" t="n">
        <f aca="false">G14*Inputs!$B$25+G17*Inputs!$B$27</f>
        <v>53343.9</v>
      </c>
      <c r="H19" s="0" t="n">
        <f aca="false">H14*Inputs!$B$25+H17*Inputs!$B$27</f>
        <v>85711.0950000003</v>
      </c>
      <c r="I19" s="0" t="n">
        <f aca="false">I14*Inputs!$B$25+I17*Inputs!$B$27</f>
        <v>119696.64975</v>
      </c>
      <c r="J19" s="0" t="n">
        <f aca="false">J14*Inputs!$B$25+J17*Inputs!$B$27</f>
        <v>4188248.5340925</v>
      </c>
    </row>
    <row r="20" customFormat="false" ht="15" hidden="false" customHeight="false" outlineLevel="0" collapsed="false">
      <c r="A20" s="0" t="s">
        <v>50</v>
      </c>
      <c r="C20" s="0" t="n">
        <f aca="false">C10+C14*Inputs!$B$24+C17*Inputs!$B$26</f>
        <v>0</v>
      </c>
      <c r="D20" s="0" t="n">
        <f aca="false">D10+D14*Inputs!$B$24+D17*Inputs!$B$26</f>
        <v>709000</v>
      </c>
      <c r="E20" s="0" t="n">
        <f aca="false">E10+E14*Inputs!$B$24+E17*Inputs!$B$26</f>
        <v>802200</v>
      </c>
      <c r="F20" s="0" t="n">
        <f aca="false">F10+F14*Inputs!$B$24+F17*Inputs!$B$26</f>
        <v>14823308.6875</v>
      </c>
      <c r="G20" s="0" t="n">
        <f aca="false">G10+G14*Inputs!$B$24+G17*Inputs!$B$26</f>
        <v>124469.1</v>
      </c>
      <c r="H20" s="0" t="n">
        <f aca="false">H10+H14*Inputs!$B$24+H17*Inputs!$B$26</f>
        <v>199992.555000001</v>
      </c>
      <c r="I20" s="0" t="n">
        <f aca="false">I10+I14*Inputs!$B$24+I17*Inputs!$B$26</f>
        <v>279292.18275</v>
      </c>
      <c r="J20" s="0" t="n">
        <f aca="false">J10+J14*Inputs!$B$24+J17*Inputs!$B$26</f>
        <v>9772579.91288251</v>
      </c>
    </row>
    <row r="21" customFormat="false" ht="15" hidden="false" customHeight="false" outlineLevel="0" collapsed="false">
      <c r="A21" s="0" t="s">
        <v>51</v>
      </c>
      <c r="C21" s="0" t="n">
        <f aca="false">-C6*Inputs!$B$20+C20*Inputs!$B$20</f>
        <v>-8950000</v>
      </c>
      <c r="D21" s="0" t="n">
        <f aca="false">-D6*Inputs!$B$20+D20*Inputs!$B$20</f>
        <v>634555</v>
      </c>
      <c r="E21" s="0" t="n">
        <f aca="false">-E6*Inputs!$B$20+E20*Inputs!$B$20</f>
        <v>717969</v>
      </c>
      <c r="F21" s="0" t="n">
        <f aca="false">-F6*Inputs!$B$20+F20*Inputs!$B$20</f>
        <v>13266861.2753125</v>
      </c>
      <c r="G21" s="0" t="n">
        <f aca="false">-G6*Inputs!$B$20+G20*Inputs!$B$20</f>
        <v>111399.8445</v>
      </c>
      <c r="H21" s="0" t="n">
        <f aca="false">-H6*Inputs!$B$20+H20*Inputs!$B$20</f>
        <v>178993.336725001</v>
      </c>
      <c r="I21" s="0" t="n">
        <f aca="false">-I6*Inputs!$B$20+I20*Inputs!$B$20</f>
        <v>249966.50356125</v>
      </c>
      <c r="J21" s="0" t="n">
        <f aca="false">-J6*Inputs!$B$20+J20*Inputs!$B$20</f>
        <v>8746459.02202985</v>
      </c>
    </row>
    <row r="22" customFormat="false" ht="15" hidden="false" customHeight="false" outlineLevel="0" collapsed="false">
      <c r="A22" s="0" t="s">
        <v>52</v>
      </c>
      <c r="C22" s="0" t="n">
        <f aca="false">-C6*Inputs!$B$21+C20*Inputs!$B$21+C19</f>
        <v>-1000000</v>
      </c>
      <c r="D22" s="0" t="n">
        <f aca="false">-D6*Inputs!$B$21+D20*Inputs!$B$21+D19</f>
        <v>70900</v>
      </c>
      <c r="E22" s="0" t="n">
        <f aca="false">-E6*Inputs!$B$21+E20*Inputs!$B$21+E19</f>
        <v>80220</v>
      </c>
      <c r="F22" s="0" t="n">
        <f aca="false">-F6*Inputs!$B$21+F20*Inputs!$B$21+F19</f>
        <v>2559082.18125</v>
      </c>
      <c r="G22" s="0" t="n">
        <f aca="false">-G6*Inputs!$B$21+G20*Inputs!$B$21+G19</f>
        <v>65790.81</v>
      </c>
      <c r="H22" s="0" t="n">
        <f aca="false">-H6*Inputs!$B$21+H20*Inputs!$B$21+H19</f>
        <v>105710.3505</v>
      </c>
      <c r="I22" s="0" t="n">
        <f aca="false">-I6*Inputs!$B$21+I20*Inputs!$B$21+I19</f>
        <v>147625.868025</v>
      </c>
      <c r="J22" s="0" t="n">
        <f aca="false">-J6*Inputs!$B$21+J20*Inputs!$B$21+J19</f>
        <v>5165506.52538076</v>
      </c>
    </row>
    <row r="23" customFormat="false" ht="15" hidden="false" customHeight="false" outlineLevel="0" collapsed="false">
      <c r="A23" s="0" t="s">
        <v>53</v>
      </c>
      <c r="C23" s="0" t="n">
        <f aca="false">-C6*Inputs!$B$19+C20*Inputs!$B$19</f>
        <v>-50000</v>
      </c>
      <c r="D23" s="0" t="n">
        <f aca="false">-D6*Inputs!$B$19+D20*Inputs!$B$19</f>
        <v>3545</v>
      </c>
      <c r="E23" s="0" t="n">
        <f aca="false">-E6*Inputs!$B$19+E20*Inputs!$B$19</f>
        <v>4011</v>
      </c>
      <c r="F23" s="0" t="n">
        <f aca="false">-F6*Inputs!$B$19+F20*Inputs!$B$19</f>
        <v>74116.5434375</v>
      </c>
      <c r="G23" s="0" t="n">
        <f aca="false">-G6*Inputs!$B$19+G20*Inputs!$B$19</f>
        <v>622.3455</v>
      </c>
      <c r="H23" s="0" t="n">
        <f aca="false">-H6*Inputs!$B$19+H20*Inputs!$B$19</f>
        <v>999.962775000003</v>
      </c>
      <c r="I23" s="0" t="n">
        <f aca="false">-I6*Inputs!$B$19+I20*Inputs!$B$19</f>
        <v>1396.46091375</v>
      </c>
      <c r="J23" s="0" t="n">
        <f aca="false">-J6*Inputs!$B$19+J20*Inputs!$B$19</f>
        <v>48862.8995644125</v>
      </c>
    </row>
    <row r="25" customFormat="false" ht="15" hidden="false" customHeight="false" outlineLevel="0" collapsed="false">
      <c r="A25" s="0" t="s">
        <v>54</v>
      </c>
      <c r="C25" s="0" t="n">
        <f aca="false">C7-C6</f>
        <v>-10000000</v>
      </c>
      <c r="D25" s="0" t="n">
        <f aca="false">D7-D6</f>
        <v>709000</v>
      </c>
      <c r="E25" s="0" t="n">
        <f aca="false">E7-E6</f>
        <v>802200</v>
      </c>
      <c r="F25" s="0" t="n">
        <f aca="false">F7-F6</f>
        <v>15900060</v>
      </c>
      <c r="G25" s="0" t="n">
        <f aca="false">G7-G6</f>
        <v>177813</v>
      </c>
      <c r="H25" s="0" t="n">
        <f aca="false">H7-H6</f>
        <v>285703.650000001</v>
      </c>
      <c r="I25" s="0" t="n">
        <f aca="false">I7-I6</f>
        <v>398988.832500001</v>
      </c>
      <c r="J25" s="0" t="n">
        <f aca="false">J7-J6</f>
        <v>13960828.446975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55</v>
      </c>
    </row>
    <row r="3" customFormat="false" ht="15" hidden="false" customHeight="false" outlineLevel="0" collapsed="false">
      <c r="A3" s="0" t="s">
        <v>56</v>
      </c>
      <c r="B3" s="1" t="n">
        <f aca="false">IRR(Waterfall!C25:J25)</f>
        <v>0.324124172624721</v>
      </c>
    </row>
    <row r="4" customFormat="false" ht="15" hidden="false" customHeight="false" outlineLevel="0" collapsed="false">
      <c r="A4" s="0" t="s">
        <v>57</v>
      </c>
      <c r="B4" s="1" t="n">
        <f aca="false">IRR(Waterfall!C21:J21)</f>
        <v>0.280568971901416</v>
      </c>
    </row>
    <row r="5" customFormat="false" ht="15" hidden="false" customHeight="false" outlineLevel="0" collapsed="false">
      <c r="A5" s="0" t="s">
        <v>58</v>
      </c>
      <c r="B5" s="1" t="n">
        <f aca="false">IRR(Waterfall!C22:J22)</f>
        <v>0.566069512438132</v>
      </c>
    </row>
    <row r="6" customFormat="false" ht="15" hidden="false" customHeight="false" outlineLevel="0" collapsed="false">
      <c r="A6" s="0" t="s">
        <v>59</v>
      </c>
      <c r="B6" s="0" t="n">
        <f aca="false">SUM(Waterfall!C19:J19)</f>
        <v>5523751.4913425</v>
      </c>
    </row>
    <row r="7" customFormat="false" ht="15" hidden="false" customHeight="false" outlineLevel="0" collapsed="false">
      <c r="A7" s="0" t="s">
        <v>60</v>
      </c>
      <c r="B7" s="0" t="n">
        <f aca="false">SUM(Waterfall!C7:J7)/SUM(Waterfall!C6:J6)</f>
        <v>3.2234593929475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2026-10-23T07:19:52Z</dcterms:created>
  <dc:creator>openpyxl</dc:creator>
  <dc:description/>
  <dc:language>en-US</dc:language>
  <cp:lastModifiedBy/>
  <dcterms:modified xsi:type="dcterms:W3CDTF">2026-10-23T07:19:52Z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