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Appraisal" sheetId="2" state="visible" r:id="rId4"/>
    <sheet name="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<sst xmlns="http://schemas.openxmlformats.org/spreadsheetml/2006/main" count="27" uniqueCount="27">
  <si>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SARJAPUR GREENS – PLOTTED DEVELOPMENT (₹ crore)</t>
  </si>
  <si>
    <t xml:space="preserve">Land cost (₹ crore)</t>
  </si>
  <si>
    <t xml:space="preserve">Site (acres)</t>
  </si>
  <si>
    <t xml:space="preserve">Saleable plot area (%)</t>
  </si>
  <si>
    <t xml:space="preserve">Plot rate (₹ per sq ft)</t>
  </si>
  <si>
    <t xml:space="preserve">Infrastructure cost (₹ per sq ft of plots)</t>
  </si>
  <si>
    <t xml:space="preserve">Approvals &amp; fees (₹ crore)</t>
  </si>
  <si>
    <t xml:space="preserve">Marketing (% of sales)</t>
  </si>
  <si>
    <t xml:space="preserve">Tranche 1 sold (%)</t>
  </si>
  <si>
    <t xml:space="preserve">Tranche 2 sold (%)</t>
  </si>
  <si>
    <t xml:space="preserve">Rate escalation per tranche</t>
  </si>
  <si>
    <t xml:space="preserve">Saleable area (sq ft)</t>
  </si>
  <si>
    <t xml:space="preserve">Tranche 3 sold (%)</t>
  </si>
  <si>
    <t xml:space="preserve">Sales tranche 1 (₹ crore)</t>
  </si>
  <si>
    <t xml:space="preserve">Sales tranche 2 (₹ crore)</t>
  </si>
  <si>
    <t xml:space="preserve">Sales tranche 3 (₹ crore)</t>
  </si>
  <si>
    <t xml:space="preserve">Gross sales (₹ crore)</t>
  </si>
  <si>
    <t xml:space="preserve">Infrastructure (₹ crore)</t>
  </si>
  <si>
    <t xml:space="preserve">Marketing (₹ crore)</t>
  </si>
  <si>
    <t xml:space="preserve">Total cost (₹ crore)</t>
  </si>
  <si>
    <t xml:space="preserve">Net profit (₹ crore)</t>
  </si>
  <si>
    <t xml:space="preserve">Profit on cost</t>
  </si>
  <si>
    <t xml:space="preserve">Project IRR (3-year)</t>
  </si>
  <si>
    <t xml:space="preserve">Year</t>
  </si>
  <si>
    <t xml:space="preserve">Inflows</t>
  </si>
  <si>
    <t xml:space="preserve">Outflows</t>
  </si>
  <si>
    <t xml:space="preserve">Net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</si>
</sst>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190</v>
      </c>
    </row>
    <row r="4" customFormat="false" ht="15" hidden="false" customHeight="false" outlineLevel="0" collapsed="false">
      <c r="A4" s="0" t="s">
        <v>2</v>
      </c>
      <c r="B4" s="1" t="n">
        <v>32</v>
      </c>
    </row>
    <row r="5" customFormat="false" ht="15" hidden="false" customHeight="false" outlineLevel="0" collapsed="false">
      <c r="A5" s="0" t="s">
        <v>3</v>
      </c>
      <c r="B5" s="2" t="n">
        <v>0.55</v>
      </c>
    </row>
    <row r="6" customFormat="false" ht="15" hidden="false" customHeight="false" outlineLevel="0" collapsed="false">
      <c r="A6" s="0" t="s">
        <v>4</v>
      </c>
      <c r="B6" s="3" t="n">
        <v>4300</v>
      </c>
    </row>
    <row r="7" customFormat="false" ht="15" hidden="false" customHeight="false" outlineLevel="0" collapsed="false">
      <c r="A7" s="0" t="s">
        <v>5</v>
      </c>
      <c r="B7" s="3" t="n">
        <v>650</v>
      </c>
    </row>
    <row r="8" customFormat="false" ht="15" hidden="false" customHeight="false" outlineLevel="0" collapsed="false">
      <c r="A8" s="0" t="s">
        <v>6</v>
      </c>
      <c r="B8" s="1" t="n">
        <v>6.5</v>
      </c>
    </row>
    <row r="9" customFormat="false" ht="15" hidden="false" customHeight="false" outlineLevel="0" collapsed="false">
      <c r="A9" s="0" t="s">
        <v>7</v>
      </c>
      <c r="B9" s="2" t="n">
        <v>0.03</v>
      </c>
    </row>
    <row r="10" customFormat="false" ht="15" hidden="false" customHeight="false" outlineLevel="0" collapsed="false">
      <c r="A10" s="0" t="s">
        <v>8</v>
      </c>
      <c r="B10" s="2" t="n">
        <v>0.4</v>
      </c>
    </row>
    <row r="11" customFormat="false" ht="15" hidden="false" customHeight="false" outlineLevel="0" collapsed="false">
      <c r="A11" s="0" t="s">
        <v>9</v>
      </c>
      <c r="B11" s="2" t="n">
        <v>0.35</v>
      </c>
    </row>
    <row r="12" customFormat="false" ht="15" hidden="false" customHeight="false" outlineLevel="0" collapsed="false">
      <c r="A12" s="0" t="s">
        <v>10</v>
      </c>
      <c r="B12" s="2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11</v>
      </c>
      <c r="B3" s="3" t="n">
        <f aca="false">Inputs!$B$4*43560*Inputs!$B$5</f>
        <v>766656</v>
      </c>
    </row>
    <row r="4" customFormat="false" ht="15" hidden="false" customHeight="false" outlineLevel="0" collapsed="false">
      <c r="A4" s="0" t="s">
        <v>12</v>
      </c>
      <c r="B4" s="2" t="n">
        <f aca="false">1-Inputs!$B$10-Inputs!$B$11</f>
        <v>0.25</v>
      </c>
    </row>
    <row r="5" customFormat="false" ht="15" hidden="false" customHeight="false" outlineLevel="0" collapsed="false">
      <c r="A5" s="0" t="s">
        <v>13</v>
      </c>
      <c r="B5" s="1" t="n">
        <f aca="false">B3*Inputs!$B$10*Inputs!$B$6/10000000</f>
        <v>131.864832</v>
      </c>
    </row>
    <row r="6" customFormat="false" ht="15" hidden="false" customHeight="false" outlineLevel="0" collapsed="false">
      <c r="A6" s="0" t="s">
        <v>14</v>
      </c>
      <c r="B6" s="1" t="n">
        <f aca="false">B3*Inputs!$B$11*Inputs!$B$6*(1+Inputs!$B$12)/10000000</f>
        <v>122.30463168</v>
      </c>
    </row>
    <row r="7" customFormat="false" ht="15" hidden="false" customHeight="false" outlineLevel="0" collapsed="false">
      <c r="A7" s="0" t="s">
        <v>15</v>
      </c>
      <c r="B7" s="1" t="n">
        <f aca="false">B3*B4*Inputs!$B$6*(1+Inputs!$B$12)^2/10000000</f>
        <v>92.602078272</v>
      </c>
    </row>
    <row r="8" customFormat="false" ht="15" hidden="false" customHeight="false" outlineLevel="0" collapsed="false">
      <c r="A8" s="0" t="s">
        <v>16</v>
      </c>
      <c r="B8" s="1" t="n">
        <f aca="false">SUM(B5:B7)</f>
        <v>346.771541952</v>
      </c>
    </row>
    <row r="9" customFormat="false" ht="15" hidden="false" customHeight="false" outlineLevel="0" collapsed="false">
      <c r="A9" s="0" t="s">
        <v>17</v>
      </c>
      <c r="B9" s="1" t="n">
        <f aca="false">B3*Inputs!$B$7/10000000</f>
        <v>49.83264</v>
      </c>
    </row>
    <row r="10" customFormat="false" ht="15" hidden="false" customHeight="false" outlineLevel="0" collapsed="false">
      <c r="A10" s="0" t="s">
        <v>18</v>
      </c>
      <c r="B10" s="1" t="n">
        <f aca="false">B8*Inputs!$B$9</f>
        <v>10.40314625856</v>
      </c>
    </row>
    <row r="11" customFormat="false" ht="15" hidden="false" customHeight="false" outlineLevel="0" collapsed="false">
      <c r="A11" s="0" t="s">
        <v>19</v>
      </c>
      <c r="B11" s="1" t="n">
        <f aca="false">Inputs!$B$3+Inputs!$B$8+B9+B10</f>
        <v>256.73578625856</v>
      </c>
    </row>
    <row r="12" customFormat="false" ht="15" hidden="false" customHeight="false" outlineLevel="0" collapsed="false">
      <c r="A12" s="0" t="s">
        <v>20</v>
      </c>
      <c r="B12" s="1" t="n">
        <f aca="false">B8-B11</f>
        <v>90.0357556934401</v>
      </c>
    </row>
    <row r="13" customFormat="false" ht="15" hidden="false" customHeight="false" outlineLevel="0" collapsed="false">
      <c r="A13" s="0" t="s">
        <v>21</v>
      </c>
      <c r="B13" s="2" t="n">
        <f aca="false">B12/B11</f>
        <v>0.350694217606129</v>
      </c>
    </row>
    <row r="14" customFormat="false" ht="15" hidden="false" customHeight="false" outlineLevel="0" collapsed="false">
      <c r="A14" s="0" t="s">
        <v>22</v>
      </c>
      <c r="B14" s="2" t="n">
        <f aca="false">IRR(Timeline!B6:E6)</f>
        <v>0.218707975867464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</row>
    <row r="4" customFormat="false" ht="15" hidden="false" customHeight="false" outlineLevel="0" collapsed="false">
      <c r="A4" s="0" t="s">
        <v>24</v>
      </c>
      <c r="B4" s="0" t="n">
        <f aca="false">0</f>
        <v>0</v>
      </c>
      <c r="C4" s="1" t="n">
        <f aca="false">Appraisal!B5</f>
        <v>131.864832</v>
      </c>
      <c r="D4" s="1" t="n">
        <f aca="false">Appraisal!B6</f>
        <v>122.30463168</v>
      </c>
      <c r="E4" s="1" t="n">
        <f aca="false">Appraisal!B7</f>
        <v>92.602078272</v>
      </c>
    </row>
    <row r="5" customFormat="false" ht="15" hidden="false" customHeight="false" outlineLevel="0" collapsed="false">
      <c r="A5" s="0" t="s">
        <v>25</v>
      </c>
      <c r="B5" s="0" t="n">
        <f aca="false">-Inputs!$B$3-Inputs!$B$8</f>
        <v>-196.5</v>
      </c>
      <c r="C5" s="0" t="n">
        <f aca="false">-Appraisal!B9*0.6-Appraisal!B5*Inputs!$B$9</f>
        <v>-33.85552896</v>
      </c>
      <c r="D5" s="0" t="n">
        <f aca="false">-Appraisal!B9*0.4-Appraisal!B6*Inputs!$B$9</f>
        <v>-23.6021949504</v>
      </c>
      <c r="E5" s="0" t="n">
        <f aca="false">-Appraisal!B7*Inputs!$B$9</f>
        <v>-2.77806234816</v>
      </c>
    </row>
    <row r="6" customFormat="false" ht="15" hidden="false" customHeight="false" outlineLevel="0" collapsed="false">
      <c r="A6" s="0" t="s">
        <v>26</v>
      </c>
      <c r="B6" s="0" t="n">
        <f aca="false">B4+B5</f>
        <v>-196.5</v>
      </c>
      <c r="C6" s="0" t="n">
        <f aca="false">C4+C5</f>
        <v>98.00930304</v>
      </c>
      <c r="D6" s="0" t="n">
        <f aca="false">D4+D5</f>
        <v>98.7024367296</v>
      </c>
      <c r="E6" s="0" t="n">
        <f aca="false">E4+E5</f>
        <v>89.82401592384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2026-10-16T21:42:31Z</dcterms:created>
  <dc:creator>openpyxl</dc:creator>
  <dc:description/>
  <dc:language>en-US</dc:language>
  <cp:lastModifiedBy/>
  <dcterms:modified xsi:type="dcterms:W3CDTF">2026-10-16T21:42:31Z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