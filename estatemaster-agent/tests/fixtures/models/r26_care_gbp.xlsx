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sh Flow" sheetId="2" state="visible" r:id="rId4"/>
    <sheet name="Returns" sheetId="3" state="visible" r:id="rId5"/>
  </sheets>
  <definedNames>
    <definedName function="false" hidden="false" name="Beds" vbProcedure="false">Assumptions!$B$3</definedName>
    <definedName function="false" hidden="false" name="Carer_Cost" vbProcedure="false">Assumptions!$B$9</definedName>
    <definedName function="false" hidden="false" name="Exit_Yield" vbProcedure="false">Assumptions!$B$12</definedName>
    <definedName function="false" hidden="false" name="Fee_Dementia" vbProcedure="false">Assumptions!$B$6</definedName>
    <definedName function="false" hidden="false" name="Fee_Nursing" vbProcedure="false">Assumptions!$B$5</definedName>
    <definedName function="false" hidden="false" name="Fee_Residential" vbProcedure="false">Assumptions!$B$4</definedName>
    <definedName function="false" hidden="false" name="Occupancy" vbProcedure="false">Assumptions!$B$7</definedName>
    <definedName function="false" hidden="false" name="Other_Costs" vbProcedure="false">Assumptions!$B$10</definedName>
    <definedName function="false" hidden="false" name="Price" vbProcedure="false">Assumptions!$B$11</definedName>
    <definedName function="false" hidden="false" name="Review" vbProcedure="false">Assumptions!$B$13</definedName>
    <definedName function="false" hidden="false" name="Staff_Ratio" vbProcedure="false">Assumptions!$B$8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<sst xmlns="http://schemas.openxmlformats.org/spreadsheetml/2006/main" count="26" uniqueCount="26">
  <si>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BIRCHWOOD GRANGE – SENIOR LIVING (GBP)</t>
  </si>
  <si>
    <t xml:space="preserve">Beds</t>
  </si>
  <si>
    <t xml:space="preserve">Weekly fee, residential (£)</t>
  </si>
  <si>
    <t xml:space="preserve">Weekly fee, nursing (£)</t>
  </si>
  <si>
    <t xml:space="preserve">Weekly fee, dementia (£)</t>
  </si>
  <si>
    <t xml:space="preserve">Occupancy</t>
  </si>
  <si>
    <t xml:space="preserve">Residents per carer</t>
  </si>
  <si>
    <t xml:space="preserve">Carer cost a year (£)</t>
  </si>
  <si>
    <t xml:space="preserve">Other costs share of fees</t>
  </si>
  <si>
    <t xml:space="preserve">Purchase price (£)</t>
  </si>
  <si>
    <t xml:space="preserve">Exit yield</t>
  </si>
  <si>
    <t xml:space="preserve">Fee review a year</t>
  </si>
  <si>
    <t xml:space="preserve">Year</t>
  </si>
  <si>
    <t xml:space="preserve">Residents</t>
  </si>
  <si>
    <t xml:space="preserve">Blended weekly fee</t>
  </si>
  <si>
    <t xml:space="preserve">Fees</t>
  </si>
  <si>
    <t xml:space="preserve">Carers</t>
  </si>
  <si>
    <t xml:space="preserve">Staff costs</t>
  </si>
  <si>
    <t xml:space="preserve">Other costs</t>
  </si>
  <si>
    <t xml:space="preserve">EBITDAR</t>
  </si>
  <si>
    <t xml:space="preserve">Cash flow</t>
  </si>
  <si>
    <t xml:space="preserve">Unlevered IRR</t>
  </si>
  <si>
    <t xml:space="preserve">EBITDAR margin, year 1</t>
  </si>
  <si>
    <t xml:space="preserve">Carers on the rota</t>
  </si>
  <si>
    <t xml:space="preserve">Blended weekly fee, year 1 (£)</t>
  </si>
  <si>
    <t xml:space="preserve">Net profit (£)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</si>
</sst>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120</v>
      </c>
    </row>
    <row r="4" customFormat="false" ht="15" hidden="false" customHeight="false" outlineLevel="0" collapsed="false">
      <c r="A4" s="0" t="s">
        <v>2</v>
      </c>
      <c r="B4" s="1" t="n">
        <v>1250</v>
      </c>
    </row>
    <row r="5" customFormat="false" ht="15" hidden="false" customHeight="false" outlineLevel="0" collapsed="false">
      <c r="A5" s="0" t="s">
        <v>3</v>
      </c>
      <c r="B5" s="1" t="n">
        <v>1480</v>
      </c>
    </row>
    <row r="6" customFormat="false" ht="15" hidden="false" customHeight="false" outlineLevel="0" collapsed="false">
      <c r="A6" s="0" t="s">
        <v>4</v>
      </c>
      <c r="B6" s="1" t="n">
        <v>1560</v>
      </c>
    </row>
    <row r="7" customFormat="false" ht="15" hidden="false" customHeight="false" outlineLevel="0" collapsed="false">
      <c r="A7" s="0" t="s">
        <v>5</v>
      </c>
      <c r="B7" s="2" t="n">
        <v>0.92</v>
      </c>
    </row>
    <row r="8" customFormat="false" ht="15" hidden="false" customHeight="false" outlineLevel="0" collapsed="false">
      <c r="A8" s="0" t="s">
        <v>6</v>
      </c>
      <c r="B8" s="3" t="n">
        <v>4.5</v>
      </c>
    </row>
    <row r="9" customFormat="false" ht="15" hidden="false" customHeight="false" outlineLevel="0" collapsed="false">
      <c r="A9" s="0" t="s">
        <v>7</v>
      </c>
      <c r="B9" s="1" t="n">
        <v>31500</v>
      </c>
    </row>
    <row r="10" customFormat="false" ht="15" hidden="false" customHeight="false" outlineLevel="0" collapsed="false">
      <c r="A10" s="0" t="s">
        <v>8</v>
      </c>
      <c r="B10" s="2" t="n">
        <v>0.28</v>
      </c>
    </row>
    <row r="11" customFormat="false" ht="15" hidden="false" customHeight="false" outlineLevel="0" collapsed="false">
      <c r="A11" s="0" t="s">
        <v>9</v>
      </c>
      <c r="B11" s="1" t="n">
        <v>38500000</v>
      </c>
    </row>
    <row r="12" customFormat="false" ht="15" hidden="false" customHeight="false" outlineLevel="0" collapsed="false">
      <c r="A12" s="0" t="s">
        <v>10</v>
      </c>
      <c r="B12" s="2" t="n">
        <v>0.0625</v>
      </c>
    </row>
    <row r="13" customFormat="false" ht="15" hidden="false" customHeight="false" outlineLevel="0" collapsed="false">
      <c r="A13" s="0" t="s">
        <v>11</v>
      </c>
      <c r="B13" s="2" t="n">
        <v>0.035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</row>
    <row r="4" customFormat="false" ht="15" hidden="false" customHeight="false" outlineLevel="0" collapsed="false">
      <c r="A4" s="0" t="s">
        <v>13</v>
      </c>
      <c r="B4" s="0" t="n">
        <f aca="false">0</f>
        <v>0</v>
      </c>
      <c r="C4" s="0" t="n">
        <f aca="false">ROUNDDOWN(Beds*Occupancy,0)</f>
        <v>110</v>
      </c>
      <c r="D4" s="0" t="n">
        <f aca="false">ROUNDDOWN(Beds*Occupancy,0)</f>
        <v>110</v>
      </c>
      <c r="E4" s="0" t="n">
        <f aca="false">ROUNDDOWN(Beds*Occupancy,0)</f>
        <v>110</v>
      </c>
      <c r="F4" s="0" t="n">
        <f aca="false">ROUNDDOWN(Beds*Occupancy,0)</f>
        <v>110</v>
      </c>
      <c r="G4" s="0" t="n">
        <f aca="false">ROUNDDOWN(Beds*Occupancy,0)</f>
        <v>110</v>
      </c>
      <c r="H4" s="0" t="n">
        <f aca="false">ROUNDDOWN(Beds*Occupancy,0)</f>
        <v>110</v>
      </c>
      <c r="I4" s="0" t="n">
        <f aca="false">ROUNDDOWN(Beds*Occupancy,0)</f>
        <v>110</v>
      </c>
      <c r="J4" s="0" t="n">
        <f aca="false">ROUNDDOWN(Beds*Occupancy,0)</f>
        <v>110</v>
      </c>
    </row>
    <row r="5" customFormat="false" ht="15" hidden="false" customHeight="false" outlineLevel="0" collapsed="false">
      <c r="A5" s="0" t="s">
        <v>14</v>
      </c>
      <c r="B5" s="0" t="n">
        <f aca="false">0</f>
        <v>0</v>
      </c>
      <c r="C5" s="0" t="n">
        <f aca="false">FLOOR(SUMPRODUCT({0.45,0.35,0.2},CHOOSE({1,2,3},Fee_Residential,Fee_Nursing,Fee_Dementia))*(1+Review)^(C$3-1),5)</f>
        <v>1390</v>
      </c>
      <c r="D5" s="0" t="n">
        <f aca="false">FLOOR(SUMPRODUCT({0.45,0.35,0.2},CHOOSE({1,2,3},Fee_Residential,Fee_Nursing,Fee_Dementia))*(1+Review)^(D$3-1),5)</f>
        <v>1440</v>
      </c>
      <c r="E5" s="0" t="n">
        <f aca="false">FLOOR(SUMPRODUCT({0.45,0.35,0.2},CHOOSE({1,2,3},Fee_Residential,Fee_Nursing,Fee_Dementia))*(1+Review)^(E$3-1),5)</f>
        <v>1490</v>
      </c>
      <c r="F5" s="0" t="n">
        <f aca="false">FLOOR(SUMPRODUCT({0.45,0.35,0.2},CHOOSE({1,2,3},Fee_Residential,Fee_Nursing,Fee_Dementia))*(1+Review)^(F$3-1),5)</f>
        <v>1540</v>
      </c>
      <c r="G5" s="0" t="n">
        <f aca="false">FLOOR(SUMPRODUCT({0.45,0.35,0.2},CHOOSE({1,2,3},Fee_Residential,Fee_Nursing,Fee_Dementia))*(1+Review)^(G$3-1),5)</f>
        <v>1595</v>
      </c>
      <c r="H5" s="0" t="n">
        <f aca="false">FLOOR(SUMPRODUCT({0.45,0.35,0.2},CHOOSE({1,2,3},Fee_Residential,Fee_Nursing,Fee_Dementia))*(1+Review)^(H$3-1),5)</f>
        <v>1650</v>
      </c>
      <c r="I5" s="0" t="n">
        <f aca="false">FLOOR(SUMPRODUCT({0.45,0.35,0.2},CHOOSE({1,2,3},Fee_Residential,Fee_Nursing,Fee_Dementia))*(1+Review)^(I$3-1),5)</f>
        <v>1710</v>
      </c>
      <c r="J5" s="0" t="n">
        <f aca="false">FLOOR(SUMPRODUCT({0.45,0.35,0.2},CHOOSE({1,2,3},Fee_Residential,Fee_Nursing,Fee_Dementia))*(1+Review)^(J$3-1),5)</f>
        <v>1770</v>
      </c>
    </row>
    <row r="6" customFormat="false" ht="15" hidden="false" customHeight="false" outlineLevel="0" collapsed="false">
      <c r="A6" s="0" t="s">
        <v>15</v>
      </c>
      <c r="B6" s="0" t="n">
        <f aca="false">B4*B5*52</f>
        <v>0</v>
      </c>
      <c r="C6" s="0" t="n">
        <f aca="false">C4*C5*52</f>
        <v>7950800</v>
      </c>
      <c r="D6" s="0" t="n">
        <f aca="false">D4*D5*52</f>
        <v>8236800</v>
      </c>
      <c r="E6" s="0" t="n">
        <f aca="false">E4*E5*52</f>
        <v>8522800</v>
      </c>
      <c r="F6" s="0" t="n">
        <f aca="false">F4*F5*52</f>
        <v>8808800</v>
      </c>
      <c r="G6" s="0" t="n">
        <f aca="false">G4*G5*52</f>
        <v>9123400</v>
      </c>
      <c r="H6" s="0" t="n">
        <f aca="false">H4*H5*52</f>
        <v>9438000</v>
      </c>
      <c r="I6" s="0" t="n">
        <f aca="false">I4*I5*52</f>
        <v>9781200</v>
      </c>
      <c r="J6" s="0" t="n">
        <f aca="false">J4*J5*52</f>
        <v>10124400</v>
      </c>
    </row>
    <row r="7" customFormat="false" ht="15" hidden="false" customHeight="false" outlineLevel="0" collapsed="false">
      <c r="A7" s="0" t="s">
        <v>16</v>
      </c>
      <c r="B7" s="0" t="n">
        <f aca="false">0</f>
        <v>0</v>
      </c>
      <c r="C7" s="0" t="n">
        <f aca="false">CEILING(C4/Staff_Ratio,1)*4.2</f>
        <v>105</v>
      </c>
      <c r="D7" s="0" t="n">
        <f aca="false">CEILING(D4/Staff_Ratio,1)*4.2</f>
        <v>105</v>
      </c>
      <c r="E7" s="0" t="n">
        <f aca="false">CEILING(E4/Staff_Ratio,1)*4.2</f>
        <v>105</v>
      </c>
      <c r="F7" s="0" t="n">
        <f aca="false">CEILING(F4/Staff_Ratio,1)*4.2</f>
        <v>105</v>
      </c>
      <c r="G7" s="0" t="n">
        <f aca="false">CEILING(G4/Staff_Ratio,1)*4.2</f>
        <v>105</v>
      </c>
      <c r="H7" s="0" t="n">
        <f aca="false">CEILING(H4/Staff_Ratio,1)*4.2</f>
        <v>105</v>
      </c>
      <c r="I7" s="0" t="n">
        <f aca="false">CEILING(I4/Staff_Ratio,1)*4.2</f>
        <v>105</v>
      </c>
      <c r="J7" s="0" t="n">
        <f aca="false">CEILING(J4/Staff_Ratio,1)*4.2</f>
        <v>105</v>
      </c>
    </row>
    <row r="8" customFormat="false" ht="15" hidden="false" customHeight="false" outlineLevel="0" collapsed="false">
      <c r="A8" s="0" t="s">
        <v>17</v>
      </c>
      <c r="B8" s="0" t="n">
        <f aca="false">ROUNDUP(B7,0)*Carer_Cost*(1+Review)^MAX(0,B$3-1)</f>
        <v>0</v>
      </c>
      <c r="C8" s="0" t="n">
        <f aca="false">ROUNDUP(C7,0)*Carer_Cost*(1+Review)^MAX(0,C$3-1)</f>
        <v>3307500</v>
      </c>
      <c r="D8" s="0" t="n">
        <f aca="false">ROUNDUP(D7,0)*Carer_Cost*(1+Review)^MAX(0,D$3-1)</f>
        <v>3423262.5</v>
      </c>
      <c r="E8" s="0" t="n">
        <f aca="false">ROUNDUP(E7,0)*Carer_Cost*(1+Review)^MAX(0,E$3-1)</f>
        <v>3543076.6875</v>
      </c>
      <c r="F8" s="0" t="n">
        <f aca="false">ROUNDUP(F7,0)*Carer_Cost*(1+Review)^MAX(0,F$3-1)</f>
        <v>3667084.3715625</v>
      </c>
      <c r="G8" s="0" t="n">
        <f aca="false">ROUNDUP(G7,0)*Carer_Cost*(1+Review)^MAX(0,G$3-1)</f>
        <v>3795432.32456719</v>
      </c>
      <c r="H8" s="0" t="n">
        <f aca="false">ROUNDUP(H7,0)*Carer_Cost*(1+Review)^MAX(0,H$3-1)</f>
        <v>3928272.45592704</v>
      </c>
      <c r="I8" s="0" t="n">
        <f aca="false">ROUNDUP(I7,0)*Carer_Cost*(1+Review)^MAX(0,I$3-1)</f>
        <v>4065761.99188448</v>
      </c>
      <c r="J8" s="0" t="n">
        <f aca="false">ROUNDUP(J7,0)*Carer_Cost*(1+Review)^MAX(0,J$3-1)</f>
        <v>4208063.66160044</v>
      </c>
    </row>
    <row r="9" customFormat="false" ht="15" hidden="false" customHeight="false" outlineLevel="0" collapsed="false">
      <c r="A9" s="0" t="s">
        <v>18</v>
      </c>
      <c r="B9" s="0" t="n">
        <f aca="false">B6*Other_Costs</f>
        <v>0</v>
      </c>
      <c r="C9" s="0" t="n">
        <f aca="false">C6*Other_Costs</f>
        <v>2226224</v>
      </c>
      <c r="D9" s="0" t="n">
        <f aca="false">D6*Other_Costs</f>
        <v>2306304</v>
      </c>
      <c r="E9" s="0" t="n">
        <f aca="false">E6*Other_Costs</f>
        <v>2386384</v>
      </c>
      <c r="F9" s="0" t="n">
        <f aca="false">F6*Other_Costs</f>
        <v>2466464</v>
      </c>
      <c r="G9" s="0" t="n">
        <f aca="false">G6*Other_Costs</f>
        <v>2554552</v>
      </c>
      <c r="H9" s="0" t="n">
        <f aca="false">H6*Other_Costs</f>
        <v>2642640</v>
      </c>
      <c r="I9" s="0" t="n">
        <f aca="false">I6*Other_Costs</f>
        <v>2738736</v>
      </c>
      <c r="J9" s="0" t="n">
        <f aca="false">J6*Other_Costs</f>
        <v>2834832</v>
      </c>
    </row>
    <row r="10" customFormat="false" ht="15" hidden="false" customHeight="false" outlineLevel="0" collapsed="false">
      <c r="A10" s="0" t="s">
        <v>19</v>
      </c>
      <c r="B10" s="0" t="n">
        <f aca="false">B6-B8-B9</f>
        <v>0</v>
      </c>
      <c r="C10" s="0" t="n">
        <f aca="false">C6-C8-C9</f>
        <v>2417076</v>
      </c>
      <c r="D10" s="0" t="n">
        <f aca="false">D6-D8-D9</f>
        <v>2507233.5</v>
      </c>
      <c r="E10" s="0" t="n">
        <f aca="false">E6-E8-E9</f>
        <v>2593339.3125</v>
      </c>
      <c r="F10" s="0" t="n">
        <f aca="false">F6-F8-F9</f>
        <v>2675251.6284375</v>
      </c>
      <c r="G10" s="0" t="n">
        <f aca="false">G6-G8-G9</f>
        <v>2773415.67543281</v>
      </c>
      <c r="H10" s="0" t="n">
        <f aca="false">H6-H8-H9</f>
        <v>2867087.54407296</v>
      </c>
      <c r="I10" s="0" t="n">
        <f aca="false">I6-I8-I9</f>
        <v>2976702.00811552</v>
      </c>
      <c r="J10" s="0" t="n">
        <f aca="false">J6-J8-J9</f>
        <v>3081504.33839956</v>
      </c>
    </row>
    <row r="11" customFormat="false" ht="15" hidden="false" customHeight="false" outlineLevel="0" collapsed="false">
      <c r="A11" s="0" t="s">
        <v>20</v>
      </c>
      <c r="B11" s="0" t="n">
        <f aca="false">-Price</f>
        <v>-38500000</v>
      </c>
      <c r="C11" s="0" t="n">
        <f aca="false">C10+IF(C$3=8,C10*(1+Review)/Exit_Yield,0)</f>
        <v>2417076</v>
      </c>
      <c r="D11" s="0" t="n">
        <f aca="false">D10+IF(D$3=8,D10*(1+Review)/Exit_Yield,0)</f>
        <v>2507233.5</v>
      </c>
      <c r="E11" s="0" t="n">
        <f aca="false">E10+IF(E$3=8,E10*(1+Review)/Exit_Yield,0)</f>
        <v>2593339.3125</v>
      </c>
      <c r="F11" s="0" t="n">
        <f aca="false">F10+IF(F$3=8,F10*(1+Review)/Exit_Yield,0)</f>
        <v>2675251.6284375</v>
      </c>
      <c r="G11" s="0" t="n">
        <f aca="false">G10+IF(G$3=8,G10*(1+Review)/Exit_Yield,0)</f>
        <v>2773415.67543281</v>
      </c>
      <c r="H11" s="0" t="n">
        <f aca="false">H10+IF(H$3=8,H10*(1+Review)/Exit_Yield,0)</f>
        <v>2867087.54407296</v>
      </c>
      <c r="I11" s="0" t="n">
        <f aca="false">I10+IF(I$3=8,I10*(1+Review)/Exit_Yield,0)</f>
        <v>2976702.00811552</v>
      </c>
      <c r="J11" s="0" t="n">
        <f aca="false">J10+IF(J$3=8,J10*(1+Review)/Exit_Yield,0)</f>
        <v>54111216.1822963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2" t="n">
        <f aca="false">IRR('Cash Flow'!$B$11:$J$11)</f>
        <v>0.0984993176196373</v>
      </c>
    </row>
    <row r="4" customFormat="false" ht="15" hidden="false" customHeight="false" outlineLevel="0" collapsed="false">
      <c r="A4" s="0" t="s">
        <v>22</v>
      </c>
      <c r="B4" s="2" t="n">
        <f aca="false">'Cash Flow'!C10/'Cash Flow'!C6</f>
        <v>0.304004125371032</v>
      </c>
    </row>
    <row r="5" customFormat="false" ht="15" hidden="false" customHeight="false" outlineLevel="0" collapsed="false">
      <c r="A5" s="0" t="s">
        <v>23</v>
      </c>
      <c r="B5" s="3" t="n">
        <f aca="false">'Cash Flow'!C7</f>
        <v>105</v>
      </c>
    </row>
    <row r="6" customFormat="false" ht="15" hidden="false" customHeight="false" outlineLevel="0" collapsed="false">
      <c r="A6" s="0" t="s">
        <v>24</v>
      </c>
      <c r="B6" s="1" t="n">
        <f aca="false">'Cash Flow'!C5</f>
        <v>1390</v>
      </c>
    </row>
    <row r="7" customFormat="false" ht="15" hidden="false" customHeight="false" outlineLevel="0" collapsed="false">
      <c r="A7" s="0" t="s">
        <v>25</v>
      </c>
      <c r="B7" s="1" t="n">
        <f aca="false">SUM('Cash Flow'!$B$11:$J$11)</f>
        <v>34421321.8508551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2026-10-17T22:22:00Z</dcterms:created>
  <dc:creator>openpyxl</dc:creator>
  <dc:description/>
  <dc:language>en-US</dc:language>
  <cp:lastModifiedBy/>
  <dcterms:modified xsi:type="dcterms:W3CDTF">2026-10-17T22:22:00Z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