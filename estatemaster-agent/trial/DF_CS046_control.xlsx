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" sheetId="2" state="visible" r:id="rId2"/>
    <sheet name="Inputs" sheetId="3" state="visible" r:id="rId3"/>
    <sheet name="Lines" sheetId="4" state="visible" r:id="rId4"/>
    <sheet name="Mapping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000919"/>
      </patternFill>
    </fill>
    <fill>
      <patternFill patternType="solid">
        <fgColor rgb="00FFF7D6"/>
      </patternFill>
    </fill>
    <fill>
      <patternFill patternType="solid">
        <fgColor rgb="00F4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KINAN control workbook: the only place the Bohio agent writes EstateMaster inputs</t>
        </is>
      </c>
    </row>
    <row r="2">
      <c r="A2" s="2" t="inlineStr"/>
    </row>
    <row r="3">
      <c r="A3" s="2" t="inlineStr">
        <is>
          <t>1. Setup (once per model, analyst + Copilot setup agent): fill column E of the Inputs sheet from the model's</t>
        </is>
      </c>
    </row>
    <row r="4">
      <c r="A4" s="2" t="inlineStr">
        <is>
          <t xml:space="preserve">   Office Links export. Record where each value came from in column F and log every match on the Mapping sheet.</t>
        </is>
      </c>
    </row>
    <row r="5">
      <c r="A5" s="2" t="inlineStr">
        <is>
          <t>2. Check: run  py runner/control_check.py &lt;this file&gt;  (or Model data -&gt; Connect control workbook in the Bohio app).</t>
        </is>
      </c>
    </row>
    <row r="6">
      <c r="A6" s="2" t="inlineStr">
        <is>
          <t>3. Link: in EstateMaster, link each input to its cell in column E (Office Links). On the KINAN master template</t>
        </is>
      </c>
    </row>
    <row r="7">
      <c r="A7" s="2" t="inlineStr">
        <is>
          <t xml:space="preserve">   this is already done. Confirm in the trial that the links survive copying the model.</t>
        </is>
      </c>
    </row>
    <row r="8">
      <c r="A8" s="2" t="inlineStr">
        <is>
          <t>4. After setup, only the Bohio runner writes to this file, and only approved changes. Do not edit it by hand.</t>
        </is>
      </c>
    </row>
    <row r="9">
      <c r="A9" s="2" t="inlineStr"/>
    </row>
    <row r="10">
      <c r="A10" s="2" t="inlineStr">
        <is>
          <t>Do not insert or delete rows or columns, or rename sheets: the runner writes to fixed cells (runner/register_map.csv).</t>
        </is>
      </c>
    </row>
    <row r="11">
      <c r="A11" s="2" t="inlineStr">
        <is>
          <t>Units: % values as percentages (7.5 means 7.5%), money as shown in the Unit column.</t>
        </is>
      </c>
    </row>
    <row r="12">
      <c r="A12" s="2" t="inlineStr">
        <is>
          <t>Lines this project does not use: leave column E blank and put N/A in column H.</t>
        </is>
      </c>
    </row>
    <row r="13">
      <c r="A13" s="4" t="inlineStr">
        <is>
          <t>DF_CS046 trial workbook: 30 model lines from the Input sheet (financing section), read from a screenshot.</t>
        </is>
      </c>
    </row>
    <row r="14">
      <c r="A14" s="2" t="inlineStr">
        <is>
          <t>1) Check each value against the model and put Y in column H.  2) Link column E of the rows you want in EstateMaster, then Y in column J.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Project name</t>
        </is>
      </c>
      <c r="B2" s="5" t="inlineStr">
        <is>
          <t>DF_CS046 Industrial Logistics Options (EstateMaster trial)</t>
        </is>
      </c>
    </row>
    <row r="3">
      <c r="A3" s="4" t="inlineStr">
        <is>
          <t>Bohio model id</t>
        </is>
      </c>
      <c r="B3" s="5" t="inlineStr">
        <is>
          <t>narjis</t>
        </is>
      </c>
    </row>
    <row r="4">
      <c r="A4" s="4" t="inlineStr">
        <is>
          <t>EstateMaster file (.emdf)</t>
        </is>
      </c>
      <c r="B4" s="5" t="inlineStr">
        <is>
          <t>C:\Bohio\Models\DF_CS046 Industrial Logistics Options.emdf</t>
        </is>
      </c>
    </row>
    <row r="5">
      <c r="A5" s="4" t="inlineStr">
        <is>
          <t>Prepared by</t>
        </is>
      </c>
      <c r="B5" s="5" t="inlineStr">
        <is>
          <t>Bohio (from Input sheet screenshot)</t>
        </is>
      </c>
    </row>
    <row r="6">
      <c r="A6" s="4" t="inlineStr">
        <is>
          <t>Date</t>
        </is>
      </c>
      <c r="B6" s="5" t="inlineStr"/>
    </row>
    <row r="7">
      <c r="A7" s="4" t="inlineStr">
        <is>
          <t>Checked by</t>
        </is>
      </c>
      <c r="B7" s="5" t="inlineStr"/>
    </row>
    <row r="8">
      <c r="A8" s="4" t="inlineStr">
        <is>
          <t>Status (draft / checked / linked / live)</t>
        </is>
      </c>
      <c r="B8" s="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8" customWidth="1" min="4" max="4"/>
    <col width="14" customWidth="1" min="5" max="5"/>
    <col width="36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Assumption register: fill column E only</t>
        </is>
      </c>
    </row>
    <row r="2">
      <c r="A2" t="inlineStr">
        <is>
          <t>Column E is what EstateMaster reads through its Excel link. Columns F to I are the audit trail.</t>
        </is>
      </c>
    </row>
    <row r="3">
      <c r="A3" s="3" t="inlineStr">
        <is>
          <t>id</t>
        </is>
      </c>
      <c r="B3" s="3" t="inlineStr">
        <is>
          <t>Section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Value</t>
        </is>
      </c>
      <c r="F3" s="3" t="inlineStr">
        <is>
          <t>Source in EstateMaster export</t>
        </is>
      </c>
      <c r="G3" s="3" t="inlineStr">
        <is>
          <t>Mapped by</t>
        </is>
      </c>
      <c r="H3" s="3" t="inlineStr">
        <is>
          <t>Confirmed (Y/N/N/A)</t>
        </is>
      </c>
      <c r="I3" s="3" t="inlineStr">
        <is>
          <t>Notes</t>
        </is>
      </c>
    </row>
    <row r="4">
      <c r="A4" t="inlineStr">
        <is>
          <t>u1</t>
        </is>
      </c>
      <c r="B4" t="inlineStr">
        <is>
          <t>Revenue › Residential sales</t>
        </is>
      </c>
      <c r="C4" t="inlineStr">
        <is>
          <t>1-bed apartments</t>
        </is>
      </c>
      <c r="D4" t="inlineStr">
        <is>
          <t>SAR/sqm</t>
        </is>
      </c>
      <c r="E4" s="6" t="n"/>
      <c r="H4" t="inlineStr">
        <is>
          <t>N/A</t>
        </is>
      </c>
      <c r="I4" t="inlineStr">
        <is>
          <t>Not in DF_CS046 (industrial logistics); use the Lines sheet</t>
        </is>
      </c>
    </row>
    <row r="5">
      <c r="A5" t="inlineStr">
        <is>
          <t>u2</t>
        </is>
      </c>
      <c r="B5" t="inlineStr">
        <is>
          <t>Revenue › Residential sales</t>
        </is>
      </c>
      <c r="C5" t="inlineStr">
        <is>
          <t>2-bed apartments</t>
        </is>
      </c>
      <c r="D5" t="inlineStr">
        <is>
          <t>SAR/sqm</t>
        </is>
      </c>
      <c r="E5" s="6" t="n"/>
      <c r="H5" t="inlineStr">
        <is>
          <t>N/A</t>
        </is>
      </c>
      <c r="I5" t="inlineStr">
        <is>
          <t>Not in DF_CS046 (industrial logistics); use the Lines sheet</t>
        </is>
      </c>
    </row>
    <row r="6">
      <c r="A6" t="inlineStr">
        <is>
          <t>u3</t>
        </is>
      </c>
      <c r="B6" t="inlineStr">
        <is>
          <t>Revenue › Residential sales</t>
        </is>
      </c>
      <c r="C6" t="inlineStr">
        <is>
          <t>3-bed apartments</t>
        </is>
      </c>
      <c r="D6" t="inlineStr">
        <is>
          <t>SAR/sqm</t>
        </is>
      </c>
      <c r="E6" s="6" t="n"/>
      <c r="H6" t="inlineStr">
        <is>
          <t>N/A</t>
        </is>
      </c>
      <c r="I6" t="inlineStr">
        <is>
          <t>Not in DF_CS046 (industrial logistics); use the Lines sheet</t>
        </is>
      </c>
    </row>
    <row r="7">
      <c r="A7" t="inlineStr">
        <is>
          <t>u4</t>
        </is>
      </c>
      <c r="B7" t="inlineStr">
        <is>
          <t>Revenue › Residential sales</t>
        </is>
      </c>
      <c r="C7" t="inlineStr">
        <is>
          <t>Penthouses</t>
        </is>
      </c>
      <c r="D7" t="inlineStr">
        <is>
          <t>SAR/sqm</t>
        </is>
      </c>
      <c r="E7" s="6" t="n"/>
      <c r="H7" t="inlineStr">
        <is>
          <t>N/A</t>
        </is>
      </c>
      <c r="I7" t="inlineStr">
        <is>
          <t>Not in DF_CS046 (industrial logistics); use the Lines sheet</t>
        </is>
      </c>
    </row>
    <row r="8">
      <c r="A8" t="inlineStr">
        <is>
          <t>com</t>
        </is>
      </c>
      <c r="B8" t="inlineStr">
        <is>
          <t>Revenue › Sales costs</t>
        </is>
      </c>
      <c r="C8" t="inlineStr">
        <is>
          <t>Agency commission</t>
        </is>
      </c>
      <c r="D8" t="inlineStr">
        <is>
          <t>% of sales</t>
        </is>
      </c>
      <c r="E8" s="6" t="n"/>
      <c r="H8" t="inlineStr">
        <is>
          <t>N/A</t>
        </is>
      </c>
      <c r="I8" t="inlineStr">
        <is>
          <t>Not in DF_CS046 (industrial logistics); use the Lines sheet</t>
        </is>
      </c>
    </row>
    <row r="9">
      <c r="A9" t="inlineStr">
        <is>
          <t>mkt</t>
        </is>
      </c>
      <c r="B9" t="inlineStr">
        <is>
          <t>Revenue › Sales costs</t>
        </is>
      </c>
      <c r="C9" t="inlineStr">
        <is>
          <t>Marketing</t>
        </is>
      </c>
      <c r="D9" t="inlineStr">
        <is>
          <t>% of sales</t>
        </is>
      </c>
      <c r="E9" s="6" t="n"/>
      <c r="H9" t="inlineStr">
        <is>
          <t>N/A</t>
        </is>
      </c>
      <c r="I9" t="inlineStr">
        <is>
          <t>Not in DF_CS046 (industrial logistics); use the Lines sheet</t>
        </is>
      </c>
    </row>
    <row r="10">
      <c r="A10" t="inlineStr">
        <is>
          <t>r1</t>
        </is>
      </c>
      <c r="B10" t="inlineStr">
        <is>
          <t>Revenue › Retail leasing</t>
        </is>
      </c>
      <c r="C10" t="inlineStr">
        <is>
          <t>Anchor supermarket rent</t>
        </is>
      </c>
      <c r="D10" t="inlineStr">
        <is>
          <t>SAR/sqm/yr</t>
        </is>
      </c>
      <c r="E10" s="6" t="n"/>
      <c r="H10" t="inlineStr">
        <is>
          <t>N/A</t>
        </is>
      </c>
      <c r="I10" t="inlineStr">
        <is>
          <t>Not in DF_CS046 (industrial logistics); use the Lines sheet</t>
        </is>
      </c>
    </row>
    <row r="11">
      <c r="A11" t="inlineStr">
        <is>
          <t>r2</t>
        </is>
      </c>
      <c r="B11" t="inlineStr">
        <is>
          <t>Revenue › Retail leasing</t>
        </is>
      </c>
      <c r="C11" t="inlineStr">
        <is>
          <t>Line shop rent</t>
        </is>
      </c>
      <c r="D11" t="inlineStr">
        <is>
          <t>SAR/sqm/yr</t>
        </is>
      </c>
      <c r="E11" s="6" t="n"/>
      <c r="H11" t="inlineStr">
        <is>
          <t>N/A</t>
        </is>
      </c>
      <c r="I11" t="inlineStr">
        <is>
          <t>Not in DF_CS046 (industrial logistics); use the Lines sheet</t>
        </is>
      </c>
    </row>
    <row r="12">
      <c r="A12" t="inlineStr">
        <is>
          <t>r3</t>
        </is>
      </c>
      <c r="B12" t="inlineStr">
        <is>
          <t>Revenue › Retail leasing</t>
        </is>
      </c>
      <c r="C12" t="inlineStr">
        <is>
          <t>F&amp;B kiosk rent</t>
        </is>
      </c>
      <c r="D12" t="inlineStr">
        <is>
          <t>SAR/sqm/yr</t>
        </is>
      </c>
      <c r="E12" s="6" t="n"/>
      <c r="H12" t="inlineStr">
        <is>
          <t>N/A</t>
        </is>
      </c>
      <c r="I12" t="inlineStr">
        <is>
          <t>Not in DF_CS046 (industrial logistics); use the Lines sheet</t>
        </is>
      </c>
    </row>
    <row r="13">
      <c r="A13" t="inlineStr">
        <is>
          <t>occ</t>
        </is>
      </c>
      <c r="B13" t="inlineStr">
        <is>
          <t>Revenue › Retail leasing</t>
        </is>
      </c>
      <c r="C13" t="inlineStr">
        <is>
          <t>Stabilised occupancy</t>
        </is>
      </c>
      <c r="D13" t="inlineStr">
        <is>
          <t>%</t>
        </is>
      </c>
      <c r="E13" s="6" t="n"/>
      <c r="H13" t="inlineStr">
        <is>
          <t>N/A</t>
        </is>
      </c>
      <c r="I13" t="inlineStr">
        <is>
          <t>Not in DF_CS046 (industrial logistics); use the Lines sheet</t>
        </is>
      </c>
    </row>
    <row r="14">
      <c r="A14" t="inlineStr">
        <is>
          <t>opx</t>
        </is>
      </c>
      <c r="B14" t="inlineStr">
        <is>
          <t>Revenue › Retail leasing</t>
        </is>
      </c>
      <c r="C14" t="inlineStr">
        <is>
          <t>Non-recoverable opex</t>
        </is>
      </c>
      <c r="D14" t="inlineStr">
        <is>
          <t>% of rent</t>
        </is>
      </c>
      <c r="E14" s="6" t="n"/>
      <c r="H14" t="inlineStr">
        <is>
          <t>N/A</t>
        </is>
      </c>
      <c r="I14" t="inlineStr">
        <is>
          <t>Not in DF_CS046 (industrial logistics); use the Lines sheet</t>
        </is>
      </c>
    </row>
    <row r="15">
      <c r="A15" t="inlineStr">
        <is>
          <t>cap</t>
        </is>
      </c>
      <c r="B15" t="inlineStr">
        <is>
          <t>Revenue › Retail exit</t>
        </is>
      </c>
      <c r="C15" t="inlineStr">
        <is>
          <t>Exit cap rate</t>
        </is>
      </c>
      <c r="D15" t="inlineStr">
        <is>
          <t>%</t>
        </is>
      </c>
      <c r="E15" s="6" t="n"/>
      <c r="H15" t="inlineStr">
        <is>
          <t>N/A</t>
        </is>
      </c>
      <c r="I15" t="inlineStr">
        <is>
          <t>Not in DF_CS046 (industrial logistics); use the Lines sheet</t>
        </is>
      </c>
    </row>
    <row r="16">
      <c r="A16" t="inlineStr">
        <is>
          <t>exc</t>
        </is>
      </c>
      <c r="B16" t="inlineStr">
        <is>
          <t>Revenue › Retail exit</t>
        </is>
      </c>
      <c r="C16" t="inlineStr">
        <is>
          <t>Exit costs</t>
        </is>
      </c>
      <c r="D16" t="inlineStr">
        <is>
          <t>% of value</t>
        </is>
      </c>
      <c r="E16" s="6" t="n"/>
      <c r="H16" t="inlineStr">
        <is>
          <t>N/A</t>
        </is>
      </c>
      <c r="I16" t="inlineStr">
        <is>
          <t>Not in DF_CS046 (industrial logistics); use the Lines sheet</t>
        </is>
      </c>
    </row>
    <row r="17">
      <c r="A17" t="inlineStr">
        <is>
          <t>land</t>
        </is>
      </c>
      <c r="B17" t="inlineStr">
        <is>
          <t>Costs › Land</t>
        </is>
      </c>
      <c r="C17" t="inlineStr">
        <is>
          <t>Land price</t>
        </is>
      </c>
      <c r="D17" t="inlineStr">
        <is>
          <t>SAR M</t>
        </is>
      </c>
      <c r="E17" s="6" t="n"/>
      <c r="H17" t="inlineStr">
        <is>
          <t>N/A</t>
        </is>
      </c>
      <c r="I17" t="inlineStr">
        <is>
          <t>Not in DF_CS046 (industrial logistics); use the Lines sheet</t>
        </is>
      </c>
    </row>
    <row r="18">
      <c r="A18" t="inlineStr">
        <is>
          <t>c1</t>
        </is>
      </c>
      <c r="B18" t="inlineStr">
        <is>
          <t>Costs › Construction</t>
        </is>
      </c>
      <c r="C18" t="inlineStr">
        <is>
          <t>Substructure</t>
        </is>
      </c>
      <c r="D18" t="inlineStr">
        <is>
          <t>SAR/sqm GFA</t>
        </is>
      </c>
      <c r="E18" s="6" t="n"/>
      <c r="H18" t="inlineStr">
        <is>
          <t>N/A</t>
        </is>
      </c>
      <c r="I18" t="inlineStr">
        <is>
          <t>Not in DF_CS046 (industrial logistics); use the Lines sheet</t>
        </is>
      </c>
    </row>
    <row r="19">
      <c r="A19" t="inlineStr">
        <is>
          <t>c2</t>
        </is>
      </c>
      <c r="B19" t="inlineStr">
        <is>
          <t>Costs › Construction</t>
        </is>
      </c>
      <c r="C19" t="inlineStr">
        <is>
          <t>Superstructure</t>
        </is>
      </c>
      <c r="D19" t="inlineStr">
        <is>
          <t>SAR/sqm GFA</t>
        </is>
      </c>
      <c r="E19" s="6" t="n"/>
      <c r="H19" t="inlineStr">
        <is>
          <t>N/A</t>
        </is>
      </c>
      <c r="I19" t="inlineStr">
        <is>
          <t>Not in DF_CS046 (industrial logistics); use the Lines sheet</t>
        </is>
      </c>
    </row>
    <row r="20">
      <c r="A20" t="inlineStr">
        <is>
          <t>c3</t>
        </is>
      </c>
      <c r="B20" t="inlineStr">
        <is>
          <t>Costs › Construction</t>
        </is>
      </c>
      <c r="C20" t="inlineStr">
        <is>
          <t>Facade</t>
        </is>
      </c>
      <c r="D20" t="inlineStr">
        <is>
          <t>SAR/sqm GFA</t>
        </is>
      </c>
      <c r="E20" s="6" t="n"/>
      <c r="H20" t="inlineStr">
        <is>
          <t>N/A</t>
        </is>
      </c>
      <c r="I20" t="inlineStr">
        <is>
          <t>Not in DF_CS046 (industrial logistics); use the Lines sheet</t>
        </is>
      </c>
    </row>
    <row r="21">
      <c r="A21" t="inlineStr">
        <is>
          <t>c4</t>
        </is>
      </c>
      <c r="B21" t="inlineStr">
        <is>
          <t>Costs › Construction</t>
        </is>
      </c>
      <c r="C21" t="inlineStr">
        <is>
          <t>MEP services</t>
        </is>
      </c>
      <c r="D21" t="inlineStr">
        <is>
          <t>SAR/sqm GFA</t>
        </is>
      </c>
      <c r="E21" s="6" t="n"/>
      <c r="H21" t="inlineStr">
        <is>
          <t>N/A</t>
        </is>
      </c>
      <c r="I21" t="inlineStr">
        <is>
          <t>Not in DF_CS046 (industrial logistics); use the Lines sheet</t>
        </is>
      </c>
    </row>
    <row r="22">
      <c r="A22" t="inlineStr">
        <is>
          <t>c5</t>
        </is>
      </c>
      <c r="B22" t="inlineStr">
        <is>
          <t>Costs › Construction</t>
        </is>
      </c>
      <c r="C22" t="inlineStr">
        <is>
          <t>Fit-out and finishes</t>
        </is>
      </c>
      <c r="D22" t="inlineStr">
        <is>
          <t>SAR/sqm GFA</t>
        </is>
      </c>
      <c r="E22" s="6" t="n"/>
      <c r="H22" t="inlineStr">
        <is>
          <t>N/A</t>
        </is>
      </c>
      <c r="I22" t="inlineStr">
        <is>
          <t>Not in DF_CS046 (industrial logistics); use the Lines sheet</t>
        </is>
      </c>
    </row>
    <row r="23">
      <c r="A23" t="inlineStr">
        <is>
          <t>c6</t>
        </is>
      </c>
      <c r="B23" t="inlineStr">
        <is>
          <t>Costs › Construction</t>
        </is>
      </c>
      <c r="C23" t="inlineStr">
        <is>
          <t>External works</t>
        </is>
      </c>
      <c r="D23" t="inlineStr">
        <is>
          <t>SAR/sqm GFA</t>
        </is>
      </c>
      <c r="E23" s="6" t="n"/>
      <c r="H23" t="inlineStr">
        <is>
          <t>N/A</t>
        </is>
      </c>
      <c r="I23" t="inlineStr">
        <is>
          <t>Not in DF_CS046 (industrial logistics); use the Lines sheet</t>
        </is>
      </c>
    </row>
    <row r="24">
      <c r="A24" t="inlineStr">
        <is>
          <t>pf</t>
        </is>
      </c>
      <c r="B24" t="inlineStr">
        <is>
          <t>Costs › Soft costs</t>
        </is>
      </c>
      <c r="C24" t="inlineStr">
        <is>
          <t>Professional fees</t>
        </is>
      </c>
      <c r="D24" t="inlineStr">
        <is>
          <t>% of construction</t>
        </is>
      </c>
      <c r="E24" s="6" t="n"/>
      <c r="H24" t="inlineStr">
        <is>
          <t>N/A</t>
        </is>
      </c>
      <c r="I24" t="inlineStr">
        <is>
          <t>Not in DF_CS046 (industrial logistics); use the Lines sheet</t>
        </is>
      </c>
    </row>
    <row r="25">
      <c r="A25" t="inlineStr">
        <is>
          <t>sf</t>
        </is>
      </c>
      <c r="B25" t="inlineStr">
        <is>
          <t>Costs › Soft costs</t>
        </is>
      </c>
      <c r="C25" t="inlineStr">
        <is>
          <t>Statutory and authority fees</t>
        </is>
      </c>
      <c r="D25" t="inlineStr">
        <is>
          <t>% of construction</t>
        </is>
      </c>
      <c r="E25" s="6" t="n"/>
      <c r="H25" t="inlineStr">
        <is>
          <t>N/A</t>
        </is>
      </c>
      <c r="I25" t="inlineStr">
        <is>
          <t>Not in DF_CS046 (industrial logistics); use the Lines sheet</t>
        </is>
      </c>
    </row>
    <row r="26">
      <c r="A26" t="inlineStr">
        <is>
          <t>dm</t>
        </is>
      </c>
      <c r="B26" t="inlineStr">
        <is>
          <t>Costs › Soft costs</t>
        </is>
      </c>
      <c r="C26" t="inlineStr">
        <is>
          <t>Development management fee</t>
        </is>
      </c>
      <c r="D26" t="inlineStr">
        <is>
          <t>% of construction</t>
        </is>
      </c>
      <c r="E26" s="6" t="n"/>
      <c r="H26" t="inlineStr">
        <is>
          <t>N/A</t>
        </is>
      </c>
      <c r="I26" t="inlineStr">
        <is>
          <t>Not in DF_CS046 (industrial logistics); use the Lines sheet</t>
        </is>
      </c>
    </row>
    <row r="27">
      <c r="A27" t="inlineStr">
        <is>
          <t>ct</t>
        </is>
      </c>
      <c r="B27" t="inlineStr">
        <is>
          <t>Costs › Contingency</t>
        </is>
      </c>
      <c r="C27" t="inlineStr">
        <is>
          <t>Construction contingency</t>
        </is>
      </c>
      <c r="D27" t="inlineStr">
        <is>
          <t>% of construction</t>
        </is>
      </c>
      <c r="E27" s="6" t="n"/>
      <c r="H27" t="inlineStr">
        <is>
          <t>N/A</t>
        </is>
      </c>
      <c r="I27" t="inlineStr">
        <is>
          <t>Not in DF_CS046 (industrial logistics); use the Lines sheet</t>
        </is>
      </c>
    </row>
    <row r="28">
      <c r="A28" t="inlineStr">
        <is>
          <t>gfa</t>
        </is>
      </c>
      <c r="B28" t="inlineStr">
        <is>
          <t>Areas</t>
        </is>
      </c>
      <c r="C28" t="inlineStr">
        <is>
          <t>Gross floor area</t>
        </is>
      </c>
      <c r="D28" t="inlineStr">
        <is>
          <t>sqm</t>
        </is>
      </c>
      <c r="E28" s="6" t="n"/>
      <c r="H28" t="inlineStr">
        <is>
          <t>N/A</t>
        </is>
      </c>
      <c r="I28" t="inlineStr">
        <is>
          <t>Not in DF_CS046 (industrial logistics); use the Lines sheet</t>
        </is>
      </c>
    </row>
    <row r="29">
      <c r="A29" t="inlineStr">
        <is>
          <t>dl</t>
        </is>
      </c>
      <c r="B29" t="inlineStr">
        <is>
          <t>Timing</t>
        </is>
      </c>
      <c r="C29" t="inlineStr">
        <is>
          <t>Construction start delay</t>
        </is>
      </c>
      <c r="D29" t="inlineStr">
        <is>
          <t>months</t>
        </is>
      </c>
      <c r="E29" s="6" t="n"/>
      <c r="H29" t="inlineStr">
        <is>
          <t>N/A</t>
        </is>
      </c>
      <c r="I29" t="inlineStr">
        <is>
          <t>Not in DF_CS046 (industrial logistics); use the Lines sheet</t>
        </is>
      </c>
    </row>
    <row r="30">
      <c r="A30" t="inlineStr">
        <is>
          <t>sb</t>
        </is>
      </c>
      <c r="B30" t="inlineStr">
        <is>
          <t>Finance › Murabaha facility</t>
        </is>
      </c>
      <c r="C30" t="inlineStr">
        <is>
          <t>SAIBOR (base rate)</t>
        </is>
      </c>
      <c r="D30" t="inlineStr">
        <is>
          <t>%</t>
        </is>
      </c>
      <c r="E30" s="6" t="n"/>
      <c r="H30" t="inlineStr">
        <is>
          <t>N/A</t>
        </is>
      </c>
      <c r="I30" t="inlineStr">
        <is>
          <t>Not in DF_CS046 (industrial logistics); use the Lines sheet</t>
        </is>
      </c>
    </row>
    <row r="31">
      <c r="A31" t="inlineStr">
        <is>
          <t>mg</t>
        </is>
      </c>
      <c r="B31" t="inlineStr">
        <is>
          <t>Finance › Murabaha facility</t>
        </is>
      </c>
      <c r="C31" t="inlineStr">
        <is>
          <t>Facility margin</t>
        </is>
      </c>
      <c r="D31" t="inlineStr">
        <is>
          <t>%</t>
        </is>
      </c>
      <c r="E31" s="6" t="n"/>
      <c r="H31" t="inlineStr">
        <is>
          <t>N/A</t>
        </is>
      </c>
      <c r="I31" t="inlineStr">
        <is>
          <t>Not in DF_CS046 (industrial logistics); use the Lines sheet</t>
        </is>
      </c>
    </row>
    <row r="32">
      <c r="A32" t="inlineStr">
        <is>
          <t>ltc</t>
        </is>
      </c>
      <c r="B32" t="inlineStr">
        <is>
          <t>Finance › Murabaha facility</t>
        </is>
      </c>
      <c r="C32" t="inlineStr">
        <is>
          <t>Loan to cost</t>
        </is>
      </c>
      <c r="D32" t="inlineStr">
        <is>
          <t>%</t>
        </is>
      </c>
      <c r="E32" s="6" t="n"/>
      <c r="H32" t="inlineStr">
        <is>
          <t>N/A</t>
        </is>
      </c>
      <c r="I32" t="inlineStr">
        <is>
          <t>Not in DF_CS046 (industrial logistics); use the Lines sheet</t>
        </is>
      </c>
    </row>
    <row r="33">
      <c r="A33" t="inlineStr">
        <is>
          <t>lp</t>
        </is>
      </c>
      <c r="B33" t="inlineStr">
        <is>
          <t>Finance › Equity and fund</t>
        </is>
      </c>
      <c r="C33" t="inlineStr">
        <is>
          <t>Fund LP share of equity</t>
        </is>
      </c>
      <c r="D33" t="inlineStr">
        <is>
          <t>%</t>
        </is>
      </c>
      <c r="E33" s="6" t="n"/>
      <c r="H33" t="inlineStr">
        <is>
          <t>N/A</t>
        </is>
      </c>
      <c r="I33" t="inlineStr">
        <is>
          <t>Not in DF_CS046 (industrial logistics); use the Lines sheet</t>
        </is>
      </c>
    </row>
    <row r="34">
      <c r="A34" t="inlineStr">
        <is>
          <t>pr</t>
        </is>
      </c>
      <c r="B34" t="inlineStr">
        <is>
          <t>Finance › Equity and fund</t>
        </is>
      </c>
      <c r="C34" t="inlineStr">
        <is>
          <t>Preferred return</t>
        </is>
      </c>
      <c r="D34" t="inlineStr">
        <is>
          <t>% p.a.</t>
        </is>
      </c>
      <c r="E34" s="6" t="n"/>
      <c r="H34" t="inlineStr">
        <is>
          <t>N/A</t>
        </is>
      </c>
      <c r="I34" t="inlineStr">
        <is>
          <t>Not in DF_CS046 (industrial logistics); use the Lines sheet</t>
        </is>
      </c>
    </row>
    <row r="35">
      <c r="A35" t="inlineStr">
        <is>
          <t>pm</t>
        </is>
      </c>
      <c r="B35" t="inlineStr">
        <is>
          <t>Finance › Equity and fund</t>
        </is>
      </c>
      <c r="C35" t="inlineStr">
        <is>
          <t>Sponsor promote</t>
        </is>
      </c>
      <c r="D35" t="inlineStr">
        <is>
          <t>%</t>
        </is>
      </c>
      <c r="E35" s="6" t="n"/>
      <c r="H35" t="inlineStr">
        <is>
          <t>N/A</t>
        </is>
      </c>
      <c r="I35" t="inlineStr">
        <is>
          <t>Not in DF_CS046 (industrial logistics); use the Lines sheet</t>
        </is>
      </c>
    </row>
    <row r="36">
      <c r="A36" t="inlineStr">
        <is>
          <t>fe</t>
        </is>
      </c>
      <c r="B36" t="inlineStr">
        <is>
          <t>Finance › Equity and fund</t>
        </is>
      </c>
      <c r="C36" t="inlineStr">
        <is>
          <t>Fund management fee</t>
        </is>
      </c>
      <c r="D36" t="inlineStr">
        <is>
          <t>% p.a.</t>
        </is>
      </c>
      <c r="E36" s="6" t="n"/>
      <c r="H36" t="inlineStr">
        <is>
          <t>N/A</t>
        </is>
      </c>
      <c r="I36" t="inlineStr">
        <is>
          <t>Not in DF_CS046 (industrial logistics); use the Lines sheet</t>
        </is>
      </c>
    </row>
  </sheetData>
  <dataValidations count="1">
    <dataValidation sqref="H4 H5 H6 H7 H8 H9 H10 H11 H12 H13 H14 H15 H16 H17 H18 H19 H20 H21 H22 H23 H24 H25 H26 H27 H28 H29 H30 H31 H32 H33 H34 H35 H36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16" customWidth="1" min="4" max="4"/>
    <col width="14" customWidth="1" min="5" max="5"/>
    <col width="36" customWidth="1" min="6" max="6"/>
    <col width="14" customWidth="1" min="7" max="7"/>
    <col width="16" customWidth="1" min="8" max="8"/>
    <col width="30" customWidth="1" min="9" max="9"/>
    <col width="16" customWidth="1" min="10" max="10"/>
  </cols>
  <sheetData>
    <row r="1">
      <c r="A1" s="1" t="inlineStr">
        <is>
          <t>Model lines: every other assumption, no limit. Add rows at the bottom only</t>
        </is>
      </c>
    </row>
    <row r="2">
      <c r="A2" t="inlineStr">
        <is>
          <t>One row per EstateMaster input. Id in column A (L0001, L0002, …), unique and never reused. Column E is what EstateMaster reads; link it once, then put Y in column J.</t>
        </is>
      </c>
    </row>
    <row r="3">
      <c r="A3" s="3" t="inlineStr">
        <is>
          <t>id</t>
        </is>
      </c>
      <c r="B3" s="3" t="inlineStr">
        <is>
          <t>Section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Value</t>
        </is>
      </c>
      <c r="F3" s="3" t="inlineStr">
        <is>
          <t>Source in EstateMaster export</t>
        </is>
      </c>
      <c r="G3" s="3" t="inlineStr">
        <is>
          <t>Mapped by</t>
        </is>
      </c>
      <c r="H3" s="3" t="inlineStr">
        <is>
          <t>Confirmed (Y/N/N/A)</t>
        </is>
      </c>
      <c r="I3" s="3" t="inlineStr">
        <is>
          <t>Notes</t>
        </is>
      </c>
      <c r="J3" s="3" t="inlineStr">
        <is>
          <t>Linked in EstateMaster (Y/N)</t>
        </is>
      </c>
    </row>
    <row r="4">
      <c r="A4" t="inlineStr">
        <is>
          <t>L0001</t>
        </is>
      </c>
      <c r="B4" t="inlineStr">
        <is>
          <t>Finance › Equity</t>
        </is>
      </c>
      <c r="C4" t="inlineStr">
        <is>
          <t>Developer's equity contribution (% of net cash flow to be funded)</t>
        </is>
      </c>
      <c r="D4" t="inlineStr">
        <is>
          <t>%</t>
        </is>
      </c>
      <c r="E4" s="5" t="n">
        <v>30</v>
      </c>
      <c r="F4" t="inlineStr">
        <is>
          <t>Input sheet: Equity › Percentage</t>
        </is>
      </c>
      <c r="G4" t="inlineStr">
        <is>
          <t>Bohio (screenshot)</t>
        </is>
      </c>
      <c r="I4" t="inlineStr">
        <is>
          <t>Read from a screenshot: check against the model, then Y in column H</t>
        </is>
      </c>
      <c r="J4" t="inlineStr">
        <is>
          <t>N</t>
        </is>
      </c>
    </row>
    <row r="5">
      <c r="A5" t="inlineStr">
        <is>
          <t>L0002</t>
        </is>
      </c>
      <c r="B5" t="inlineStr">
        <is>
          <t>Finance › Equity</t>
        </is>
      </c>
      <c r="C5" t="inlineStr">
        <is>
          <t>Interest charged on equity</t>
        </is>
      </c>
      <c r="D5" t="inlineStr">
        <is>
          <t>% p.a.</t>
        </is>
      </c>
      <c r="E5" s="5" t="n">
        <v>0</v>
      </c>
      <c r="F5" t="inlineStr">
        <is>
          <t>Input sheet: Equity › Interest Charged on Equity</t>
        </is>
      </c>
      <c r="G5" t="inlineStr">
        <is>
          <t>Bohio (screenshot)</t>
        </is>
      </c>
      <c r="I5" t="inlineStr">
        <is>
          <t>Read from a screenshot: check against the model, then Y in column H</t>
        </is>
      </c>
      <c r="J5" t="inlineStr">
        <is>
          <t>N</t>
        </is>
      </c>
    </row>
    <row r="6">
      <c r="A6" t="inlineStr">
        <is>
          <t>L0003</t>
        </is>
      </c>
      <c r="B6" t="inlineStr">
        <is>
          <t>Finance › Equity</t>
        </is>
      </c>
      <c r="C6" t="inlineStr">
        <is>
          <t>Interest received on surplus cash</t>
        </is>
      </c>
      <c r="D6" t="inlineStr">
        <is>
          <t>% p.a.</t>
        </is>
      </c>
      <c r="E6" s="5" t="n">
        <v>0</v>
      </c>
      <c r="F6" t="inlineStr">
        <is>
          <t>Input sheet: Equity › Interest received on Surplus Cash</t>
        </is>
      </c>
      <c r="G6" t="inlineStr">
        <is>
          <t>Bohio (screenshot)</t>
        </is>
      </c>
      <c r="I6" t="inlineStr">
        <is>
          <t>Read from a screenshot: check against the model, then Y in column H</t>
        </is>
      </c>
      <c r="J6" t="inlineStr">
        <is>
          <t>N</t>
        </is>
      </c>
    </row>
    <row r="7">
      <c r="A7" t="inlineStr">
        <is>
          <t>L0004</t>
        </is>
      </c>
      <c r="B7" t="inlineStr">
        <is>
          <t>Finance › Equity</t>
        </is>
      </c>
      <c r="C7" t="inlineStr">
        <is>
          <t>% of available funds to repay equity before debt</t>
        </is>
      </c>
      <c r="D7" t="inlineStr">
        <is>
          <t>%</t>
        </is>
      </c>
      <c r="E7" s="5" t="n">
        <v>0</v>
      </c>
      <c r="F7" t="inlineStr">
        <is>
          <t>Input sheet: Equity › % of Available Funds to Repay Equity</t>
        </is>
      </c>
      <c r="G7" t="inlineStr">
        <is>
          <t>Bohio (screenshot)</t>
        </is>
      </c>
      <c r="I7" t="inlineStr">
        <is>
          <t>Read from a screenshot: check against the model, then Y in column H</t>
        </is>
      </c>
      <c r="J7" t="inlineStr">
        <is>
          <t>N</t>
        </is>
      </c>
    </row>
    <row r="8">
      <c r="A8" t="inlineStr">
        <is>
          <t>L0005</t>
        </is>
      </c>
      <c r="B8" t="inlineStr">
        <is>
          <t>Finance › Loan 1 (Construction Loan)</t>
        </is>
      </c>
      <c r="C8" t="inlineStr">
        <is>
          <t>Loan 1 facility limit (% of net cash flow to be funded)</t>
        </is>
      </c>
      <c r="D8" t="inlineStr">
        <is>
          <t>%</t>
        </is>
      </c>
      <c r="E8" s="5" t="n">
        <v>70</v>
      </c>
      <c r="F8" t="inlineStr">
        <is>
          <t>Input sheet: Loan 1 › Facility Limit › Percentage</t>
        </is>
      </c>
      <c r="G8" t="inlineStr">
        <is>
          <t>Bohio (screenshot)</t>
        </is>
      </c>
      <c r="I8" t="inlineStr">
        <is>
          <t>Read from a screenshot: check against the model, then Y in column H</t>
        </is>
      </c>
      <c r="J8" t="inlineStr">
        <is>
          <t>N</t>
        </is>
      </c>
    </row>
    <row r="9">
      <c r="A9" t="inlineStr">
        <is>
          <t>L0006</t>
        </is>
      </c>
      <c r="B9" t="inlineStr">
        <is>
          <t>Finance › Loan 1 (Construction Loan)</t>
        </is>
      </c>
      <c r="C9" t="inlineStr">
        <is>
          <t>Loan 1 maturity month</t>
        </is>
      </c>
      <c r="D9" t="inlineStr">
        <is>
          <t>month</t>
        </is>
      </c>
      <c r="E9" s="5" t="n">
        <v>24</v>
      </c>
      <c r="F9" t="inlineStr">
        <is>
          <t>Input sheet: Loan 1 › Maturity Month (Manual)</t>
        </is>
      </c>
      <c r="G9" t="inlineStr">
        <is>
          <t>Bohio (screenshot)</t>
        </is>
      </c>
      <c r="I9" t="inlineStr">
        <is>
          <t>Read from a screenshot: check against the model, then Y in column H</t>
        </is>
      </c>
      <c r="J9" t="inlineStr">
        <is>
          <t>N</t>
        </is>
      </c>
    </row>
    <row r="10">
      <c r="A10" t="inlineStr">
        <is>
          <t>L0007</t>
        </is>
      </c>
      <c r="B10" t="inlineStr">
        <is>
          <t>Finance › Loan 1 (Construction Loan)</t>
        </is>
      </c>
      <c r="C10" t="inlineStr">
        <is>
          <t>Loan 1 interest rate</t>
        </is>
      </c>
      <c r="D10" t="inlineStr">
        <is>
          <t>% p.a.</t>
        </is>
      </c>
      <c r="E10" s="5" t="n">
        <v>7.5</v>
      </c>
      <c r="F10" t="inlineStr">
        <is>
          <t>Input sheet: Loan 1 › Interest Rate</t>
        </is>
      </c>
      <c r="G10" t="inlineStr">
        <is>
          <t>Bohio (screenshot)</t>
        </is>
      </c>
      <c r="I10" t="inlineStr">
        <is>
          <t>Read from a screenshot: check against the model, then Y in column H</t>
        </is>
      </c>
      <c r="J10" t="inlineStr">
        <is>
          <t>N</t>
        </is>
      </c>
    </row>
    <row r="11">
      <c r="A11" t="inlineStr">
        <is>
          <t>L0008</t>
        </is>
      </c>
      <c r="B11" t="inlineStr">
        <is>
          <t>Finance › Loan 1 (Construction Loan)</t>
        </is>
      </c>
      <c r="C11" t="inlineStr">
        <is>
          <t>Loan 1 application fee</t>
        </is>
      </c>
      <c r="D11" t="inlineStr">
        <is>
          <t>%</t>
        </is>
      </c>
      <c r="E11" s="5" t="n">
        <v>0</v>
      </c>
      <c r="F11" t="inlineStr">
        <is>
          <t>Input sheet: Loan 1 › Fees › Application Fee</t>
        </is>
      </c>
      <c r="G11" t="inlineStr">
        <is>
          <t>Bohio (screenshot)</t>
        </is>
      </c>
      <c r="I11" t="inlineStr">
        <is>
          <t>Read from a screenshot: check against the model, then Y in column H</t>
        </is>
      </c>
      <c r="J11" t="inlineStr">
        <is>
          <t>N</t>
        </is>
      </c>
    </row>
    <row r="12">
      <c r="A12" t="inlineStr">
        <is>
          <t>L0009</t>
        </is>
      </c>
      <c r="B12" t="inlineStr">
        <is>
          <t>Finance › Loan 1 (Construction Loan)</t>
        </is>
      </c>
      <c r="C12" t="inlineStr">
        <is>
          <t>Loan 1 annual line fee</t>
        </is>
      </c>
      <c r="D12" t="inlineStr">
        <is>
          <t>%</t>
        </is>
      </c>
      <c r="E12" s="5" t="n">
        <v>0</v>
      </c>
      <c r="F12" t="inlineStr">
        <is>
          <t>Input sheet: Loan 1 › Fees › Annual Line Fee</t>
        </is>
      </c>
      <c r="G12" t="inlineStr">
        <is>
          <t>Bohio (screenshot)</t>
        </is>
      </c>
      <c r="I12" t="inlineStr">
        <is>
          <t>Read from a screenshot: check against the model, then Y in column H</t>
        </is>
      </c>
      <c r="J12" t="inlineStr">
        <is>
          <t>N</t>
        </is>
      </c>
    </row>
    <row r="13">
      <c r="A13" t="inlineStr">
        <is>
          <t>L0010</t>
        </is>
      </c>
      <c r="B13" t="inlineStr">
        <is>
          <t>Finance › Loan 1 (Construction Loan)</t>
        </is>
      </c>
      <c r="C13" t="inlineStr">
        <is>
          <t>Loan 1 standby fee</t>
        </is>
      </c>
      <c r="D13" t="inlineStr">
        <is>
          <t>%</t>
        </is>
      </c>
      <c r="E13" s="5" t="n">
        <v>0</v>
      </c>
      <c r="F13" t="inlineStr">
        <is>
          <t>Input sheet: Loan 1 › Fees › Standby Fee</t>
        </is>
      </c>
      <c r="G13" t="inlineStr">
        <is>
          <t>Bohio (screenshot)</t>
        </is>
      </c>
      <c r="I13" t="inlineStr">
        <is>
          <t>Read from a screenshot: check against the model, then Y in column H</t>
        </is>
      </c>
      <c r="J13" t="inlineStr">
        <is>
          <t>N</t>
        </is>
      </c>
    </row>
    <row r="14">
      <c r="A14" t="inlineStr">
        <is>
          <t>L0011</t>
        </is>
      </c>
      <c r="B14" t="inlineStr">
        <is>
          <t>Finance › Loan 1 (Construction Loan)</t>
        </is>
      </c>
      <c r="C14" t="inlineStr">
        <is>
          <t>Loan 1 profit split to lender</t>
        </is>
      </c>
      <c r="D14" t="inlineStr">
        <is>
          <t>%</t>
        </is>
      </c>
      <c r="E14" s="5" t="n">
        <v>0</v>
      </c>
      <c r="F14" t="inlineStr">
        <is>
          <t>Input sheet: Loan 1 › Profit Split to Lender</t>
        </is>
      </c>
      <c r="G14" t="inlineStr">
        <is>
          <t>Bohio (screenshot)</t>
        </is>
      </c>
      <c r="I14" t="inlineStr">
        <is>
          <t>Read from a screenshot: check against the model, then Y in column H</t>
        </is>
      </c>
      <c r="J14" t="inlineStr">
        <is>
          <t>N</t>
        </is>
      </c>
    </row>
    <row r="15">
      <c r="A15" t="inlineStr">
        <is>
          <t>L0012</t>
        </is>
      </c>
      <c r="B15" t="inlineStr">
        <is>
          <t>Finance › Loan 2 (Investment Loan 1)</t>
        </is>
      </c>
      <c r="C15" t="inlineStr">
        <is>
          <t>Loan 2 maturity month</t>
        </is>
      </c>
      <c r="D15" t="inlineStr">
        <is>
          <t>month</t>
        </is>
      </c>
      <c r="E15" s="5" t="n">
        <v>140</v>
      </c>
      <c r="F15" t="inlineStr">
        <is>
          <t>Input sheet: Loan 2 › Maturity Month (Manual)</t>
        </is>
      </c>
      <c r="G15" t="inlineStr">
        <is>
          <t>Bohio (screenshot)</t>
        </is>
      </c>
      <c r="I15" t="inlineStr">
        <is>
          <t>Read from a screenshot: check against the model, then Y in column H</t>
        </is>
      </c>
      <c r="J15" t="inlineStr">
        <is>
          <t>N</t>
        </is>
      </c>
    </row>
    <row r="16">
      <c r="A16" t="inlineStr">
        <is>
          <t>L0013</t>
        </is>
      </c>
      <c r="B16" t="inlineStr">
        <is>
          <t>Finance › Loan 2 (Investment Loan 1)</t>
        </is>
      </c>
      <c r="C16" t="inlineStr">
        <is>
          <t>Loan 2 interest rate</t>
        </is>
      </c>
      <c r="D16" t="inlineStr">
        <is>
          <t>% p.a.</t>
        </is>
      </c>
      <c r="E16" s="5" t="n">
        <v>7</v>
      </c>
      <c r="F16" t="inlineStr">
        <is>
          <t>Input sheet: Loan 2 › Interest Rate</t>
        </is>
      </c>
      <c r="G16" t="inlineStr">
        <is>
          <t>Bohio (screenshot)</t>
        </is>
      </c>
      <c r="I16" t="inlineStr">
        <is>
          <t>Read from a screenshot: check against the model, then Y in column H</t>
        </is>
      </c>
      <c r="J16" t="inlineStr">
        <is>
          <t>N</t>
        </is>
      </c>
    </row>
    <row r="17">
      <c r="A17" t="inlineStr">
        <is>
          <t>L0014</t>
        </is>
      </c>
      <c r="B17" t="inlineStr">
        <is>
          <t>Finance › Loan 2 (Investment Loan 1)</t>
        </is>
      </c>
      <c r="C17" t="inlineStr">
        <is>
          <t>Loan 2 term of P&amp;I loan</t>
        </is>
      </c>
      <c r="D17" t="inlineStr">
        <is>
          <t>months</t>
        </is>
      </c>
      <c r="E17" s="5" t="n">
        <v>120</v>
      </c>
      <c r="F17" t="inlineStr">
        <is>
          <t>Input sheet: Loan 2 › Term of P &amp; I Loan</t>
        </is>
      </c>
      <c r="G17" t="inlineStr">
        <is>
          <t>Bohio (screenshot)</t>
        </is>
      </c>
      <c r="I17" t="inlineStr">
        <is>
          <t>Read from a screenshot: check against the model, then Y in column H</t>
        </is>
      </c>
      <c r="J17" t="inlineStr">
        <is>
          <t>N</t>
        </is>
      </c>
    </row>
    <row r="18">
      <c r="A18" t="inlineStr">
        <is>
          <t>L0015</t>
        </is>
      </c>
      <c r="B18" t="inlineStr">
        <is>
          <t>Finance › Loan 2 (Investment Loan 1)</t>
        </is>
      </c>
      <c r="C18" t="inlineStr">
        <is>
          <t>Loan 2 application fee (amount)</t>
        </is>
      </c>
      <c r="D18" t="inlineStr">
        <is>
          <t>currency</t>
        </is>
      </c>
      <c r="E18" s="5" t="n">
        <v>50000</v>
      </c>
      <c r="F18" t="inlineStr">
        <is>
          <t>Input sheet: Loan 2 › Fees › Application Fee › Amount</t>
        </is>
      </c>
      <c r="G18" t="inlineStr">
        <is>
          <t>Bohio (screenshot)</t>
        </is>
      </c>
      <c r="I18" t="inlineStr">
        <is>
          <t>Read from a screenshot: check against the model, then Y in column H</t>
        </is>
      </c>
      <c r="J18" t="inlineStr">
        <is>
          <t>N</t>
        </is>
      </c>
    </row>
    <row r="19">
      <c r="A19" t="inlineStr">
        <is>
          <t>L0016</t>
        </is>
      </c>
      <c r="B19" t="inlineStr">
        <is>
          <t>Finance › Loan 2 (Investment Loan 1)</t>
        </is>
      </c>
      <c r="C19" t="inlineStr">
        <is>
          <t>Loan 2 application fee: month paid</t>
        </is>
      </c>
      <c r="D19" t="inlineStr">
        <is>
          <t>month</t>
        </is>
      </c>
      <c r="E19" s="5" t="n">
        <v>35</v>
      </c>
      <c r="F19" t="inlineStr">
        <is>
          <t>Input sheet: Loan 2 › Fees › Application Fee › Month Paid</t>
        </is>
      </c>
      <c r="G19" t="inlineStr">
        <is>
          <t>Bohio (screenshot)</t>
        </is>
      </c>
      <c r="I19" t="inlineStr">
        <is>
          <t>Read from a screenshot: check against the model, then Y in column H</t>
        </is>
      </c>
      <c r="J19" t="inlineStr">
        <is>
          <t>N</t>
        </is>
      </c>
    </row>
    <row r="20">
      <c r="A20" t="inlineStr">
        <is>
          <t>L0017</t>
        </is>
      </c>
      <c r="B20" t="inlineStr">
        <is>
          <t>Finance › Loan 2 (Investment Loan 1)</t>
        </is>
      </c>
      <c r="C20" t="inlineStr">
        <is>
          <t>Loan 2 annual line fee</t>
        </is>
      </c>
      <c r="D20" t="inlineStr">
        <is>
          <t>%</t>
        </is>
      </c>
      <c r="E20" s="5" t="n">
        <v>0</v>
      </c>
      <c r="F20" t="inlineStr">
        <is>
          <t>Input sheet: Loan 2 › Fees › Annual Line Fee</t>
        </is>
      </c>
      <c r="G20" t="inlineStr">
        <is>
          <t>Bohio (screenshot)</t>
        </is>
      </c>
      <c r="I20" t="inlineStr">
        <is>
          <t>Read from a screenshot: check against the model, then Y in column H</t>
        </is>
      </c>
      <c r="J20" t="inlineStr">
        <is>
          <t>N</t>
        </is>
      </c>
    </row>
    <row r="21">
      <c r="A21" t="inlineStr">
        <is>
          <t>L0018</t>
        </is>
      </c>
      <c r="B21" t="inlineStr">
        <is>
          <t>Finance › Loan 2 (Investment Loan 1)</t>
        </is>
      </c>
      <c r="C21" t="inlineStr">
        <is>
          <t>Loan 2 standby fee</t>
        </is>
      </c>
      <c r="D21" t="inlineStr">
        <is>
          <t>%</t>
        </is>
      </c>
      <c r="E21" s="5" t="n">
        <v>0</v>
      </c>
      <c r="F21" t="inlineStr">
        <is>
          <t>Input sheet: Loan 2 › Fees › Standby Fee</t>
        </is>
      </c>
      <c r="G21" t="inlineStr">
        <is>
          <t>Bohio (screenshot)</t>
        </is>
      </c>
      <c r="I21" t="inlineStr">
        <is>
          <t>Read from a screenshot: check against the model, then Y in column H</t>
        </is>
      </c>
      <c r="J21" t="inlineStr">
        <is>
          <t>N</t>
        </is>
      </c>
    </row>
    <row r="22">
      <c r="A22" t="inlineStr">
        <is>
          <t>L0019</t>
        </is>
      </c>
      <c r="B22" t="inlineStr">
        <is>
          <t>Finance › Loan 2 (Investment Loan 1)</t>
        </is>
      </c>
      <c r="C22" t="inlineStr">
        <is>
          <t>Loan 2 profit split to lender</t>
        </is>
      </c>
      <c r="D22" t="inlineStr">
        <is>
          <t>%</t>
        </is>
      </c>
      <c r="E22" s="5" t="n">
        <v>0</v>
      </c>
      <c r="F22" t="inlineStr">
        <is>
          <t>Input sheet: Loan 2 › Profit Split to Lender</t>
        </is>
      </c>
      <c r="G22" t="inlineStr">
        <is>
          <t>Bohio (screenshot)</t>
        </is>
      </c>
      <c r="I22" t="inlineStr">
        <is>
          <t>Read from a screenshot: check against the model, then Y in column H</t>
        </is>
      </c>
      <c r="J22" t="inlineStr">
        <is>
          <t>N</t>
        </is>
      </c>
    </row>
    <row r="23">
      <c r="A23" t="inlineStr">
        <is>
          <t>L0020</t>
        </is>
      </c>
      <c r="B23" t="inlineStr">
        <is>
          <t>Finance › Senior Loan</t>
        </is>
      </c>
      <c r="C23" t="inlineStr">
        <is>
          <t>Senior loan interest rate</t>
        </is>
      </c>
      <c r="D23" t="inlineStr">
        <is>
          <t>% p.a.</t>
        </is>
      </c>
      <c r="E23" s="5" t="n">
        <v>0</v>
      </c>
      <c r="F23" t="inlineStr">
        <is>
          <t>Input sheet: Senior Loan › Interest Rate</t>
        </is>
      </c>
      <c r="G23" t="inlineStr">
        <is>
          <t>Bohio (screenshot)</t>
        </is>
      </c>
      <c r="I23" t="inlineStr">
        <is>
          <t>Read from a screenshot: check against the model, then Y in column H</t>
        </is>
      </c>
      <c r="J23" t="inlineStr">
        <is>
          <t>N</t>
        </is>
      </c>
    </row>
    <row r="24">
      <c r="A24" t="inlineStr">
        <is>
          <t>L0021</t>
        </is>
      </c>
      <c r="B24" t="inlineStr">
        <is>
          <t>Finance › Senior Loan</t>
        </is>
      </c>
      <c r="C24" t="inlineStr">
        <is>
          <t>Senior loan: maintain leverage</t>
        </is>
      </c>
      <c r="D24" t="inlineStr">
        <is>
          <t>%</t>
        </is>
      </c>
      <c r="E24" s="5" t="n">
        <v>0</v>
      </c>
      <c r="F24" t="inlineStr">
        <is>
          <t>Input sheet: Senior Loan › Maintain Leverage</t>
        </is>
      </c>
      <c r="G24" t="inlineStr">
        <is>
          <t>Bohio (screenshot)</t>
        </is>
      </c>
      <c r="I24" t="inlineStr">
        <is>
          <t>Read from a screenshot: check against the model, then Y in column H</t>
        </is>
      </c>
      <c r="J24" t="inlineStr">
        <is>
          <t>N</t>
        </is>
      </c>
    </row>
    <row r="25">
      <c r="A25" t="inlineStr">
        <is>
          <t>L0022</t>
        </is>
      </c>
      <c r="B25" t="inlineStr">
        <is>
          <t>Finance › Financing costs</t>
        </is>
      </c>
      <c r="C25" t="inlineStr">
        <is>
          <t>Non Utilisation Fee: base rate</t>
        </is>
      </c>
      <c r="D25" t="inlineStr">
        <is>
          <t>currency</t>
        </is>
      </c>
      <c r="E25" s="5" t="n">
        <v>20000</v>
      </c>
      <c r="F25" t="inlineStr">
        <is>
          <t>Input sheet: Financing Costs › Non Utilisation Fee › Base Rate/Unit</t>
        </is>
      </c>
      <c r="G25" t="inlineStr">
        <is>
          <t>Bohio (screenshot)</t>
        </is>
      </c>
      <c r="I25" t="inlineStr">
        <is>
          <t>Read from a screenshot: check against the model, then Y in column H</t>
        </is>
      </c>
      <c r="J25" t="inlineStr">
        <is>
          <t>N</t>
        </is>
      </c>
    </row>
    <row r="26">
      <c r="A26" t="inlineStr">
        <is>
          <t>L0023</t>
        </is>
      </c>
      <c r="B26" t="inlineStr">
        <is>
          <t>Finance › Financing costs</t>
        </is>
      </c>
      <c r="C26" t="inlineStr">
        <is>
          <t>Non Utilisation Fee: month start</t>
        </is>
      </c>
      <c r="D26" t="inlineStr">
        <is>
          <t>month</t>
        </is>
      </c>
      <c r="E26" s="5" t="n">
        <v>68</v>
      </c>
      <c r="F26" t="inlineStr">
        <is>
          <t>Input sheet: Financing Costs › Non Utilisation Fee › Month Start</t>
        </is>
      </c>
      <c r="G26" t="inlineStr">
        <is>
          <t>Bohio (screenshot)</t>
        </is>
      </c>
      <c r="I26" t="inlineStr">
        <is>
          <t>Read from a screenshot: check against the model, then Y in column H</t>
        </is>
      </c>
      <c r="J26" t="inlineStr">
        <is>
          <t>N</t>
        </is>
      </c>
    </row>
    <row r="27">
      <c r="A27" t="inlineStr">
        <is>
          <t>L0024</t>
        </is>
      </c>
      <c r="B27" t="inlineStr">
        <is>
          <t>Finance › Financing costs</t>
        </is>
      </c>
      <c r="C27" t="inlineStr">
        <is>
          <t>Commitment Fee: base rate</t>
        </is>
      </c>
      <c r="D27" t="inlineStr">
        <is>
          <t>currency</t>
        </is>
      </c>
      <c r="E27" s="5" t="n">
        <v>50000</v>
      </c>
      <c r="F27" t="inlineStr">
        <is>
          <t>Input sheet: Financing Costs › Commitment Fee › Base Rate/Unit</t>
        </is>
      </c>
      <c r="G27" t="inlineStr">
        <is>
          <t>Bohio (screenshot)</t>
        </is>
      </c>
      <c r="I27" t="inlineStr">
        <is>
          <t>Read from a screenshot: check against the model, then Y in column H</t>
        </is>
      </c>
      <c r="J27" t="inlineStr">
        <is>
          <t>N</t>
        </is>
      </c>
    </row>
    <row r="28">
      <c r="A28" t="inlineStr">
        <is>
          <t>L0025</t>
        </is>
      </c>
      <c r="B28" t="inlineStr">
        <is>
          <t>Finance › Financing costs</t>
        </is>
      </c>
      <c r="C28" t="inlineStr">
        <is>
          <t>Commitment Fee: month start</t>
        </is>
      </c>
      <c r="D28" t="inlineStr">
        <is>
          <t>month</t>
        </is>
      </c>
      <c r="E28" s="5" t="n">
        <v>68</v>
      </c>
      <c r="F28" t="inlineStr">
        <is>
          <t>Input sheet: Financing Costs › Commitment Fee › Month Start</t>
        </is>
      </c>
      <c r="G28" t="inlineStr">
        <is>
          <t>Bohio (screenshot)</t>
        </is>
      </c>
      <c r="I28" t="inlineStr">
        <is>
          <t>Read from a screenshot: check against the model, then Y in column H</t>
        </is>
      </c>
      <c r="J28" t="inlineStr">
        <is>
          <t>N</t>
        </is>
      </c>
    </row>
    <row r="29">
      <c r="A29" t="inlineStr">
        <is>
          <t>L0026</t>
        </is>
      </c>
      <c r="B29" t="inlineStr">
        <is>
          <t>Finance › Financing costs</t>
        </is>
      </c>
      <c r="C29" t="inlineStr">
        <is>
          <t>Monitoring Surveyor Fees: base rate</t>
        </is>
      </c>
      <c r="D29" t="inlineStr">
        <is>
          <t>currency</t>
        </is>
      </c>
      <c r="E29" s="5" t="n">
        <v>24000</v>
      </c>
      <c r="F29" t="inlineStr">
        <is>
          <t>Input sheet: Financing Costs › Monitoring Surveyor Fees › Base Rate/Unit</t>
        </is>
      </c>
      <c r="G29" t="inlineStr">
        <is>
          <t>Bohio (screenshot)</t>
        </is>
      </c>
      <c r="I29" t="inlineStr">
        <is>
          <t>Read from a screenshot: check against the model, then Y in column H</t>
        </is>
      </c>
      <c r="J29" t="inlineStr">
        <is>
          <t>N</t>
        </is>
      </c>
    </row>
    <row r="30">
      <c r="A30" t="inlineStr">
        <is>
          <t>L0027</t>
        </is>
      </c>
      <c r="B30" t="inlineStr">
        <is>
          <t>Finance › Financing costs</t>
        </is>
      </c>
      <c r="C30" t="inlineStr">
        <is>
          <t>Monitoring Surveyor Fees: month start</t>
        </is>
      </c>
      <c r="D30" t="inlineStr">
        <is>
          <t>month</t>
        </is>
      </c>
      <c r="E30" s="5" t="n">
        <v>56</v>
      </c>
      <c r="F30" t="inlineStr">
        <is>
          <t>Input sheet: Financing Costs › Monitoring Surveyor Fees › Month Start</t>
        </is>
      </c>
      <c r="G30" t="inlineStr">
        <is>
          <t>Bohio (screenshot)</t>
        </is>
      </c>
      <c r="I30" t="inlineStr">
        <is>
          <t>Read from a screenshot: check against the model, then Y in column H</t>
        </is>
      </c>
      <c r="J30" t="inlineStr">
        <is>
          <t>N</t>
        </is>
      </c>
    </row>
    <row r="31">
      <c r="A31" t="inlineStr">
        <is>
          <t>L0028</t>
        </is>
      </c>
      <c r="B31" t="inlineStr">
        <is>
          <t>Finance › Financing costs</t>
        </is>
      </c>
      <c r="C31" t="inlineStr">
        <is>
          <t>Monitoring Surveyor Fees: month span</t>
        </is>
      </c>
      <c r="D31" t="inlineStr">
        <is>
          <t>months</t>
        </is>
      </c>
      <c r="E31" s="5" t="n">
        <v>12</v>
      </c>
      <c r="F31" t="inlineStr">
        <is>
          <t>Input sheet: Financing Costs › Monitoring Surveyor Fees › Month Span</t>
        </is>
      </c>
      <c r="G31" t="inlineStr">
        <is>
          <t>Bohio (screenshot)</t>
        </is>
      </c>
      <c r="I31" t="inlineStr">
        <is>
          <t>Read from a screenshot: check against the model, then Y in column H</t>
        </is>
      </c>
      <c r="J31" t="inlineStr">
        <is>
          <t>N</t>
        </is>
      </c>
    </row>
    <row r="32">
      <c r="A32" t="inlineStr">
        <is>
          <t>L0029</t>
        </is>
      </c>
      <c r="B32" t="inlineStr">
        <is>
          <t>Finance › Financing costs</t>
        </is>
      </c>
      <c r="C32" t="inlineStr">
        <is>
          <t>Investment Loan Fee: base rate</t>
        </is>
      </c>
      <c r="D32" t="inlineStr">
        <is>
          <t>currency</t>
        </is>
      </c>
      <c r="E32" s="5" t="n">
        <v>50000</v>
      </c>
      <c r="F32" t="inlineStr">
        <is>
          <t>Input sheet: Financing Costs › Investment Loan Fee › Base Rate/Unit</t>
        </is>
      </c>
      <c r="G32" t="inlineStr">
        <is>
          <t>Bohio (screenshot)</t>
        </is>
      </c>
      <c r="I32" t="inlineStr">
        <is>
          <t>Read from a screenshot: check against the model, then Y in column H</t>
        </is>
      </c>
      <c r="J32" t="inlineStr">
        <is>
          <t>N</t>
        </is>
      </c>
    </row>
    <row r="33">
      <c r="A33" t="inlineStr">
        <is>
          <t>L0030</t>
        </is>
      </c>
      <c r="B33" t="inlineStr">
        <is>
          <t>Finance › Financing costs</t>
        </is>
      </c>
      <c r="C33" t="inlineStr">
        <is>
          <t>Investment Loan Fee: month start</t>
        </is>
      </c>
      <c r="D33" t="inlineStr">
        <is>
          <t>month</t>
        </is>
      </c>
      <c r="E33" s="5" t="n">
        <v>75</v>
      </c>
      <c r="F33" t="inlineStr">
        <is>
          <t>Input sheet: Financing Costs › Investment Loan Fee › Month Start</t>
        </is>
      </c>
      <c r="G33" t="inlineStr">
        <is>
          <t>Bohio (screenshot)</t>
        </is>
      </c>
      <c r="I33" t="inlineStr">
        <is>
          <t>Read from a screenshot: check against the model, then Y in column H</t>
        </is>
      </c>
      <c r="J33" t="inlineStr">
        <is>
          <t>N</t>
        </is>
      </c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  <row r="41">
      <c r="E41" s="5" t="n"/>
    </row>
    <row r="42">
      <c r="E42" s="5" t="n"/>
    </row>
    <row r="43">
      <c r="E43" s="5" t="n"/>
    </row>
    <row r="44">
      <c r="E44" s="5" t="n"/>
    </row>
    <row r="45">
      <c r="E45" s="5" t="n"/>
    </row>
    <row r="46">
      <c r="E46" s="5" t="n"/>
    </row>
    <row r="47">
      <c r="E47" s="5" t="n"/>
    </row>
    <row r="48">
      <c r="E48" s="5" t="n"/>
    </row>
    <row r="49">
      <c r="E49" s="5" t="n"/>
    </row>
    <row r="50">
      <c r="E50" s="5" t="n"/>
    </row>
    <row r="51">
      <c r="E51" s="5" t="n"/>
    </row>
    <row r="52">
      <c r="E52" s="5" t="n"/>
    </row>
    <row r="53">
      <c r="E53" s="5" t="n"/>
    </row>
    <row r="54">
      <c r="E54" s="5" t="n"/>
    </row>
    <row r="55">
      <c r="E55" s="5" t="n"/>
    </row>
    <row r="56">
      <c r="E56" s="5" t="n"/>
    </row>
    <row r="57">
      <c r="E57" s="5" t="n"/>
    </row>
    <row r="58">
      <c r="E58" s="5" t="n"/>
    </row>
    <row r="59">
      <c r="E59" s="5" t="n"/>
    </row>
    <row r="60">
      <c r="E60" s="5" t="n"/>
    </row>
    <row r="61">
      <c r="E61" s="5" t="n"/>
    </row>
    <row r="62">
      <c r="E62" s="5" t="n"/>
    </row>
    <row r="63">
      <c r="E63" s="5" t="n"/>
    </row>
    <row r="64">
      <c r="E64" s="5" t="n"/>
    </row>
    <row r="65">
      <c r="E65" s="5" t="n"/>
    </row>
    <row r="66">
      <c r="E66" s="5" t="n"/>
    </row>
    <row r="67">
      <c r="E67" s="5" t="n"/>
    </row>
    <row r="68">
      <c r="E68" s="5" t="n"/>
    </row>
    <row r="69">
      <c r="E69" s="5" t="n"/>
    </row>
    <row r="70">
      <c r="E70" s="5" t="n"/>
    </row>
    <row r="71">
      <c r="E71" s="5" t="n"/>
    </row>
    <row r="72">
      <c r="E72" s="5" t="n"/>
    </row>
    <row r="73">
      <c r="E73" s="5" t="n"/>
    </row>
    <row r="74">
      <c r="E74" s="5" t="n"/>
    </row>
    <row r="75">
      <c r="E75" s="5" t="n"/>
    </row>
    <row r="76">
      <c r="E76" s="5" t="n"/>
    </row>
    <row r="77">
      <c r="E77" s="5" t="n"/>
    </row>
    <row r="78">
      <c r="E78" s="5" t="n"/>
    </row>
    <row r="79">
      <c r="E79" s="5" t="n"/>
    </row>
    <row r="80">
      <c r="E80" s="5" t="n"/>
    </row>
    <row r="81">
      <c r="E81" s="5" t="n"/>
    </row>
    <row r="82">
      <c r="E82" s="5" t="n"/>
    </row>
    <row r="83">
      <c r="E83" s="5" t="n"/>
    </row>
    <row r="84">
      <c r="E84" s="5" t="n"/>
    </row>
    <row r="85">
      <c r="E85" s="5" t="n"/>
    </row>
    <row r="86">
      <c r="E86" s="5" t="n"/>
    </row>
    <row r="87">
      <c r="E87" s="5" t="n"/>
    </row>
    <row r="88">
      <c r="E88" s="5" t="n"/>
    </row>
    <row r="89">
      <c r="E89" s="5" t="n"/>
    </row>
    <row r="90">
      <c r="E90" s="5" t="n"/>
    </row>
    <row r="91">
      <c r="E91" s="5" t="n"/>
    </row>
    <row r="92">
      <c r="E92" s="5" t="n"/>
    </row>
    <row r="93">
      <c r="E93" s="5" t="n"/>
    </row>
    <row r="94">
      <c r="E94" s="5" t="n"/>
    </row>
    <row r="95">
      <c r="E95" s="5" t="n"/>
    </row>
    <row r="96">
      <c r="E96" s="5" t="n"/>
    </row>
    <row r="97">
      <c r="E97" s="5" t="n"/>
    </row>
    <row r="98">
      <c r="E98" s="5" t="n"/>
    </row>
    <row r="99">
      <c r="E99" s="5" t="n"/>
    </row>
    <row r="100">
      <c r="E100" s="5" t="n"/>
    </row>
    <row r="101">
      <c r="E101" s="5" t="n"/>
    </row>
    <row r="102">
      <c r="E102" s="5" t="n"/>
    </row>
    <row r="103">
      <c r="E103" s="5" t="n"/>
    </row>
    <row r="104">
      <c r="E104" s="5" t="n"/>
    </row>
    <row r="105">
      <c r="E105" s="5" t="n"/>
    </row>
    <row r="106">
      <c r="E106" s="5" t="n"/>
    </row>
    <row r="107">
      <c r="E107" s="5" t="n"/>
    </row>
    <row r="108">
      <c r="E108" s="5" t="n"/>
    </row>
    <row r="109">
      <c r="E109" s="5" t="n"/>
    </row>
    <row r="110">
      <c r="E110" s="5" t="n"/>
    </row>
    <row r="111">
      <c r="E111" s="5" t="n"/>
    </row>
    <row r="112">
      <c r="E112" s="5" t="n"/>
    </row>
    <row r="113">
      <c r="E113" s="5" t="n"/>
    </row>
    <row r="114">
      <c r="E114" s="5" t="n"/>
    </row>
    <row r="115">
      <c r="E115" s="5" t="n"/>
    </row>
    <row r="116">
      <c r="E116" s="5" t="n"/>
    </row>
    <row r="117">
      <c r="E117" s="5" t="n"/>
    </row>
    <row r="118">
      <c r="E118" s="5" t="n"/>
    </row>
    <row r="119">
      <c r="E119" s="5" t="n"/>
    </row>
    <row r="120">
      <c r="E120" s="5" t="n"/>
    </row>
    <row r="121">
      <c r="E121" s="5" t="n"/>
    </row>
    <row r="122">
      <c r="E122" s="5" t="n"/>
    </row>
    <row r="123">
      <c r="E123" s="5" t="n"/>
    </row>
    <row r="124">
      <c r="E124" s="5" t="n"/>
    </row>
    <row r="125">
      <c r="E125" s="5" t="n"/>
    </row>
    <row r="126">
      <c r="E126" s="5" t="n"/>
    </row>
    <row r="127">
      <c r="E127" s="5" t="n"/>
    </row>
    <row r="128">
      <c r="E128" s="5" t="n"/>
    </row>
    <row r="129">
      <c r="E129" s="5" t="n"/>
    </row>
    <row r="130">
      <c r="E130" s="5" t="n"/>
    </row>
    <row r="131">
      <c r="E131" s="5" t="n"/>
    </row>
    <row r="132">
      <c r="E132" s="5" t="n"/>
    </row>
    <row r="133">
      <c r="E133" s="5" t="n"/>
    </row>
    <row r="134">
      <c r="E134" s="5" t="n"/>
    </row>
    <row r="135">
      <c r="E135" s="5" t="n"/>
    </row>
    <row r="136">
      <c r="E136" s="5" t="n"/>
    </row>
    <row r="137">
      <c r="E137" s="5" t="n"/>
    </row>
    <row r="138">
      <c r="E138" s="5" t="n"/>
    </row>
    <row r="139">
      <c r="E139" s="5" t="n"/>
    </row>
    <row r="140">
      <c r="E140" s="5" t="n"/>
    </row>
    <row r="141">
      <c r="E141" s="5" t="n"/>
    </row>
    <row r="142">
      <c r="E142" s="5" t="n"/>
    </row>
    <row r="143">
      <c r="E143" s="5" t="n"/>
    </row>
    <row r="144">
      <c r="E144" s="5" t="n"/>
    </row>
    <row r="145">
      <c r="E145" s="5" t="n"/>
    </row>
    <row r="146">
      <c r="E146" s="5" t="n"/>
    </row>
    <row r="147">
      <c r="E147" s="5" t="n"/>
    </row>
    <row r="148">
      <c r="E148" s="5" t="n"/>
    </row>
    <row r="149">
      <c r="E149" s="5" t="n"/>
    </row>
    <row r="150">
      <c r="E150" s="5" t="n"/>
    </row>
    <row r="151">
      <c r="E151" s="5" t="n"/>
    </row>
    <row r="152">
      <c r="E152" s="5" t="n"/>
    </row>
    <row r="153">
      <c r="E153" s="5" t="n"/>
    </row>
    <row r="154">
      <c r="E154" s="5" t="n"/>
    </row>
    <row r="155">
      <c r="E155" s="5" t="n"/>
    </row>
    <row r="156">
      <c r="E156" s="5" t="n"/>
    </row>
    <row r="157">
      <c r="E157" s="5" t="n"/>
    </row>
    <row r="158">
      <c r="E158" s="5" t="n"/>
    </row>
    <row r="159">
      <c r="E159" s="5" t="n"/>
    </row>
    <row r="160">
      <c r="E160" s="5" t="n"/>
    </row>
    <row r="161">
      <c r="E161" s="5" t="n"/>
    </row>
    <row r="162">
      <c r="E162" s="5" t="n"/>
    </row>
    <row r="163">
      <c r="E163" s="5" t="n"/>
    </row>
    <row r="164">
      <c r="E164" s="5" t="n"/>
    </row>
    <row r="165">
      <c r="E165" s="5" t="n"/>
    </row>
    <row r="166">
      <c r="E166" s="5" t="n"/>
    </row>
    <row r="167">
      <c r="E167" s="5" t="n"/>
    </row>
    <row r="168">
      <c r="E168" s="5" t="n"/>
    </row>
    <row r="169">
      <c r="E169" s="5" t="n"/>
    </row>
    <row r="170">
      <c r="E170" s="5" t="n"/>
    </row>
    <row r="171">
      <c r="E171" s="5" t="n"/>
    </row>
    <row r="172">
      <c r="E172" s="5" t="n"/>
    </row>
    <row r="173">
      <c r="E173" s="5" t="n"/>
    </row>
    <row r="174">
      <c r="E174" s="5" t="n"/>
    </row>
    <row r="175">
      <c r="E175" s="5" t="n"/>
    </row>
    <row r="176">
      <c r="E176" s="5" t="n"/>
    </row>
    <row r="177">
      <c r="E177" s="5" t="n"/>
    </row>
    <row r="178">
      <c r="E178" s="5" t="n"/>
    </row>
    <row r="179">
      <c r="E179" s="5" t="n"/>
    </row>
    <row r="180">
      <c r="E180" s="5" t="n"/>
    </row>
    <row r="181">
      <c r="E181" s="5" t="n"/>
    </row>
    <row r="182">
      <c r="E182" s="5" t="n"/>
    </row>
    <row r="183">
      <c r="E183" s="5" t="n"/>
    </row>
    <row r="184">
      <c r="E184" s="5" t="n"/>
    </row>
    <row r="185">
      <c r="E185" s="5" t="n"/>
    </row>
    <row r="186">
      <c r="E186" s="5" t="n"/>
    </row>
    <row r="187">
      <c r="E187" s="5" t="n"/>
    </row>
    <row r="188">
      <c r="E188" s="5" t="n"/>
    </row>
    <row r="189">
      <c r="E189" s="5" t="n"/>
    </row>
    <row r="190">
      <c r="E190" s="5" t="n"/>
    </row>
    <row r="191">
      <c r="E191" s="5" t="n"/>
    </row>
    <row r="192">
      <c r="E192" s="5" t="n"/>
    </row>
    <row r="193">
      <c r="E193" s="5" t="n"/>
    </row>
    <row r="194">
      <c r="E194" s="5" t="n"/>
    </row>
    <row r="195">
      <c r="E195" s="5" t="n"/>
    </row>
    <row r="196">
      <c r="E196" s="5" t="n"/>
    </row>
    <row r="197">
      <c r="E197" s="5" t="n"/>
    </row>
    <row r="198">
      <c r="E198" s="5" t="n"/>
    </row>
    <row r="199">
      <c r="E199" s="5" t="n"/>
    </row>
    <row r="200">
      <c r="E200" s="5" t="n"/>
    </row>
    <row r="201">
      <c r="E201" s="5" t="n"/>
    </row>
    <row r="202">
      <c r="E202" s="5" t="n"/>
    </row>
    <row r="203">
      <c r="E203" s="5" t="n"/>
    </row>
  </sheetData>
  <dataValidations count="2">
    <dataValidation sqref="H4:H200000" showDropDown="0" showInputMessage="0" showErrorMessage="0" allowBlank="1" type="list">
      <formula1>"Y,N,N/A"</formula1>
    </dataValidation>
    <dataValidation sqref="J4:J200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2" customWidth="1" min="4" max="4"/>
    <col width="26" customWidth="1" min="5" max="5"/>
    <col width="50" customWidth="1" min="6" max="6"/>
  </cols>
  <sheetData>
    <row r="1">
      <c r="A1" s="3" t="inlineStr">
        <is>
          <t>Export sheet</t>
        </is>
      </c>
      <c r="B1" s="3" t="inlineStr">
        <is>
          <t>Export row label</t>
        </is>
      </c>
      <c r="C1" s="3" t="inlineStr">
        <is>
          <t>Export value</t>
        </is>
      </c>
      <c r="D1" s="3" t="inlineStr">
        <is>
          <t>Register id</t>
        </is>
      </c>
      <c r="E1" s="3" t="inlineStr">
        <is>
          <t>Confidence (high/medium/low)</t>
        </is>
      </c>
      <c r="F1" s="3" t="inlineStr">
        <is>
          <t>Comment</t>
        </is>
      </c>
    </row>
    <row r="3">
      <c r="A3" s="7" t="n"/>
      <c r="B3" s="7" t="n"/>
      <c r="C3" s="7" t="n"/>
      <c r="D3" s="7" t="n"/>
      <c r="E3" s="7" t="n"/>
      <c r="F3" s="7" t="n"/>
    </row>
    <row r="5">
      <c r="A5" s="7" t="n"/>
      <c r="B5" s="7" t="n"/>
      <c r="C5" s="7" t="n"/>
      <c r="D5" s="7" t="n"/>
      <c r="E5" s="7" t="n"/>
      <c r="F5" s="7" t="n"/>
    </row>
    <row r="7">
      <c r="A7" s="7" t="n"/>
      <c r="B7" s="7" t="n"/>
      <c r="C7" s="7" t="n"/>
      <c r="D7" s="7" t="n"/>
      <c r="E7" s="7" t="n"/>
      <c r="F7" s="7" t="n"/>
    </row>
    <row r="9">
      <c r="A9" s="7" t="n"/>
      <c r="B9" s="7" t="n"/>
      <c r="C9" s="7" t="n"/>
      <c r="D9" s="7" t="n"/>
      <c r="E9" s="7" t="n"/>
      <c r="F9" s="7" t="n"/>
    </row>
    <row r="11">
      <c r="A11" s="7" t="n"/>
      <c r="B11" s="7" t="n"/>
      <c r="C11" s="7" t="n"/>
      <c r="D11" s="7" t="n"/>
      <c r="E11" s="7" t="n"/>
      <c r="F11" s="7" t="n"/>
    </row>
    <row r="13">
      <c r="A13" s="7" t="n"/>
      <c r="B13" s="7" t="n"/>
      <c r="C13" s="7" t="n"/>
      <c r="D13" s="7" t="n"/>
      <c r="E13" s="7" t="n"/>
      <c r="F13" s="7" t="n"/>
    </row>
    <row r="15">
      <c r="A15" s="7" t="n"/>
      <c r="B15" s="7" t="n"/>
      <c r="C15" s="7" t="n"/>
      <c r="D15" s="7" t="n"/>
      <c r="E15" s="7" t="n"/>
      <c r="F15" s="7" t="n"/>
    </row>
    <row r="17">
      <c r="A17" s="7" t="n"/>
      <c r="B17" s="7" t="n"/>
      <c r="C17" s="7" t="n"/>
      <c r="D17" s="7" t="n"/>
      <c r="E17" s="7" t="n"/>
      <c r="F17" s="7" t="n"/>
    </row>
    <row r="19">
      <c r="A19" s="7" t="n"/>
      <c r="B19" s="7" t="n"/>
      <c r="C19" s="7" t="n"/>
      <c r="D19" s="7" t="n"/>
      <c r="E19" s="7" t="n"/>
      <c r="F19" s="7" t="n"/>
    </row>
    <row r="21">
      <c r="A21" s="7" t="n"/>
      <c r="B21" s="7" t="n"/>
      <c r="C21" s="7" t="n"/>
      <c r="D21" s="7" t="n"/>
      <c r="E21" s="7" t="n"/>
      <c r="F21" s="7" t="n"/>
    </row>
    <row r="23">
      <c r="A23" s="7" t="n"/>
      <c r="B23" s="7" t="n"/>
      <c r="C23" s="7" t="n"/>
      <c r="D23" s="7" t="n"/>
      <c r="E23" s="7" t="n"/>
      <c r="F23" s="7" t="n"/>
    </row>
    <row r="25">
      <c r="A25" s="7" t="n"/>
      <c r="B25" s="7" t="n"/>
      <c r="C25" s="7" t="n"/>
      <c r="D25" s="7" t="n"/>
      <c r="E25" s="7" t="n"/>
      <c r="F25" s="7" t="n"/>
    </row>
    <row r="27">
      <c r="A27" s="7" t="n"/>
      <c r="B27" s="7" t="n"/>
      <c r="C27" s="7" t="n"/>
      <c r="D27" s="7" t="n"/>
      <c r="E27" s="7" t="n"/>
      <c r="F27" s="7" t="n"/>
    </row>
    <row r="29">
      <c r="A29" s="7" t="n"/>
      <c r="B29" s="7" t="n"/>
      <c r="C29" s="7" t="n"/>
      <c r="D29" s="7" t="n"/>
      <c r="E29" s="7" t="n"/>
      <c r="F29" s="7" t="n"/>
    </row>
    <row r="31">
      <c r="A31" s="7" t="n"/>
      <c r="B31" s="7" t="n"/>
      <c r="C31" s="7" t="n"/>
      <c r="D31" s="7" t="n"/>
      <c r="E31" s="7" t="n"/>
      <c r="F31" s="7" t="n"/>
    </row>
    <row r="33">
      <c r="A33" s="7" t="n"/>
      <c r="B33" s="7" t="n"/>
      <c r="C33" s="7" t="n"/>
      <c r="D33" s="7" t="n"/>
      <c r="E33" s="7" t="n"/>
      <c r="F33" s="7" t="n"/>
    </row>
    <row r="35">
      <c r="A35" s="7" t="n"/>
      <c r="B35" s="7" t="n"/>
      <c r="C35" s="7" t="n"/>
      <c r="D35" s="7" t="n"/>
      <c r="E35" s="7" t="n"/>
      <c r="F35" s="7" t="n"/>
    </row>
    <row r="37">
      <c r="A37" s="7" t="n"/>
      <c r="B37" s="7" t="n"/>
      <c r="C37" s="7" t="n"/>
      <c r="D37" s="7" t="n"/>
      <c r="E37" s="7" t="n"/>
      <c r="F37" s="7" t="n"/>
    </row>
    <row r="39">
      <c r="A39" s="7" t="n"/>
      <c r="B39" s="7" t="n"/>
      <c r="C39" s="7" t="n"/>
      <c r="D39" s="7" t="n"/>
      <c r="E39" s="7" t="n"/>
      <c r="F39" s="7" t="n"/>
    </row>
    <row r="41">
      <c r="A41" s="7" t="n"/>
      <c r="B41" s="7" t="n"/>
      <c r="C41" s="7" t="n"/>
      <c r="D41" s="7" t="n"/>
      <c r="E41" s="7" t="n"/>
      <c r="F41" s="7" t="n"/>
    </row>
    <row r="43">
      <c r="A43" s="7" t="n"/>
      <c r="B43" s="7" t="n"/>
      <c r="C43" s="7" t="n"/>
      <c r="D43" s="7" t="n"/>
      <c r="E43" s="7" t="n"/>
      <c r="F43" s="7" t="n"/>
    </row>
    <row r="45">
      <c r="A45" s="7" t="n"/>
      <c r="B45" s="7" t="n"/>
      <c r="C45" s="7" t="n"/>
      <c r="D45" s="7" t="n"/>
      <c r="E45" s="7" t="n"/>
      <c r="F45" s="7" t="n"/>
    </row>
    <row r="47">
      <c r="A47" s="7" t="n"/>
      <c r="B47" s="7" t="n"/>
      <c r="C47" s="7" t="n"/>
      <c r="D47" s="7" t="n"/>
      <c r="E47" s="7" t="n"/>
      <c r="F47" s="7" t="n"/>
    </row>
    <row r="49">
      <c r="A49" s="7" t="n"/>
      <c r="B49" s="7" t="n"/>
      <c r="C49" s="7" t="n"/>
      <c r="D49" s="7" t="n"/>
      <c r="E49" s="7" t="n"/>
      <c r="F49" s="7" t="n"/>
    </row>
    <row r="51">
      <c r="A51" s="7" t="n"/>
      <c r="B51" s="7" t="n"/>
      <c r="C51" s="7" t="n"/>
      <c r="D51" s="7" t="n"/>
      <c r="E51" s="7" t="n"/>
      <c r="F51" s="7" t="n"/>
    </row>
    <row r="53">
      <c r="A53" s="7" t="n"/>
      <c r="B53" s="7" t="n"/>
      <c r="C53" s="7" t="n"/>
      <c r="D53" s="7" t="n"/>
      <c r="E53" s="7" t="n"/>
      <c r="F53" s="7" t="n"/>
    </row>
    <row r="55">
      <c r="A55" s="7" t="n"/>
      <c r="B55" s="7" t="n"/>
      <c r="C55" s="7" t="n"/>
      <c r="D55" s="7" t="n"/>
      <c r="E55" s="7" t="n"/>
      <c r="F55" s="7" t="n"/>
    </row>
    <row r="57">
      <c r="A57" s="7" t="n"/>
      <c r="B57" s="7" t="n"/>
      <c r="C57" s="7" t="n"/>
      <c r="D57" s="7" t="n"/>
      <c r="E57" s="7" t="n"/>
      <c r="F57" s="7" t="n"/>
    </row>
    <row r="59">
      <c r="A59" s="7" t="n"/>
      <c r="B59" s="7" t="n"/>
      <c r="C59" s="7" t="n"/>
      <c r="D59" s="7" t="n"/>
      <c r="E59" s="7" t="n"/>
      <c r="F59" s="7" t="n"/>
    </row>
    <row r="61">
      <c r="A61" s="7" t="n"/>
      <c r="B61" s="7" t="n"/>
      <c r="C61" s="7" t="n"/>
      <c r="D61" s="7" t="n"/>
      <c r="E61" s="7" t="n"/>
      <c r="F61" s="7" t="n"/>
    </row>
    <row r="63">
      <c r="A63" s="7" t="n"/>
      <c r="B63" s="7" t="n"/>
      <c r="C63" s="7" t="n"/>
      <c r="D63" s="7" t="n"/>
      <c r="E63" s="7" t="n"/>
      <c r="F63" s="7" t="n"/>
    </row>
    <row r="65">
      <c r="A65" s="7" t="n"/>
      <c r="B65" s="7" t="n"/>
      <c r="C65" s="7" t="n"/>
      <c r="D65" s="7" t="n"/>
      <c r="E65" s="7" t="n"/>
      <c r="F65" s="7" t="n"/>
    </row>
    <row r="67">
      <c r="A67" s="7" t="n"/>
      <c r="B67" s="7" t="n"/>
      <c r="C67" s="7" t="n"/>
      <c r="D67" s="7" t="n"/>
      <c r="E67" s="7" t="n"/>
      <c r="F67" s="7" t="n"/>
    </row>
    <row r="69">
      <c r="A69" s="7" t="n"/>
      <c r="B69" s="7" t="n"/>
      <c r="C69" s="7" t="n"/>
      <c r="D69" s="7" t="n"/>
      <c r="E69" s="7" t="n"/>
      <c r="F69" s="7" t="n"/>
    </row>
    <row r="71">
      <c r="A71" s="7" t="n"/>
      <c r="B71" s="7" t="n"/>
      <c r="C71" s="7" t="n"/>
      <c r="D71" s="7" t="n"/>
      <c r="E71" s="7" t="n"/>
      <c r="F71" s="7" t="n"/>
    </row>
    <row r="73">
      <c r="A73" s="7" t="n"/>
      <c r="B73" s="7" t="n"/>
      <c r="C73" s="7" t="n"/>
      <c r="D73" s="7" t="n"/>
      <c r="E73" s="7" t="n"/>
      <c r="F73" s="7" t="n"/>
    </row>
    <row r="75">
      <c r="A75" s="7" t="n"/>
      <c r="B75" s="7" t="n"/>
      <c r="C75" s="7" t="n"/>
      <c r="D75" s="7" t="n"/>
      <c r="E75" s="7" t="n"/>
      <c r="F75" s="7" t="n"/>
    </row>
    <row r="77">
      <c r="A77" s="7" t="n"/>
      <c r="B77" s="7" t="n"/>
      <c r="C77" s="7" t="n"/>
      <c r="D77" s="7" t="n"/>
      <c r="E77" s="7" t="n"/>
      <c r="F77" s="7" t="n"/>
    </row>
    <row r="79">
      <c r="A79" s="7" t="n"/>
      <c r="B79" s="7" t="n"/>
      <c r="C79" s="7" t="n"/>
      <c r="D79" s="7" t="n"/>
      <c r="E79" s="7" t="n"/>
      <c r="F79" s="7" t="n"/>
    </row>
    <row r="81">
      <c r="A81" s="7" t="n"/>
      <c r="B81" s="7" t="n"/>
      <c r="C81" s="7" t="n"/>
      <c r="D81" s="7" t="n"/>
      <c r="E81" s="7" t="n"/>
      <c r="F81" s="7" t="n"/>
    </row>
    <row r="83">
      <c r="A83" s="7" t="n"/>
      <c r="B83" s="7" t="n"/>
      <c r="C83" s="7" t="n"/>
      <c r="D83" s="7" t="n"/>
      <c r="E83" s="7" t="n"/>
      <c r="F83" s="7" t="n"/>
    </row>
    <row r="85">
      <c r="A85" s="7" t="n"/>
      <c r="B85" s="7" t="n"/>
      <c r="C85" s="7" t="n"/>
      <c r="D85" s="7" t="n"/>
      <c r="E85" s="7" t="n"/>
      <c r="F85" s="7" t="n"/>
    </row>
    <row r="87">
      <c r="A87" s="7" t="n"/>
      <c r="B87" s="7" t="n"/>
      <c r="C87" s="7" t="n"/>
      <c r="D87" s="7" t="n"/>
      <c r="E87" s="7" t="n"/>
      <c r="F87" s="7" t="n"/>
    </row>
    <row r="89">
      <c r="A89" s="7" t="n"/>
      <c r="B89" s="7" t="n"/>
      <c r="C89" s="7" t="n"/>
      <c r="D89" s="7" t="n"/>
      <c r="E89" s="7" t="n"/>
      <c r="F89" s="7" t="n"/>
    </row>
    <row r="91">
      <c r="A91" s="7" t="n"/>
      <c r="B91" s="7" t="n"/>
      <c r="C91" s="7" t="n"/>
      <c r="D91" s="7" t="n"/>
      <c r="E91" s="7" t="n"/>
      <c r="F91" s="7" t="n"/>
    </row>
    <row r="93">
      <c r="A93" s="7" t="n"/>
      <c r="B93" s="7" t="n"/>
      <c r="C93" s="7" t="n"/>
      <c r="D93" s="7" t="n"/>
      <c r="E93" s="7" t="n"/>
      <c r="F93" s="7" t="n"/>
    </row>
    <row r="95">
      <c r="A95" s="7" t="n"/>
      <c r="B95" s="7" t="n"/>
      <c r="C95" s="7" t="n"/>
      <c r="D95" s="7" t="n"/>
      <c r="E95" s="7" t="n"/>
      <c r="F95" s="7" t="n"/>
    </row>
    <row r="97">
      <c r="A97" s="7" t="n"/>
      <c r="B97" s="7" t="n"/>
      <c r="C97" s="7" t="n"/>
      <c r="D97" s="7" t="n"/>
      <c r="E97" s="7" t="n"/>
      <c r="F97" s="7" t="n"/>
    </row>
    <row r="99">
      <c r="A99" s="7" t="n"/>
      <c r="B99" s="7" t="n"/>
      <c r="C99" s="7" t="n"/>
      <c r="D99" s="7" t="n"/>
      <c r="E99" s="7" t="n"/>
      <c r="F99" s="7" t="n"/>
    </row>
    <row r="101">
      <c r="A101" s="7" t="n"/>
      <c r="B101" s="7" t="n"/>
      <c r="C101" s="7" t="n"/>
      <c r="D101" s="7" t="n"/>
      <c r="E101" s="7" t="n"/>
      <c r="F101" s="7" t="n"/>
    </row>
    <row r="103">
      <c r="A103" s="7" t="n"/>
      <c r="B103" s="7" t="n"/>
      <c r="C103" s="7" t="n"/>
      <c r="D103" s="7" t="n"/>
      <c r="E103" s="7" t="n"/>
      <c r="F103" s="7" t="n"/>
    </row>
    <row r="105">
      <c r="A105" s="7" t="n"/>
      <c r="B105" s="7" t="n"/>
      <c r="C105" s="7" t="n"/>
      <c r="D105" s="7" t="n"/>
      <c r="E105" s="7" t="n"/>
      <c r="F105" s="7" t="n"/>
    </row>
    <row r="107">
      <c r="A107" s="7" t="n"/>
      <c r="B107" s="7" t="n"/>
      <c r="C107" s="7" t="n"/>
      <c r="D107" s="7" t="n"/>
      <c r="E107" s="7" t="n"/>
      <c r="F107" s="7" t="n"/>
    </row>
    <row r="109">
      <c r="A109" s="7" t="n"/>
      <c r="B109" s="7" t="n"/>
      <c r="C109" s="7" t="n"/>
      <c r="D109" s="7" t="n"/>
      <c r="E109" s="7" t="n"/>
      <c r="F109" s="7" t="n"/>
    </row>
    <row r="111">
      <c r="A111" s="7" t="n"/>
      <c r="B111" s="7" t="n"/>
      <c r="C111" s="7" t="n"/>
      <c r="D111" s="7" t="n"/>
      <c r="E111" s="7" t="n"/>
      <c r="F111" s="7" t="n"/>
    </row>
    <row r="113">
      <c r="A113" s="7" t="n"/>
      <c r="B113" s="7" t="n"/>
      <c r="C113" s="7" t="n"/>
      <c r="D113" s="7" t="n"/>
      <c r="E113" s="7" t="n"/>
      <c r="F113" s="7" t="n"/>
    </row>
    <row r="115">
      <c r="A115" s="7" t="n"/>
      <c r="B115" s="7" t="n"/>
      <c r="C115" s="7" t="n"/>
      <c r="D115" s="7" t="n"/>
      <c r="E115" s="7" t="n"/>
      <c r="F115" s="7" t="n"/>
    </row>
    <row r="117">
      <c r="A117" s="7" t="n"/>
      <c r="B117" s="7" t="n"/>
      <c r="C117" s="7" t="n"/>
      <c r="D117" s="7" t="n"/>
      <c r="E117" s="7" t="n"/>
      <c r="F117" s="7" t="n"/>
    </row>
    <row r="119">
      <c r="A119" s="7" t="n"/>
      <c r="B119" s="7" t="n"/>
      <c r="C119" s="7" t="n"/>
      <c r="D119" s="7" t="n"/>
      <c r="E119" s="7" t="n"/>
      <c r="F119" s="7" t="n"/>
    </row>
    <row r="121">
      <c r="A121" s="7" t="n"/>
      <c r="B121" s="7" t="n"/>
      <c r="C121" s="7" t="n"/>
      <c r="D121" s="7" t="n"/>
      <c r="E121" s="7" t="n"/>
      <c r="F121" s="7" t="n"/>
    </row>
    <row r="123">
      <c r="A123" s="7" t="n"/>
      <c r="B123" s="7" t="n"/>
      <c r="C123" s="7" t="n"/>
      <c r="D123" s="7" t="n"/>
      <c r="E123" s="7" t="n"/>
      <c r="F123" s="7" t="n"/>
    </row>
    <row r="125">
      <c r="A125" s="7" t="n"/>
      <c r="B125" s="7" t="n"/>
      <c r="C125" s="7" t="n"/>
      <c r="D125" s="7" t="n"/>
      <c r="E125" s="7" t="n"/>
      <c r="F125" s="7" t="n"/>
    </row>
    <row r="127">
      <c r="A127" s="7" t="n"/>
      <c r="B127" s="7" t="n"/>
      <c r="C127" s="7" t="n"/>
      <c r="D127" s="7" t="n"/>
      <c r="E127" s="7" t="n"/>
      <c r="F127" s="7" t="n"/>
    </row>
    <row r="129">
      <c r="A129" s="7" t="n"/>
      <c r="B129" s="7" t="n"/>
      <c r="C129" s="7" t="n"/>
      <c r="D129" s="7" t="n"/>
      <c r="E129" s="7" t="n"/>
      <c r="F129" s="7" t="n"/>
    </row>
    <row r="131">
      <c r="A131" s="7" t="n"/>
      <c r="B131" s="7" t="n"/>
      <c r="C131" s="7" t="n"/>
      <c r="D131" s="7" t="n"/>
      <c r="E131" s="7" t="n"/>
      <c r="F131" s="7" t="n"/>
    </row>
    <row r="133">
      <c r="A133" s="7" t="n"/>
      <c r="B133" s="7" t="n"/>
      <c r="C133" s="7" t="n"/>
      <c r="D133" s="7" t="n"/>
      <c r="E133" s="7" t="n"/>
      <c r="F133" s="7" t="n"/>
    </row>
    <row r="135">
      <c r="A135" s="7" t="n"/>
      <c r="B135" s="7" t="n"/>
      <c r="C135" s="7" t="n"/>
      <c r="D135" s="7" t="n"/>
      <c r="E135" s="7" t="n"/>
      <c r="F135" s="7" t="n"/>
    </row>
    <row r="137">
      <c r="A137" s="7" t="n"/>
      <c r="B137" s="7" t="n"/>
      <c r="C137" s="7" t="n"/>
      <c r="D137" s="7" t="n"/>
      <c r="E137" s="7" t="n"/>
      <c r="F137" s="7" t="n"/>
    </row>
    <row r="139">
      <c r="A139" s="7" t="n"/>
      <c r="B139" s="7" t="n"/>
      <c r="C139" s="7" t="n"/>
      <c r="D139" s="7" t="n"/>
      <c r="E139" s="7" t="n"/>
      <c r="F139" s="7" t="n"/>
    </row>
    <row r="141">
      <c r="A141" s="7" t="n"/>
      <c r="B141" s="7" t="n"/>
      <c r="C141" s="7" t="n"/>
      <c r="D141" s="7" t="n"/>
      <c r="E141" s="7" t="n"/>
      <c r="F141" s="7" t="n"/>
    </row>
    <row r="143">
      <c r="A143" s="7" t="n"/>
      <c r="B143" s="7" t="n"/>
      <c r="C143" s="7" t="n"/>
      <c r="D143" s="7" t="n"/>
      <c r="E143" s="7" t="n"/>
      <c r="F143" s="7" t="n"/>
    </row>
    <row r="145">
      <c r="A145" s="7" t="n"/>
      <c r="B145" s="7" t="n"/>
      <c r="C145" s="7" t="n"/>
      <c r="D145" s="7" t="n"/>
      <c r="E145" s="7" t="n"/>
      <c r="F145" s="7" t="n"/>
    </row>
    <row r="147">
      <c r="A147" s="7" t="n"/>
      <c r="B147" s="7" t="n"/>
      <c r="C147" s="7" t="n"/>
      <c r="D147" s="7" t="n"/>
      <c r="E147" s="7" t="n"/>
      <c r="F147" s="7" t="n"/>
    </row>
    <row r="149">
      <c r="A149" s="7" t="n"/>
      <c r="B149" s="7" t="n"/>
      <c r="C149" s="7" t="n"/>
      <c r="D149" s="7" t="n"/>
      <c r="E149" s="7" t="n"/>
      <c r="F149" s="7" t="n"/>
    </row>
    <row r="151">
      <c r="A151" s="7" t="n"/>
      <c r="B151" s="7" t="n"/>
      <c r="C151" s="7" t="n"/>
      <c r="D151" s="7" t="n"/>
      <c r="E151" s="7" t="n"/>
      <c r="F151" s="7" t="n"/>
    </row>
    <row r="153">
      <c r="A153" s="7" t="n"/>
      <c r="B153" s="7" t="n"/>
      <c r="C153" s="7" t="n"/>
      <c r="D153" s="7" t="n"/>
      <c r="E153" s="7" t="n"/>
      <c r="F153" s="7" t="n"/>
    </row>
    <row r="155">
      <c r="A155" s="7" t="n"/>
      <c r="B155" s="7" t="n"/>
      <c r="C155" s="7" t="n"/>
      <c r="D155" s="7" t="n"/>
      <c r="E155" s="7" t="n"/>
      <c r="F155" s="7" t="n"/>
    </row>
    <row r="157">
      <c r="A157" s="7" t="n"/>
      <c r="B157" s="7" t="n"/>
      <c r="C157" s="7" t="n"/>
      <c r="D157" s="7" t="n"/>
      <c r="E157" s="7" t="n"/>
      <c r="F157" s="7" t="n"/>
    </row>
    <row r="159">
      <c r="A159" s="7" t="n"/>
      <c r="B159" s="7" t="n"/>
      <c r="C159" s="7" t="n"/>
      <c r="D159" s="7" t="n"/>
      <c r="E159" s="7" t="n"/>
      <c r="F159" s="7" t="n"/>
    </row>
    <row r="161">
      <c r="A161" s="7" t="n"/>
      <c r="B161" s="7" t="n"/>
      <c r="C161" s="7" t="n"/>
      <c r="D161" s="7" t="n"/>
      <c r="E161" s="7" t="n"/>
      <c r="F161" s="7" t="n"/>
    </row>
    <row r="163">
      <c r="A163" s="7" t="n"/>
      <c r="B163" s="7" t="n"/>
      <c r="C163" s="7" t="n"/>
      <c r="D163" s="7" t="n"/>
      <c r="E163" s="7" t="n"/>
      <c r="F163" s="7" t="n"/>
    </row>
    <row r="165">
      <c r="A165" s="7" t="n"/>
      <c r="B165" s="7" t="n"/>
      <c r="C165" s="7" t="n"/>
      <c r="D165" s="7" t="n"/>
      <c r="E165" s="7" t="n"/>
      <c r="F165" s="7" t="n"/>
    </row>
    <row r="167">
      <c r="A167" s="7" t="n"/>
      <c r="B167" s="7" t="n"/>
      <c r="C167" s="7" t="n"/>
      <c r="D167" s="7" t="n"/>
      <c r="E167" s="7" t="n"/>
      <c r="F167" s="7" t="n"/>
    </row>
    <row r="169">
      <c r="A169" s="7" t="n"/>
      <c r="B169" s="7" t="n"/>
      <c r="C169" s="7" t="n"/>
      <c r="D169" s="7" t="n"/>
      <c r="E169" s="7" t="n"/>
      <c r="F169" s="7" t="n"/>
    </row>
    <row r="171">
      <c r="A171" s="7" t="n"/>
      <c r="B171" s="7" t="n"/>
      <c r="C171" s="7" t="n"/>
      <c r="D171" s="7" t="n"/>
      <c r="E171" s="7" t="n"/>
      <c r="F171" s="7" t="n"/>
    </row>
    <row r="173">
      <c r="A173" s="7" t="n"/>
      <c r="B173" s="7" t="n"/>
      <c r="C173" s="7" t="n"/>
      <c r="D173" s="7" t="n"/>
      <c r="E173" s="7" t="n"/>
      <c r="F173" s="7" t="n"/>
    </row>
    <row r="175">
      <c r="A175" s="7" t="n"/>
      <c r="B175" s="7" t="n"/>
      <c r="C175" s="7" t="n"/>
      <c r="D175" s="7" t="n"/>
      <c r="E175" s="7" t="n"/>
      <c r="F175" s="7" t="n"/>
    </row>
    <row r="177">
      <c r="A177" s="7" t="n"/>
      <c r="B177" s="7" t="n"/>
      <c r="C177" s="7" t="n"/>
      <c r="D177" s="7" t="n"/>
      <c r="E177" s="7" t="n"/>
      <c r="F177" s="7" t="n"/>
    </row>
    <row r="179">
      <c r="A179" s="7" t="n"/>
      <c r="B179" s="7" t="n"/>
      <c r="C179" s="7" t="n"/>
      <c r="D179" s="7" t="n"/>
      <c r="E179" s="7" t="n"/>
      <c r="F179" s="7" t="n"/>
    </row>
    <row r="181">
      <c r="A181" s="7" t="n"/>
      <c r="B181" s="7" t="n"/>
      <c r="C181" s="7" t="n"/>
      <c r="D181" s="7" t="n"/>
      <c r="E181" s="7" t="n"/>
      <c r="F181" s="7" t="n"/>
    </row>
    <row r="183">
      <c r="A183" s="7" t="n"/>
      <c r="B183" s="7" t="n"/>
      <c r="C183" s="7" t="n"/>
      <c r="D183" s="7" t="n"/>
      <c r="E183" s="7" t="n"/>
      <c r="F183" s="7" t="n"/>
    </row>
    <row r="185">
      <c r="A185" s="7" t="n"/>
      <c r="B185" s="7" t="n"/>
      <c r="C185" s="7" t="n"/>
      <c r="D185" s="7" t="n"/>
      <c r="E185" s="7" t="n"/>
      <c r="F185" s="7" t="n"/>
    </row>
    <row r="187">
      <c r="A187" s="7" t="n"/>
      <c r="B187" s="7" t="n"/>
      <c r="C187" s="7" t="n"/>
      <c r="D187" s="7" t="n"/>
      <c r="E187" s="7" t="n"/>
      <c r="F187" s="7" t="n"/>
    </row>
    <row r="189">
      <c r="A189" s="7" t="n"/>
      <c r="B189" s="7" t="n"/>
      <c r="C189" s="7" t="n"/>
      <c r="D189" s="7" t="n"/>
      <c r="E189" s="7" t="n"/>
      <c r="F189" s="7" t="n"/>
    </row>
    <row r="191">
      <c r="A191" s="7" t="n"/>
      <c r="B191" s="7" t="n"/>
      <c r="C191" s="7" t="n"/>
      <c r="D191" s="7" t="n"/>
      <c r="E191" s="7" t="n"/>
      <c r="F191" s="7" t="n"/>
    </row>
    <row r="193">
      <c r="A193" s="7" t="n"/>
      <c r="B193" s="7" t="n"/>
      <c r="C193" s="7" t="n"/>
      <c r="D193" s="7" t="n"/>
      <c r="E193" s="7" t="n"/>
      <c r="F193" s="7" t="n"/>
    </row>
    <row r="195">
      <c r="A195" s="7" t="n"/>
      <c r="B195" s="7" t="n"/>
      <c r="C195" s="7" t="n"/>
      <c r="D195" s="7" t="n"/>
      <c r="E195" s="7" t="n"/>
      <c r="F195" s="7" t="n"/>
    </row>
    <row r="197">
      <c r="A197" s="7" t="n"/>
      <c r="B197" s="7" t="n"/>
      <c r="C197" s="7" t="n"/>
      <c r="D197" s="7" t="n"/>
      <c r="E197" s="7" t="n"/>
      <c r="F197" s="7" t="n"/>
    </row>
    <row r="199">
      <c r="A199" s="7" t="n"/>
      <c r="B199" s="7" t="n"/>
      <c r="C199" s="7" t="n"/>
      <c r="D199" s="7" t="n"/>
      <c r="E199" s="7" t="n"/>
      <c r="F199" s="7" t="n"/>
    </row>
    <row r="201">
      <c r="A201" s="7" t="n"/>
      <c r="B201" s="7" t="n"/>
      <c r="C201" s="7" t="n"/>
      <c r="D201" s="7" t="n"/>
      <c r="E201" s="7" t="n"/>
      <c r="F20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Assumption lines</t>
        </is>
      </c>
      <c r="B2" s="8">
        <f>COUNTA(Inputs!A4:A36)</f>
        <v/>
      </c>
    </row>
    <row r="3">
      <c r="A3" t="inlineStr">
        <is>
          <t>Values filled</t>
        </is>
      </c>
      <c r="B3" s="8">
        <f>COUNT(Inputs!E4:E36)</f>
        <v/>
      </c>
    </row>
    <row r="4">
      <c r="A4" t="inlineStr">
        <is>
          <t>Values missing</t>
        </is>
      </c>
      <c r="B4" s="8">
        <f>B2-B3</f>
        <v/>
      </c>
    </row>
    <row r="5">
      <c r="A5" t="inlineStr">
        <is>
          <t>Lines confirmed (Y)</t>
        </is>
      </c>
      <c r="B5" s="8">
        <f>COUNTIF(Inputs!H4:H36,"Y")</f>
        <v/>
      </c>
    </row>
    <row r="6">
      <c r="A6" t="inlineStr">
        <is>
          <t>Export rows logged on Mapping</t>
        </is>
      </c>
      <c r="B6" s="8">
        <f>COUNTA(Mapping!B2:B201)</f>
        <v/>
      </c>
    </row>
    <row r="7">
      <c r="A7" t="inlineStr">
        <is>
          <t>Mapping rows with no register id</t>
        </is>
      </c>
      <c r="B7" s="8">
        <f>COUNTA(Mapping!B2:B201)-COUNTA(Mapping!D2:D201)</f>
        <v/>
      </c>
    </row>
    <row r="8">
      <c r="A8" t="inlineStr">
        <is>
          <t>Ready for the checker</t>
        </is>
      </c>
      <c r="B8" s="8">
        <f>IF(AND(B4=0,B5=B2),"YES","NO")</f>
        <v/>
      </c>
    </row>
    <row r="9">
      <c r="A9" t="inlineStr">
        <is>
          <t>Model lines (sheet Lines)</t>
        </is>
      </c>
      <c r="B9" s="8">
        <f>COUNTA(Lines!A4:A200000)</f>
        <v/>
      </c>
    </row>
    <row r="10">
      <c r="A10" t="inlineStr">
        <is>
          <t>Model lines linked in EstateMaster</t>
        </is>
      </c>
      <c r="B10" s="8">
        <f>COUNTIF(Lines!J4:J200000,"Y")</f>
        <v/>
      </c>
    </row>
    <row r="12">
      <c r="A12" s="9" t="inlineStr">
        <is>
          <t>Full validation (units, ranges, duplicates): py runner/control_check.py &lt;file&gt;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2026-09-30T22:27:14Z</dcterms:created>
  <dcterms:modified xsi:type="dcterms:W3CDTF">2026-09-30T23:16:40Z</dcterms:modified>
</cp:coreProperties>
</file>