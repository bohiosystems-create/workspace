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enchmarks" sheetId="2" state="visible" r:id="rId4"/>
    <sheet name="Regulation check" sheetId="3" state="visible" r:id="rId5"/>
    <sheet name="Transactions" sheetId="4" state="visible" r:id="rId6"/>
    <sheet name="Rentals" sheetId="5" state="visible" r:id="rId7"/>
    <sheet name="Zoning rules" sheetId="6" state="visible" r:id="rId8"/>
    <sheet name="Plots" sheetId="7" state="visible" r:id="rId9"/>
    <sheet name="Outlook emails" sheetId="8" state="visible" r:id="rId10"/>
  </sheets>
  <definedNames>
    <definedName function="false" hidden="true" localSheetId="4" name="_xlnm._FilterDatabase" vbProcedure="false">Rentals!$A$4:$M$114</definedName>
    <definedName function="false" hidden="true" localSheetId="3" name="_xlnm._FilterDatabase" vbProcedure="false">Transactions!$A$4:$M$164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<sst xmlns="http://schemas.openxmlformats.org/spreadsheetml/2006/main" count="1341" uniqueCount="499">
  <si>
    <t xml:space="preserve">Al Narjis market data (DUMMY)</t>
  </si>
  <si>
    <t xml:space="preserve">Synthetic data for the Bohio agent demo. Not real transactions, leases, plots, regulations or emails.</t>
  </si>
  <si>
    <t xml:space="preserve">Sheet</t>
  </si>
  <si>
    <t xml:space="preserve">Contents</t>
  </si>
  <si>
    <t xml:space="preserve">Benchmarks</t>
  </si>
  <si>
    <t xml:space="preserve">Comparable-sales and retail-rent percentiles for the chosen scope and period, and where the model sits. Edit the blue cells.</t>
  </si>
  <si>
    <t xml:space="preserve">Regulation check</t>
  </si>
  <si>
    <t xml:space="preserve">Checks a scheme against the zoning rules of a plot (FAR, coverage, setbacks, height, parking). Edit the blue cells.</t>
  </si>
  <si>
    <t xml:space="preserve">Transactions</t>
  </si>
  <si>
    <t xml:space="preserve">160 dummy residential sales, Oct 2024 to Sep 2026. Price/sqm and scope columns are formulas.</t>
  </si>
  <si>
    <t xml:space="preserve">Rentals</t>
  </si>
  <si>
    <t xml:space="preserve">110 dummy leases (retail and residential). Rent/sqm and scope columns are formulas.</t>
  </si>
  <si>
    <t xml:space="preserve">Zoning rules</t>
  </si>
  <si>
    <t xml:space="preserve">Dummy zoning classes with FAR, coverage, setbacks, height and parking ratios.</t>
  </si>
  <si>
    <t xml:space="preserve">Plots</t>
  </si>
  <si>
    <t xml:space="preserve">Dummy plots and their zoning class. NRJ-0417 is the demo site.</t>
  </si>
  <si>
    <t xml:space="preserve">Outlook emails</t>
  </si>
  <si>
    <t xml:space="preserve">Dummy emails the agent reads for context on assumption changes, with the change it extracts.</t>
  </si>
  <si>
    <t xml:space="preserve">Legend</t>
  </si>
  <si>
    <t xml:space="preserve">Blue text</t>
  </si>
  <si>
    <t xml:space="preserve">Input you can change</t>
  </si>
  <si>
    <t xml:space="preserve">Black text</t>
  </si>
  <si>
    <t xml:space="preserve">Formula</t>
  </si>
  <si>
    <t xml:space="preserve">Green text</t>
  </si>
  <si>
    <t xml:space="preserve">Formula pulling from another sheet</t>
  </si>
  <si>
    <t xml:space="preserve">Yellow fill</t>
  </si>
  <si>
    <t xml:space="preserve">Key input</t>
  </si>
  <si>
    <t xml:space="preserve">Districts / scope rings</t>
  </si>
  <si>
    <t xml:space="preserve">1 = Al Narjis · 2 = adjacent (Al Yasmin, Al Arid, Al Malqa) · 3 = wider north Riyadh (Hittin, Al Sahafa)</t>
  </si>
  <si>
    <t xml:space="preserve">As-of date</t>
  </si>
  <si>
    <t xml:space="preserve">2026-09-29</t>
  </si>
  <si>
    <t xml:space="preserve">Generator</t>
  </si>
  <si>
    <t xml:space="preserve">data/generate_dummy_data.py (seeded, reproducible)</t>
  </si>
  <si>
    <t xml:space="preserve">Market benchmarks (DUMMY data)</t>
  </si>
  <si>
    <t xml:space="preserve">Change the blue inputs; percentiles and the model position recalculate.</t>
  </si>
  <si>
    <t xml:space="preserve">Inputs</t>
  </si>
  <si>
    <t xml:space="preserve">Comp scope</t>
  </si>
  <si>
    <t xml:space="preserve">Al Narjis + adjacent</t>
  </si>
  <si>
    <t xml:space="preserve">Al Narjis / Al Narjis + adjacent / North Riyadh</t>
  </si>
  <si>
    <t xml:space="preserve">Period (months)</t>
  </si>
  <si>
    <t xml:space="preserve">Property type</t>
  </si>
  <si>
    <t xml:space="preserve">All</t>
  </si>
  <si>
    <t xml:space="preserve">All / Apartment / Townhouse / Duplex</t>
  </si>
  <si>
    <t xml:space="preserve">Scope ring (derived)</t>
  </si>
  <si>
    <t xml:space="preserve">Model assumptions (from EstateMaster)</t>
  </si>
  <si>
    <t xml:space="preserve">Residential sale price (SAR/sqm)</t>
  </si>
  <si>
    <t xml:space="preserve">Base case in the demo model</t>
  </si>
  <si>
    <t xml:space="preserve">Retail rent (SAR/sqm/yr)</t>
  </si>
  <si>
    <t xml:space="preserve">Benchmark</t>
  </si>
  <si>
    <t xml:space="preserve">Comps (n)</t>
  </si>
  <si>
    <t xml:space="preserve">P10</t>
  </si>
  <si>
    <t xml:space="preserve">P25</t>
  </si>
  <si>
    <t xml:space="preserve">Median</t>
  </si>
  <si>
    <t xml:space="preserve">P75</t>
  </si>
  <si>
    <t xml:space="preserve">P90</t>
  </si>
  <si>
    <t xml:space="preserve">Model position</t>
  </si>
  <si>
    <t xml:space="preserve">Model value</t>
  </si>
  <si>
    <t xml:space="preserve">Percentile</t>
  </si>
  <si>
    <t xml:space="preserve">Status</t>
  </si>
  <si>
    <t xml:space="preserve">Gap to median</t>
  </si>
  <si>
    <t xml:space="preserve">Status rule: percentile 25–75 in range; 10–25 or 75–90 stretched; outside 10–90 outside range (same rule as the demo).</t>
  </si>
  <si>
    <t xml:space="preserve">Regulation check (DUMMY rules)</t>
  </si>
  <si>
    <t xml:space="preserve">Pick a plot and enter the scheme; each rule is checked against the zoning class.</t>
  </si>
  <si>
    <t xml:space="preserve">Plot</t>
  </si>
  <si>
    <t xml:space="preserve">Plot ID</t>
  </si>
  <si>
    <t xml:space="preserve">NRJ-0417</t>
  </si>
  <si>
    <t xml:space="preserve">District</t>
  </si>
  <si>
    <t xml:space="preserve">Zone code</t>
  </si>
  <si>
    <t xml:space="preserve">Plot area (sqm)</t>
  </si>
  <si>
    <t xml:space="preserve">Frontage x depth (m)</t>
  </si>
  <si>
    <t xml:space="preserve">Zone description</t>
  </si>
  <si>
    <t xml:space="preserve">Scheme (from EstateMaster)</t>
  </si>
  <si>
    <t xml:space="preserve">GFA (sqm)</t>
  </si>
  <si>
    <t xml:space="preserve">Building footprint (sqm)</t>
  </si>
  <si>
    <t xml:space="preserve">Floors (tallest block)</t>
  </si>
  <si>
    <t xml:space="preserve">Front setback provided (m)</t>
  </si>
  <si>
    <t xml:space="preserve">Side setback provided (m)</t>
  </si>
  <si>
    <t xml:space="preserve">Rear setback provided (m)</t>
  </si>
  <si>
    <t xml:space="preserve">Residential NSA (sqm)</t>
  </si>
  <si>
    <t xml:space="preserve">Average unit size (sqm)</t>
  </si>
  <si>
    <t xml:space="preserve">Retail GLA (sqm)</t>
  </si>
  <si>
    <t xml:space="preserve">Parking spaces provided</t>
  </si>
  <si>
    <t xml:space="preserve">Rule</t>
  </si>
  <si>
    <t xml:space="preserve">Limit</t>
  </si>
  <si>
    <t xml:space="preserve">Scheme</t>
  </si>
  <si>
    <t xml:space="preserve">Headroom</t>
  </si>
  <si>
    <t xml:space="preserve">FAR</t>
  </si>
  <si>
    <t xml:space="preserve">Site coverage</t>
  </si>
  <si>
    <t xml:space="preserve">Front setback (m)</t>
  </si>
  <si>
    <t xml:space="preserve">Side setback (m)</t>
  </si>
  <si>
    <t xml:space="preserve">Rear setback (m)</t>
  </si>
  <si>
    <t xml:space="preserve">Max floors</t>
  </si>
  <si>
    <t xml:space="preserve">Parking spaces required</t>
  </si>
  <si>
    <t xml:space="preserve">Negative headroom = breach. Parking: units = NSA / average unit size.</t>
  </si>
  <si>
    <t xml:space="preserve">Residential sales (DUMMY)</t>
  </si>
  <si>
    <t xml:space="preserve">Synthetic records. Columns H, J, K are formulas.</t>
  </si>
  <si>
    <t xml:space="preserve">Record ID</t>
  </si>
  <si>
    <t xml:space="preserve">Date</t>
  </si>
  <si>
    <t xml:space="preserve">Scope ring</t>
  </si>
  <si>
    <t xml:space="preserve">Floor</t>
  </si>
  <si>
    <t xml:space="preserve">Unit size (sqm)</t>
  </si>
  <si>
    <t xml:space="preserve">Price (SAR)</t>
  </si>
  <si>
    <t xml:space="preserve">Price (SAR/sqm)</t>
  </si>
  <si>
    <t xml:space="preserve">Months before as-of</t>
  </si>
  <si>
    <t xml:space="preserve">In comp set</t>
  </si>
  <si>
    <t xml:space="preserve">Comp value (SAR/sqm)</t>
  </si>
  <si>
    <t xml:space="preserve">TX-24022</t>
  </si>
  <si>
    <t xml:space="preserve">Al Narjis</t>
  </si>
  <si>
    <t xml:space="preserve">Apartment</t>
  </si>
  <si>
    <t xml:space="preserve">Ready</t>
  </si>
  <si>
    <t xml:space="preserve">TX-24145</t>
  </si>
  <si>
    <t xml:space="preserve">Al Sahafa</t>
  </si>
  <si>
    <t xml:space="preserve">TX-24088</t>
  </si>
  <si>
    <t xml:space="preserve">Al Arid</t>
  </si>
  <si>
    <t xml:space="preserve">TX-24065</t>
  </si>
  <si>
    <t xml:space="preserve">TX-24071</t>
  </si>
  <si>
    <t xml:space="preserve">Townhouse</t>
  </si>
  <si>
    <t xml:space="preserve">TX-24124</t>
  </si>
  <si>
    <t xml:space="preserve">TX-24032</t>
  </si>
  <si>
    <t xml:space="preserve">TX-24118</t>
  </si>
  <si>
    <t xml:space="preserve">Hittin</t>
  </si>
  <si>
    <t xml:space="preserve">TX-24135</t>
  </si>
  <si>
    <t xml:space="preserve">Al Yasmin</t>
  </si>
  <si>
    <t xml:space="preserve">Off-plan</t>
  </si>
  <si>
    <t xml:space="preserve">TX-24011</t>
  </si>
  <si>
    <t xml:space="preserve">TX-24132</t>
  </si>
  <si>
    <t xml:space="preserve">TX-24005</t>
  </si>
  <si>
    <t xml:space="preserve">TX-24121</t>
  </si>
  <si>
    <t xml:space="preserve">TX-24029</t>
  </si>
  <si>
    <t xml:space="preserve">TX-24070</t>
  </si>
  <si>
    <t xml:space="preserve">TX-24115</t>
  </si>
  <si>
    <t xml:space="preserve">TX-24017</t>
  </si>
  <si>
    <t xml:space="preserve">Al Malqa</t>
  </si>
  <si>
    <t xml:space="preserve">TX-24147</t>
  </si>
  <si>
    <t xml:space="preserve">TX-24031</t>
  </si>
  <si>
    <t xml:space="preserve">Duplex</t>
  </si>
  <si>
    <t xml:space="preserve">TX-24074</t>
  </si>
  <si>
    <t xml:space="preserve">TX-24019</t>
  </si>
  <si>
    <t xml:space="preserve">TX-24109</t>
  </si>
  <si>
    <t xml:space="preserve">TX-24153</t>
  </si>
  <si>
    <t xml:space="preserve">TX-24003</t>
  </si>
  <si>
    <t xml:space="preserve">TX-24007</t>
  </si>
  <si>
    <t xml:space="preserve">TX-24133</t>
  </si>
  <si>
    <t xml:space="preserve">TX-24038</t>
  </si>
  <si>
    <t xml:space="preserve">TX-24037</t>
  </si>
  <si>
    <t xml:space="preserve">TX-24080</t>
  </si>
  <si>
    <t xml:space="preserve">TX-24092</t>
  </si>
  <si>
    <t xml:space="preserve">TX-24072</t>
  </si>
  <si>
    <t xml:space="preserve">TX-24048</t>
  </si>
  <si>
    <t xml:space="preserve">TX-24150</t>
  </si>
  <si>
    <t xml:space="preserve">TX-24090</t>
  </si>
  <si>
    <t xml:space="preserve">TX-24093</t>
  </si>
  <si>
    <t xml:space="preserve">TX-24095</t>
  </si>
  <si>
    <t xml:space="preserve">TX-24091</t>
  </si>
  <si>
    <t xml:space="preserve">TX-24046</t>
  </si>
  <si>
    <t xml:space="preserve">TX-24008</t>
  </si>
  <si>
    <t xml:space="preserve">TX-24120</t>
  </si>
  <si>
    <t xml:space="preserve">TX-24040</t>
  </si>
  <si>
    <t xml:space="preserve">TX-24156</t>
  </si>
  <si>
    <t xml:space="preserve">TX-24098</t>
  </si>
  <si>
    <t xml:space="preserve">TX-24138</t>
  </si>
  <si>
    <t xml:space="preserve">TX-24139</t>
  </si>
  <si>
    <t xml:space="preserve">TX-24067</t>
  </si>
  <si>
    <t xml:space="preserve">TX-24084</t>
  </si>
  <si>
    <t xml:space="preserve">TX-24096</t>
  </si>
  <si>
    <t xml:space="preserve">TX-24097</t>
  </si>
  <si>
    <t xml:space="preserve">TX-24131</t>
  </si>
  <si>
    <t xml:space="preserve">TX-24018</t>
  </si>
  <si>
    <t xml:space="preserve">TX-24026</t>
  </si>
  <si>
    <t xml:space="preserve">TX-24043</t>
  </si>
  <si>
    <t xml:space="preserve">TX-24103</t>
  </si>
  <si>
    <t xml:space="preserve">TX-24021</t>
  </si>
  <si>
    <t xml:space="preserve">TX-24006</t>
  </si>
  <si>
    <t xml:space="preserve">TX-24157</t>
  </si>
  <si>
    <t xml:space="preserve">TX-24010</t>
  </si>
  <si>
    <t xml:space="preserve">TX-24073</t>
  </si>
  <si>
    <t xml:space="preserve">TX-24036</t>
  </si>
  <si>
    <t xml:space="preserve">TX-24079</t>
  </si>
  <si>
    <t xml:space="preserve">TX-24110</t>
  </si>
  <si>
    <t xml:space="preserve">TX-24042</t>
  </si>
  <si>
    <t xml:space="preserve">TX-24049</t>
  </si>
  <si>
    <t xml:space="preserve">TX-24002</t>
  </si>
  <si>
    <t xml:space="preserve">TX-24114</t>
  </si>
  <si>
    <t xml:space="preserve">TX-24035</t>
  </si>
  <si>
    <t xml:space="preserve">TX-24076</t>
  </si>
  <si>
    <t xml:space="preserve">TX-24126</t>
  </si>
  <si>
    <t xml:space="preserve">TX-24082</t>
  </si>
  <si>
    <t xml:space="preserve">TX-24107</t>
  </si>
  <si>
    <t xml:space="preserve">TX-24152</t>
  </si>
  <si>
    <t xml:space="preserve">TX-24025</t>
  </si>
  <si>
    <t xml:space="preserve">TX-24112</t>
  </si>
  <si>
    <t xml:space="preserve">TX-24130</t>
  </si>
  <si>
    <t xml:space="preserve">TX-24060</t>
  </si>
  <si>
    <t xml:space="preserve">TX-24146</t>
  </si>
  <si>
    <t xml:space="preserve">TX-24119</t>
  </si>
  <si>
    <t xml:space="preserve">TX-24129</t>
  </si>
  <si>
    <t xml:space="preserve">TX-24027</t>
  </si>
  <si>
    <t xml:space="preserve">TX-24128</t>
  </si>
  <si>
    <t xml:space="preserve">TX-24105</t>
  </si>
  <si>
    <t xml:space="preserve">TX-24024</t>
  </si>
  <si>
    <t xml:space="preserve">TX-24141</t>
  </si>
  <si>
    <t xml:space="preserve">TX-24012</t>
  </si>
  <si>
    <t xml:space="preserve">TX-24000</t>
  </si>
  <si>
    <t xml:space="preserve">TX-24059</t>
  </si>
  <si>
    <t xml:space="preserve">TX-24106</t>
  </si>
  <si>
    <t xml:space="preserve">TX-24143</t>
  </si>
  <si>
    <t xml:space="preserve">TX-24123</t>
  </si>
  <si>
    <t xml:space="preserve">TX-24055</t>
  </si>
  <si>
    <t xml:space="preserve">TX-24083</t>
  </si>
  <si>
    <t xml:space="preserve">TX-24023</t>
  </si>
  <si>
    <t xml:space="preserve">TX-24116</t>
  </si>
  <si>
    <t xml:space="preserve">TX-24077</t>
  </si>
  <si>
    <t xml:space="preserve">TX-24125</t>
  </si>
  <si>
    <t xml:space="preserve">TX-24078</t>
  </si>
  <si>
    <t xml:space="preserve">TX-24053</t>
  </si>
  <si>
    <t xml:space="preserve">TX-24159</t>
  </si>
  <si>
    <t xml:space="preserve">TX-24061</t>
  </si>
  <si>
    <t xml:space="preserve">TX-24016</t>
  </si>
  <si>
    <t xml:space="preserve">TX-24086</t>
  </si>
  <si>
    <t xml:space="preserve">TX-24122</t>
  </si>
  <si>
    <t xml:space="preserve">TX-24142</t>
  </si>
  <si>
    <t xml:space="preserve">TX-24054</t>
  </si>
  <si>
    <t xml:space="preserve">TX-24117</t>
  </si>
  <si>
    <t xml:space="preserve">TX-24111</t>
  </si>
  <si>
    <t xml:space="preserve">TX-24044</t>
  </si>
  <si>
    <t xml:space="preserve">TX-24100</t>
  </si>
  <si>
    <t xml:space="preserve">TX-24050</t>
  </si>
  <si>
    <t xml:space="preserve">TX-24099</t>
  </si>
  <si>
    <t xml:space="preserve">TX-24087</t>
  </si>
  <si>
    <t xml:space="preserve">TX-24068</t>
  </si>
  <si>
    <t xml:space="preserve">TX-24127</t>
  </si>
  <si>
    <t xml:space="preserve">TX-24041</t>
  </si>
  <si>
    <t xml:space="preserve">TX-24052</t>
  </si>
  <si>
    <t xml:space="preserve">TX-24134</t>
  </si>
  <si>
    <t xml:space="preserve">TX-24094</t>
  </si>
  <si>
    <t xml:space="preserve">TX-24136</t>
  </si>
  <si>
    <t xml:space="preserve">TX-24137</t>
  </si>
  <si>
    <t xml:space="preserve">TX-24113</t>
  </si>
  <si>
    <t xml:space="preserve">TX-24030</t>
  </si>
  <si>
    <t xml:space="preserve">TX-24062</t>
  </si>
  <si>
    <t xml:space="preserve">TX-24015</t>
  </si>
  <si>
    <t xml:space="preserve">TX-24063</t>
  </si>
  <si>
    <t xml:space="preserve">TX-24004</t>
  </si>
  <si>
    <t xml:space="preserve">TX-24101</t>
  </si>
  <si>
    <t xml:space="preserve">TX-24155</t>
  </si>
  <si>
    <t xml:space="preserve">TX-24064</t>
  </si>
  <si>
    <t xml:space="preserve">TX-24085</t>
  </si>
  <si>
    <t xml:space="preserve">TX-24081</t>
  </si>
  <si>
    <t xml:space="preserve">TX-24014</t>
  </si>
  <si>
    <t xml:space="preserve">TX-24151</t>
  </si>
  <si>
    <t xml:space="preserve">TX-24034</t>
  </si>
  <si>
    <t xml:space="preserve">TX-24140</t>
  </si>
  <si>
    <t xml:space="preserve">TX-24013</t>
  </si>
  <si>
    <t xml:space="preserve">TX-24047</t>
  </si>
  <si>
    <t xml:space="preserve">TX-24051</t>
  </si>
  <si>
    <t xml:space="preserve">TX-24158</t>
  </si>
  <si>
    <t xml:space="preserve">TX-24144</t>
  </si>
  <si>
    <t xml:space="preserve">TX-24102</t>
  </si>
  <si>
    <t xml:space="preserve">TX-24045</t>
  </si>
  <si>
    <t xml:space="preserve">TX-24057</t>
  </si>
  <si>
    <t xml:space="preserve">TX-24104</t>
  </si>
  <si>
    <t xml:space="preserve">TX-24009</t>
  </si>
  <si>
    <t xml:space="preserve">TX-24020</t>
  </si>
  <si>
    <t xml:space="preserve">TX-24039</t>
  </si>
  <si>
    <t xml:space="preserve">TX-24154</t>
  </si>
  <si>
    <t xml:space="preserve">TX-24001</t>
  </si>
  <si>
    <t xml:space="preserve">TX-24056</t>
  </si>
  <si>
    <t xml:space="preserve">TX-24066</t>
  </si>
  <si>
    <t xml:space="preserve">TX-24149</t>
  </si>
  <si>
    <t xml:space="preserve">TX-24069</t>
  </si>
  <si>
    <t xml:space="preserve">TX-24058</t>
  </si>
  <si>
    <t xml:space="preserve">TX-24108</t>
  </si>
  <si>
    <t xml:space="preserve">TX-24033</t>
  </si>
  <si>
    <t xml:space="preserve">TX-24075</t>
  </si>
  <si>
    <t xml:space="preserve">TX-24089</t>
  </si>
  <si>
    <t xml:space="preserve">TX-24028</t>
  </si>
  <si>
    <t xml:space="preserve">TX-24148</t>
  </si>
  <si>
    <t xml:space="preserve">Leases (DUMMY)</t>
  </si>
  <si>
    <t xml:space="preserve">Synthetic records. Columns I, J, K, L are formulas. Only retail leases enter the rent benchmark.</t>
  </si>
  <si>
    <t xml:space="preserve">Start date</t>
  </si>
  <si>
    <t xml:space="preserve">Use</t>
  </si>
  <si>
    <t xml:space="preserve">Frontage</t>
  </si>
  <si>
    <t xml:space="preserve">Term (years)</t>
  </si>
  <si>
    <t xml:space="preserve">Annual rent (SAR)</t>
  </si>
  <si>
    <t xml:space="preserve">Rent (SAR/sqm/yr)</t>
  </si>
  <si>
    <t xml:space="preserve">Comp value (SAR/sqm/yr)</t>
  </si>
  <si>
    <t xml:space="preserve">LS-51014</t>
  </si>
  <si>
    <t xml:space="preserve">Retail</t>
  </si>
  <si>
    <t xml:space="preserve">Internal</t>
  </si>
  <si>
    <t xml:space="preserve">LS-51025</t>
  </si>
  <si>
    <t xml:space="preserve">Residential</t>
  </si>
  <si>
    <t xml:space="preserve">-</t>
  </si>
  <si>
    <t xml:space="preserve">LS-51044</t>
  </si>
  <si>
    <t xml:space="preserve">Main road</t>
  </si>
  <si>
    <t xml:space="preserve">LS-51019</t>
  </si>
  <si>
    <t xml:space="preserve">LS-51041</t>
  </si>
  <si>
    <t xml:space="preserve">LS-51051</t>
  </si>
  <si>
    <t xml:space="preserve">LS-51086</t>
  </si>
  <si>
    <t xml:space="preserve">LS-51024</t>
  </si>
  <si>
    <t xml:space="preserve">LS-51049</t>
  </si>
  <si>
    <t xml:space="preserve">LS-51007</t>
  </si>
  <si>
    <t xml:space="preserve">LS-51080</t>
  </si>
  <si>
    <t xml:space="preserve">LS-51094</t>
  </si>
  <si>
    <t xml:space="preserve">LS-51010</t>
  </si>
  <si>
    <t xml:space="preserve">LS-51021</t>
  </si>
  <si>
    <t xml:space="preserve">LS-51026</t>
  </si>
  <si>
    <t xml:space="preserve">LS-51002</t>
  </si>
  <si>
    <t xml:space="preserve">LS-51090</t>
  </si>
  <si>
    <t xml:space="preserve">LS-51104</t>
  </si>
  <si>
    <t xml:space="preserve">LS-51033</t>
  </si>
  <si>
    <t xml:space="preserve">LS-51060</t>
  </si>
  <si>
    <t xml:space="preserve">LS-51015</t>
  </si>
  <si>
    <t xml:space="preserve">LS-51084</t>
  </si>
  <si>
    <t xml:space="preserve">LS-51056</t>
  </si>
  <si>
    <t xml:space="preserve">LS-51018</t>
  </si>
  <si>
    <t xml:space="preserve">LS-51109</t>
  </si>
  <si>
    <t xml:space="preserve">LS-51077</t>
  </si>
  <si>
    <t xml:space="preserve">LS-51105</t>
  </si>
  <si>
    <t xml:space="preserve">LS-51097</t>
  </si>
  <si>
    <t xml:space="preserve">LS-51017</t>
  </si>
  <si>
    <t xml:space="preserve">LS-51103</t>
  </si>
  <si>
    <t xml:space="preserve">LS-51013</t>
  </si>
  <si>
    <t xml:space="preserve">LS-51050</t>
  </si>
  <si>
    <t xml:space="preserve">LS-51091</t>
  </si>
  <si>
    <t xml:space="preserve">LS-51062</t>
  </si>
  <si>
    <t xml:space="preserve">LS-51003</t>
  </si>
  <si>
    <t xml:space="preserve">LS-51034</t>
  </si>
  <si>
    <t xml:space="preserve">LS-51068</t>
  </si>
  <si>
    <t xml:space="preserve">LS-51095</t>
  </si>
  <si>
    <t xml:space="preserve">LS-51027</t>
  </si>
  <si>
    <t xml:space="preserve">LS-51069</t>
  </si>
  <si>
    <t xml:space="preserve">LS-51030</t>
  </si>
  <si>
    <t xml:space="preserve">LS-51106</t>
  </si>
  <si>
    <t xml:space="preserve">LS-51061</t>
  </si>
  <si>
    <t xml:space="preserve">LS-51079</t>
  </si>
  <si>
    <t xml:space="preserve">LS-51085</t>
  </si>
  <si>
    <t xml:space="preserve">LS-51031</t>
  </si>
  <si>
    <t xml:space="preserve">LS-51076</t>
  </si>
  <si>
    <t xml:space="preserve">LS-51093</t>
  </si>
  <si>
    <t xml:space="preserve">LS-51023</t>
  </si>
  <si>
    <t xml:space="preserve">LS-51108</t>
  </si>
  <si>
    <t xml:space="preserve">LS-51048</t>
  </si>
  <si>
    <t xml:space="preserve">LS-51035</t>
  </si>
  <si>
    <t xml:space="preserve">LS-51039</t>
  </si>
  <si>
    <t xml:space="preserve">LS-51036</t>
  </si>
  <si>
    <t xml:space="preserve">LS-51011</t>
  </si>
  <si>
    <t xml:space="preserve">LS-51074</t>
  </si>
  <si>
    <t xml:space="preserve">LS-51052</t>
  </si>
  <si>
    <t xml:space="preserve">LS-51096</t>
  </si>
  <si>
    <t xml:space="preserve">LS-51053</t>
  </si>
  <si>
    <t xml:space="preserve">LS-51067</t>
  </si>
  <si>
    <t xml:space="preserve">LS-51075</t>
  </si>
  <si>
    <t xml:space="preserve">LS-51004</t>
  </si>
  <si>
    <t xml:space="preserve">LS-51055</t>
  </si>
  <si>
    <t xml:space="preserve">LS-51054</t>
  </si>
  <si>
    <t xml:space="preserve">LS-51000</t>
  </si>
  <si>
    <t xml:space="preserve">LS-51012</t>
  </si>
  <si>
    <t xml:space="preserve">LS-51098</t>
  </si>
  <si>
    <t xml:space="preserve">LS-51101</t>
  </si>
  <si>
    <t xml:space="preserve">LS-51040</t>
  </si>
  <si>
    <t xml:space="preserve">LS-51082</t>
  </si>
  <si>
    <t xml:space="preserve">LS-51059</t>
  </si>
  <si>
    <t xml:space="preserve">LS-51088</t>
  </si>
  <si>
    <t xml:space="preserve">LS-51009</t>
  </si>
  <si>
    <t xml:space="preserve">LS-51029</t>
  </si>
  <si>
    <t xml:space="preserve">LS-51099</t>
  </si>
  <si>
    <t xml:space="preserve">LS-51022</t>
  </si>
  <si>
    <t xml:space="preserve">LS-51072</t>
  </si>
  <si>
    <t xml:space="preserve">LS-51038</t>
  </si>
  <si>
    <t xml:space="preserve">LS-51042</t>
  </si>
  <si>
    <t xml:space="preserve">LS-51078</t>
  </si>
  <si>
    <t xml:space="preserve">LS-51028</t>
  </si>
  <si>
    <t xml:space="preserve">LS-51102</t>
  </si>
  <si>
    <t xml:space="preserve">LS-51001</t>
  </si>
  <si>
    <t xml:space="preserve">LS-51032</t>
  </si>
  <si>
    <t xml:space="preserve">LS-51087</t>
  </si>
  <si>
    <t xml:space="preserve">LS-51092</t>
  </si>
  <si>
    <t xml:space="preserve">LS-51043</t>
  </si>
  <si>
    <t xml:space="preserve">LS-51071</t>
  </si>
  <si>
    <t xml:space="preserve">LS-51065</t>
  </si>
  <si>
    <t xml:space="preserve">LS-51046</t>
  </si>
  <si>
    <t xml:space="preserve">LS-51083</t>
  </si>
  <si>
    <t xml:space="preserve">LS-51037</t>
  </si>
  <si>
    <t xml:space="preserve">LS-51020</t>
  </si>
  <si>
    <t xml:space="preserve">LS-51089</t>
  </si>
  <si>
    <t xml:space="preserve">LS-51008</t>
  </si>
  <si>
    <t xml:space="preserve">LS-51016</t>
  </si>
  <si>
    <t xml:space="preserve">LS-51057</t>
  </si>
  <si>
    <t xml:space="preserve">LS-51045</t>
  </si>
  <si>
    <t xml:space="preserve">LS-51070</t>
  </si>
  <si>
    <t xml:space="preserve">LS-51066</t>
  </si>
  <si>
    <t xml:space="preserve">LS-51006</t>
  </si>
  <si>
    <t xml:space="preserve">LS-51073</t>
  </si>
  <si>
    <t xml:space="preserve">LS-51058</t>
  </si>
  <si>
    <t xml:space="preserve">LS-51107</t>
  </si>
  <si>
    <t xml:space="preserve">LS-51005</t>
  </si>
  <si>
    <t xml:space="preserve">LS-51081</t>
  </si>
  <si>
    <t xml:space="preserve">LS-51064</t>
  </si>
  <si>
    <t xml:space="preserve">LS-51100</t>
  </si>
  <si>
    <t xml:space="preserve">LS-51063</t>
  </si>
  <si>
    <t xml:space="preserve">LS-51047</t>
  </si>
  <si>
    <t xml:space="preserve">Zoning rules (DUMMY)</t>
  </si>
  <si>
    <t xml:space="preserve">Synthetic rules for the demo, not actual Riyadh regulations.</t>
  </si>
  <si>
    <t xml:space="preserve">Description</t>
  </si>
  <si>
    <t xml:space="preserve">Max FAR</t>
  </si>
  <si>
    <t xml:space="preserve">Max site coverage</t>
  </si>
  <si>
    <t xml:space="preserve">Parking per residential unit</t>
  </si>
  <si>
    <t xml:space="preserve">Retail sqm per parking space</t>
  </si>
  <si>
    <t xml:space="preserve">Permitted uses</t>
  </si>
  <si>
    <t xml:space="preserve">C-MU1</t>
  </si>
  <si>
    <t xml:space="preserve">Mixed-use, commercial corridor</t>
  </si>
  <si>
    <t xml:space="preserve">Residential, retail, office</t>
  </si>
  <si>
    <t xml:space="preserve">C-MU2</t>
  </si>
  <si>
    <t xml:space="preserve">Mixed-use, high density</t>
  </si>
  <si>
    <t xml:space="preserve">Residential, retail, office, hotel</t>
  </si>
  <si>
    <t xml:space="preserve">C-2</t>
  </si>
  <si>
    <t xml:space="preserve">Commercial</t>
  </si>
  <si>
    <t xml:space="preserve">Retail, office</t>
  </si>
  <si>
    <t xml:space="preserve">R-3</t>
  </si>
  <si>
    <t xml:space="preserve">Residential, medium density</t>
  </si>
  <si>
    <t xml:space="preserve">R-2</t>
  </si>
  <si>
    <t xml:space="preserve">Residential, villas</t>
  </si>
  <si>
    <t xml:space="preserve">Plots (DUMMY)</t>
  </si>
  <si>
    <t xml:space="preserve">Synthetic plot register. NRJ-0417 is the demo site.</t>
  </si>
  <si>
    <t xml:space="preserve">Frontage (m)</t>
  </si>
  <si>
    <t xml:space="preserve">Depth (m)</t>
  </si>
  <si>
    <t xml:space="preserve">Street width (m)</t>
  </si>
  <si>
    <t xml:space="preserve">Max GFA (sqm)</t>
  </si>
  <si>
    <t xml:space="preserve">Note</t>
  </si>
  <si>
    <t xml:space="preserve">Subject site (Al Narjis Mixed-Use)</t>
  </si>
  <si>
    <t xml:space="preserve">NRJ-0422</t>
  </si>
  <si>
    <t xml:space="preserve">NRJ-0510</t>
  </si>
  <si>
    <t xml:space="preserve">NRJ-0588</t>
  </si>
  <si>
    <t xml:space="preserve">YSM-0231</t>
  </si>
  <si>
    <t xml:space="preserve">MLQ-0109</t>
  </si>
  <si>
    <t xml:space="preserve">ARD-0340</t>
  </si>
  <si>
    <t xml:space="preserve">HTN-0077</t>
  </si>
  <si>
    <t xml:space="preserve">Outlook inbox sample (DUMMY)</t>
  </si>
  <si>
    <t xml:space="preserve">Synthetic emails. The agent extracts the proposed assumption change and cites the quote.</t>
  </si>
  <si>
    <t xml:space="preserve">Received</t>
  </si>
  <si>
    <t xml:space="preserve">From</t>
  </si>
  <si>
    <t xml:space="preserve">Address</t>
  </si>
  <si>
    <t xml:space="preserve">Subject</t>
  </si>
  <si>
    <t xml:space="preserve">Body</t>
  </si>
  <si>
    <t xml:space="preserve">Assumption</t>
  </si>
  <si>
    <t xml:space="preserve">Proposed change</t>
  </si>
  <si>
    <t xml:space="preserve">Quote used</t>
  </si>
  <si>
    <t xml:space="preserve">Confidence</t>
  </si>
  <si>
    <t xml:space="preserve">2026-09-27 08:14</t>
  </si>
  <si>
    <t xml:space="preserve">Omar H. · Project Manager</t>
  </si>
  <si>
    <t xml:space="preserve">omar.h@kinan.example</t>
  </si>
  <si>
    <t xml:space="preserve">Programme update: approvals slipping</t>
  </si>
  <si>
    <t xml:space="preserve">Municipality comments on the building permit came back on Thursday. Resubmission plus review adds roughly 3 months. Construction start moves from Jan to Apr 2027. Handover follows.</t>
  </si>
  <si>
    <t xml:space="preserve">Delay (months)</t>
  </si>
  <si>
    <t xml:space="preserve">adds roughly 3 months</t>
  </si>
  <si>
    <t xml:space="preserve">2026-09-25 16:02</t>
  </si>
  <si>
    <t xml:space="preserve">Layla S. · Debt Advisory, Gulf Bank (dummy)</t>
  </si>
  <si>
    <t xml:space="preserve">l.s@bank.example</t>
  </si>
  <si>
    <t xml:space="preserve">Indicative term sheet: Al Narjis construction facility</t>
  </si>
  <si>
    <t xml:space="preserve">Please find the indicative terms: 50% loan-to-cost, pricing SAIBOR + 250 bps, which today is c. 9.0% all-in. Subject to credit approval.</t>
  </si>
  <si>
    <t xml:space="preserve">Interest rate (pp)</t>
  </si>
  <si>
    <t xml:space="preserve">c. 9.0% all-in</t>
  </si>
  <si>
    <t xml:space="preserve">(same email)</t>
  </si>
  <si>
    <t xml:space="preserve">Leverage LTC (pp)</t>
  </si>
  <si>
    <t xml:space="preserve">50% loan-to-cost</t>
  </si>
  <si>
    <t xml:space="preserve">2026-09-22 11:40</t>
  </si>
  <si>
    <t xml:space="preserve">Sara K. · Cost Consultant (QS)</t>
  </si>
  <si>
    <t xml:space="preserve">sara.k@qs.example</t>
  </si>
  <si>
    <t xml:space="preserve">Tender returns: podium and tower</t>
  </si>
  <si>
    <t xml:space="preserve">Three tenders received. The lowest compliant bid is 8% above the cost plan, driven by steel and MEP. We recommend carrying SAR 5,620/sqm GFA in the feasibility.</t>
  </si>
  <si>
    <t xml:space="preserve">Construction cost (%)</t>
  </si>
  <si>
    <t xml:space="preserve">carrying SAR 5,620/sqm</t>
  </si>
  <si>
    <t xml:space="preserve">2026-09-18 09:05</t>
  </si>
  <si>
    <t xml:space="preserve">Faisal A. · Sales Director</t>
  </si>
  <si>
    <t xml:space="preserve">faisal.a@kinan.example</t>
  </si>
  <si>
    <t xml:space="preserve">Off-plan launch pricing</t>
  </si>
  <si>
    <t xml:space="preserve">Two competing launches in Al Narjis opened at 12,600 to 12,900 SAR/sqm. I suggest we launch at 12,800 and hold the premium for the top floors.</t>
  </si>
  <si>
    <t xml:space="preserve">Sale price (%)</t>
  </si>
  <si>
    <t xml:space="preserve">launch at 12,800</t>
  </si>
  <si>
    <t xml:space="preserve">2026-09-15 14:30</t>
  </si>
  <si>
    <t xml:space="preserve">Dana M. · Planning Consultant</t>
  </si>
  <si>
    <t xml:space="preserve">dana.m@planning.example</t>
  </si>
  <si>
    <t xml:space="preserve">Pre-application feedback, plot NRJ-0417</t>
  </si>
  <si>
    <t xml:space="preserve">The authority confirmed FAR 3.0 with no bonus for the public plaza. The scheme must come down to 60,000 sqm GFA. Setbacks and height are fine.</t>
  </si>
  <si>
    <t xml:space="preserve">Buildable area (%)</t>
  </si>
  <si>
    <t xml:space="preserve">come down to 60,000 sqm GFA</t>
  </si>
  <si>
    <t xml:space="preserve">2026-09-10 17:20</t>
  </si>
  <si>
    <t xml:space="preserve">Khalid R. · Leasing Agent</t>
  </si>
  <si>
    <t xml:space="preserve">khalid.r@leasing.example</t>
  </si>
  <si>
    <t xml:space="preserve">Anchor LOI for the podium</t>
  </si>
  <si>
    <t xml:space="preserve">Supermarket anchor has signed an LOI for 2,400 sqm at SAR 2,300/sqm/yr, 10-year term. Line shops should follow at similar levels.</t>
  </si>
  <si>
    <t xml:space="preserve">Retail rent (%)</t>
  </si>
  <si>
    <t xml:space="preserve">SAR 2,300/sqm/yr</t>
  </si>
  <si>
    <t xml:space="preserve">2026-09-09 10:00</t>
  </si>
  <si>
    <t xml:space="preserve">HR · KINAN</t>
  </si>
  <si>
    <t xml:space="preserve">hr@kinan.example</t>
  </si>
  <si>
    <t xml:space="preserve">Team offsite logistics</t>
  </si>
  <si>
    <t xml:space="preserve">Buses leave at 7:30 from the head office. Please confirm dietary requirements by Sunday.</t>
  </si>
  <si>
    <t xml:space="preserve">No assumption content: ignored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</si>
</sst>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yyyy\-mm\-dd"/>
    <numFmt numFmtId="166" formatCode="0"/>
    <numFmt numFmtId="167" formatCode="#,##0"/>
    <numFmt numFmtId="168" formatCode="0%"/>
    <numFmt numFmtId="169" formatCode="\+0.0%;\-0.0%;\-"/>
    <numFmt numFmtId="170" formatCode="0.00"/>
    <numFmt numFmtId="171" formatCode="#,##0&quot; sqm GFA&quot;;\-#,##0&quot; sqm GFA&quot;;\-"/>
    <numFmt numFmtId="172" formatCode="#,##0&quot; sqm&quot;;\-#,##0&quot; sqm&quot;;\-"/>
    <numFmt numFmtId="173" formatCode="0&quot; m&quot;;\-0&quot; m&quot;;\-"/>
    <numFmt numFmtId="174" formatCode="0&quot; floors&quot;;\-0&quot; floors&quot;;\-"/>
    <numFmt numFmtId="175" formatCode="0&quot; spaces&quot;;\-0&quot; spaces&quot;;\-"/>
    <numFmt numFmtId="176" formatCode="0.0"/>
    <numFmt numFmtId="17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91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919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091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0919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/>
      <c r="B12" s="4"/>
    </row>
    <row r="13" customFormat="false" ht="15" hidden="false" customHeight="false" outlineLevel="0" collapsed="false">
      <c r="A13" s="3" t="s">
        <v>18</v>
      </c>
      <c r="B13" s="4"/>
    </row>
    <row r="14" customFormat="false" ht="15" hidden="false" customHeight="false" outlineLevel="0" collapsed="false">
      <c r="A14" s="5" t="s">
        <v>19</v>
      </c>
      <c r="B14" s="4" t="s">
        <v>20</v>
      </c>
    </row>
    <row r="15" customFormat="false" ht="15" hidden="false" customHeight="false" outlineLevel="0" collapsed="false">
      <c r="A15" s="4" t="s">
        <v>21</v>
      </c>
      <c r="B15" s="4" t="s">
        <v>22</v>
      </c>
    </row>
    <row r="16" customFormat="false" ht="15" hidden="false" customHeight="false" outlineLevel="0" collapsed="false">
      <c r="A16" s="6" t="s">
        <v>23</v>
      </c>
      <c r="B16" s="4" t="s">
        <v>24</v>
      </c>
    </row>
    <row r="17" customFormat="false" ht="15" hidden="false" customHeight="false" outlineLevel="0" collapsed="false">
      <c r="A17" s="7" t="s">
        <v>25</v>
      </c>
      <c r="B17" s="4" t="s">
        <v>26</v>
      </c>
    </row>
    <row r="18" customFormat="false" ht="15" hidden="false" customHeight="false" outlineLevel="0" collapsed="false">
      <c r="A18" s="4"/>
      <c r="B18" s="4"/>
    </row>
    <row r="19" customFormat="false" ht="15" hidden="false" customHeight="false" outlineLevel="0" collapsed="false">
      <c r="A19" s="4" t="s">
        <v>27</v>
      </c>
      <c r="B19" s="4" t="s">
        <v>28</v>
      </c>
    </row>
    <row r="20" customFormat="false" ht="15" hidden="false" customHeight="false" outlineLevel="0" collapsed="false">
      <c r="A20" s="4" t="s">
        <v>29</v>
      </c>
      <c r="B20" s="4" t="s">
        <v>30</v>
      </c>
    </row>
    <row r="21" customFormat="false" ht="15" hidden="false" customHeight="false" outlineLevel="0" collapsed="false">
      <c r="A21" s="4" t="s">
        <v>31</v>
      </c>
      <c r="B21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8" min="3" style="0" width="16"/>
  </cols>
  <sheetData>
    <row r="1" customFormat="false" ht="19.7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B4" s="3" t="s">
        <v>35</v>
      </c>
    </row>
    <row r="5" customFormat="false" ht="15" hidden="false" customHeight="false" outlineLevel="0" collapsed="false">
      <c r="B5" s="4" t="s">
        <v>36</v>
      </c>
      <c r="C5" s="8" t="s">
        <v>37</v>
      </c>
      <c r="D5" s="9" t="s">
        <v>38</v>
      </c>
    </row>
    <row r="6" customFormat="false" ht="15" hidden="false" customHeight="false" outlineLevel="0" collapsed="false">
      <c r="B6" s="4" t="s">
        <v>29</v>
      </c>
      <c r="C6" s="10" t="n">
        <v>46294</v>
      </c>
    </row>
    <row r="7" customFormat="false" ht="15" hidden="false" customHeight="false" outlineLevel="0" collapsed="false">
      <c r="B7" s="4" t="s">
        <v>39</v>
      </c>
      <c r="C7" s="11" t="n">
        <v>12</v>
      </c>
    </row>
    <row r="8" customFormat="false" ht="15" hidden="false" customHeight="false" outlineLevel="0" collapsed="false">
      <c r="B8" s="4" t="s">
        <v>40</v>
      </c>
      <c r="C8" s="8" t="s">
        <v>41</v>
      </c>
      <c r="D8" s="9" t="s">
        <v>42</v>
      </c>
    </row>
    <row r="9" customFormat="false" ht="15" hidden="false" customHeight="false" outlineLevel="0" collapsed="false">
      <c r="B9" s="4" t="s">
        <v>43</v>
      </c>
      <c r="C9" s="4" t="n">
        <f aca="false">MATCH(C5,{"Al Narjis","Al Narjis + adjacent","North Riyadh"},0)</f>
        <v>2</v>
      </c>
    </row>
    <row r="11" customFormat="false" ht="15" hidden="false" customHeight="false" outlineLevel="0" collapsed="false">
      <c r="B11" s="3" t="s">
        <v>44</v>
      </c>
    </row>
    <row r="12" customFormat="false" ht="15" hidden="false" customHeight="false" outlineLevel="0" collapsed="false">
      <c r="B12" s="0" t="s">
        <v>45</v>
      </c>
      <c r="C12" s="12" t="n">
        <v>13500</v>
      </c>
      <c r="D12" s="9" t="s">
        <v>46</v>
      </c>
    </row>
    <row r="13" customFormat="false" ht="15" hidden="false" customHeight="false" outlineLevel="0" collapsed="false">
      <c r="B13" s="0" t="s">
        <v>47</v>
      </c>
      <c r="C13" s="12" t="n">
        <v>2400</v>
      </c>
    </row>
    <row r="15" customFormat="false" ht="15" hidden="false" customHeight="false" outlineLevel="0" collapsed="false">
      <c r="B15" s="13" t="s">
        <v>48</v>
      </c>
      <c r="C15" s="13" t="s">
        <v>49</v>
      </c>
      <c r="D15" s="13" t="s">
        <v>50</v>
      </c>
      <c r="E15" s="13" t="s">
        <v>51</v>
      </c>
      <c r="F15" s="13" t="s">
        <v>52</v>
      </c>
      <c r="G15" s="13" t="s">
        <v>53</v>
      </c>
      <c r="H15" s="13" t="s">
        <v>54</v>
      </c>
    </row>
    <row r="16" customFormat="false" ht="15" hidden="false" customHeight="false" outlineLevel="0" collapsed="false">
      <c r="B16" s="4" t="s">
        <v>45</v>
      </c>
      <c r="C16" s="6" t="n">
        <f aca="false">COUNT(Transactions!$M$5:$M$164)</f>
        <v>57</v>
      </c>
      <c r="D16" s="14" t="n">
        <f aca="false">IFERROR(PERCENTILE(Transactions!$M$5:$M$164,0.1),0)</f>
        <v>11121.5833701902</v>
      </c>
      <c r="E16" s="14" t="n">
        <f aca="false">IFERROR(PERCENTILE(Transactions!$M$5:$M$164,0.25),0)</f>
        <v>11778.2608695652</v>
      </c>
      <c r="F16" s="14" t="n">
        <f aca="false">IFERROR(PERCENTILE(Transactions!$M$5:$M$164,0.5),0)</f>
        <v>12255.4744525547</v>
      </c>
      <c r="G16" s="14" t="n">
        <f aca="false">IFERROR(PERCENTILE(Transactions!$M$5:$M$164,0.75),0)</f>
        <v>12625.8503401361</v>
      </c>
      <c r="H16" s="14" t="n">
        <f aca="false">IFERROR(PERCENTILE(Transactions!$M$5:$M$164,0.9),0)</f>
        <v>13123.835496891</v>
      </c>
    </row>
    <row r="17" customFormat="false" ht="15" hidden="false" customHeight="false" outlineLevel="0" collapsed="false">
      <c r="B17" s="4" t="s">
        <v>47</v>
      </c>
      <c r="C17" s="6" t="n">
        <f aca="false">COUNT(Rentals!$M$5:$M$114)</f>
        <v>23</v>
      </c>
      <c r="D17" s="14" t="n">
        <f aca="false">IFERROR(PERCENTILE(Rentals!$M$5:$M$114,0.1),0)</f>
        <v>2071.82484076433</v>
      </c>
      <c r="E17" s="14" t="n">
        <f aca="false">IFERROR(PERCENTILE(Rentals!$M$5:$M$114,0.25),0)</f>
        <v>2116.46587735697</v>
      </c>
      <c r="F17" s="14" t="n">
        <f aca="false">IFERROR(PERCENTILE(Rentals!$M$5:$M$114,0.5),0)</f>
        <v>2272.53521126761</v>
      </c>
      <c r="G17" s="14" t="n">
        <f aca="false">IFERROR(PERCENTILE(Rentals!$M$5:$M$114,0.75),0)</f>
        <v>2404.58459450997</v>
      </c>
      <c r="H17" s="14" t="n">
        <f aca="false">IFERROR(PERCENTILE(Rentals!$M$5:$M$114,0.9),0)</f>
        <v>2521.86997360182</v>
      </c>
    </row>
    <row r="19" customFormat="false" ht="15" hidden="false" customHeight="false" outlineLevel="0" collapsed="false">
      <c r="B19" s="13" t="s">
        <v>55</v>
      </c>
      <c r="C19" s="13" t="s">
        <v>56</v>
      </c>
      <c r="D19" s="13" t="s">
        <v>57</v>
      </c>
      <c r="E19" s="13" t="s">
        <v>58</v>
      </c>
      <c r="F19" s="13" t="s">
        <v>59</v>
      </c>
    </row>
    <row r="20" customFormat="false" ht="15" hidden="false" customHeight="false" outlineLevel="0" collapsed="false">
      <c r="B20" s="4" t="str">
        <f aca="false">B16</f>
        <v>Residential sale price (SAR/sqm)</v>
      </c>
      <c r="C20" s="15" t="n">
        <f aca="false">C12</f>
        <v>13500</v>
      </c>
      <c r="D20" s="16" t="n">
        <f aca="false">IF(C16&gt;0,COUNTIF(Transactions!$M$5:$M$164,"&lt;"&amp;C20)/C16,0)</f>
        <v>0.964912280701754</v>
      </c>
      <c r="E20" s="3" t="str">
        <f aca="false">IF(OR(D20&gt;=0.9,D20&lt;=0.1),"Outside range",IF(OR(D20&gt;0.75,D20&lt;0.25),"Stretched","In range"))</f>
        <v>Outside range</v>
      </c>
      <c r="F20" s="17" t="n">
        <f aca="false">IF(F16&gt;0,C20/F16-1,0)</f>
        <v>0.101548540798094</v>
      </c>
    </row>
    <row r="21" customFormat="false" ht="15" hidden="false" customHeight="false" outlineLevel="0" collapsed="false">
      <c r="B21" s="4" t="str">
        <f aca="false">B17</f>
        <v>Retail rent (SAR/sqm/yr)</v>
      </c>
      <c r="C21" s="15" t="n">
        <f aca="false">C13</f>
        <v>2400</v>
      </c>
      <c r="D21" s="16" t="n">
        <f aca="false">IF(C17&gt;0,COUNTIF(Rentals!$M$5:$M$114,"&lt;"&amp;C21)/C17,0)</f>
        <v>0.739130434782609</v>
      </c>
      <c r="E21" s="3" t="str">
        <f aca="false">IF(OR(D21&gt;=0.9,D21&lt;=0.1),"Outside range",IF(OR(D21&gt;0.75,D21&lt;0.25),"Stretched","In range"))</f>
        <v>In range</v>
      </c>
      <c r="F21" s="17" t="n">
        <f aca="false">IF(F17&gt;0,C21/F17-1,0)</f>
        <v>0.0560892469786181</v>
      </c>
    </row>
    <row r="23" customFormat="false" ht="15" hidden="false" customHeight="false" outlineLevel="0" collapsed="false">
      <c r="B23" s="9" t="s">
        <v>60</v>
      </c>
    </row>
  </sheetData>
  <dataValidations count="3">
    <dataValidation allowBlank="false" errorStyle="stop" operator="between" showDropDown="false" showErrorMessage="false" showInputMessage="false" sqref="C5" type="list">
      <formula1>"Al Narjis,Al Narjis + adjacent,North Riyadh"</formula1>
      <formula2>0</formula2>
    </dataValidation>
    <dataValidation allowBlank="false" errorStyle="stop" operator="between" showDropDown="false" showErrorMessage="false" showInputMessage="false" sqref="C8" type="list">
      <formula1>"All,Apartment,Townhouse,Duplex"</formula1>
      <formula2>0</formula2>
    </dataValidation>
    <dataValidation allowBlank="false" errorStyle="stop" operator="between" showDropDown="false" showErrorMessage="false" showInputMessage="false" sqref="C7" type="list">
      <formula1>"6,12,18,24"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8"/>
  </cols>
  <sheetData>
    <row r="1" customFormat="false" ht="19.7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B4" s="3" t="s">
        <v>63</v>
      </c>
    </row>
    <row r="5" customFormat="false" ht="15" hidden="false" customHeight="false" outlineLevel="0" collapsed="false">
      <c r="B5" s="0" t="s">
        <v>64</v>
      </c>
      <c r="C5" s="8" t="s">
        <v>65</v>
      </c>
    </row>
    <row r="6" customFormat="false" ht="15" hidden="false" customHeight="false" outlineLevel="0" collapsed="false">
      <c r="B6" s="4" t="s">
        <v>66</v>
      </c>
      <c r="C6" s="6" t="str">
        <f aca="false">INDEX(Plots!$B$5:$B$12,MATCH($C$5,Plots!$A$5:$A$12,0))</f>
        <v>Al Narjis</v>
      </c>
    </row>
    <row r="7" customFormat="false" ht="15" hidden="false" customHeight="false" outlineLevel="0" collapsed="false">
      <c r="B7" s="4" t="s">
        <v>67</v>
      </c>
      <c r="C7" s="6" t="str">
        <f aca="false">INDEX(Plots!$C$5:$C$12,MATCH($C$5,Plots!$A$5:$A$12,0))</f>
        <v>C-MU1</v>
      </c>
    </row>
    <row r="8" customFormat="false" ht="15" hidden="false" customHeight="false" outlineLevel="0" collapsed="false">
      <c r="B8" s="4" t="s">
        <v>68</v>
      </c>
      <c r="C8" s="14" t="n">
        <f aca="false">INDEX(Plots!$D$5:$D$12,MATCH($C$5,Plots!$A$5:$A$12,0))</f>
        <v>20000</v>
      </c>
    </row>
    <row r="9" customFormat="false" ht="15" hidden="false" customHeight="false" outlineLevel="0" collapsed="false">
      <c r="B9" s="4" t="s">
        <v>69</v>
      </c>
      <c r="C9" s="6" t="str">
        <f aca="false">INDEX(Plots!$E$5:$E$12,MATCH($C$5,Plots!$A$5:$A$12,0))&amp;" x "&amp;INDEX(Plots!$F$5:$F$12,MATCH($C$5,Plots!$A$5:$A$12,0))</f>
        <v>200 x 100</v>
      </c>
    </row>
    <row r="10" customFormat="false" ht="15" hidden="false" customHeight="false" outlineLevel="0" collapsed="false">
      <c r="B10" s="4" t="s">
        <v>70</v>
      </c>
      <c r="C10" s="6" t="str">
        <f aca="false">INDEX('Zoning rules'!$B$5:$B$9,MATCH($C$7,'Zoning rules'!$A$5:$A$9,0))</f>
        <v>Mixed-use, commercial corridor</v>
      </c>
    </row>
    <row r="12" customFormat="false" ht="15" hidden="false" customHeight="false" outlineLevel="0" collapsed="false">
      <c r="B12" s="3" t="s">
        <v>71</v>
      </c>
    </row>
    <row r="13" customFormat="false" ht="15" hidden="false" customHeight="false" outlineLevel="0" collapsed="false">
      <c r="B13" s="4" t="s">
        <v>72</v>
      </c>
      <c r="C13" s="18" t="n">
        <v>62000</v>
      </c>
    </row>
    <row r="14" customFormat="false" ht="15" hidden="false" customHeight="false" outlineLevel="0" collapsed="false">
      <c r="B14" s="4" t="s">
        <v>73</v>
      </c>
      <c r="C14" s="18" t="n">
        <v>11400</v>
      </c>
    </row>
    <row r="15" customFormat="false" ht="15" hidden="false" customHeight="false" outlineLevel="0" collapsed="false">
      <c r="B15" s="4" t="s">
        <v>74</v>
      </c>
      <c r="C15" s="19" t="n">
        <v>11</v>
      </c>
    </row>
    <row r="16" customFormat="false" ht="15" hidden="false" customHeight="false" outlineLevel="0" collapsed="false">
      <c r="B16" s="4" t="s">
        <v>75</v>
      </c>
      <c r="C16" s="19" t="n">
        <v>14</v>
      </c>
    </row>
    <row r="17" customFormat="false" ht="15" hidden="false" customHeight="false" outlineLevel="0" collapsed="false">
      <c r="B17" s="4" t="s">
        <v>76</v>
      </c>
      <c r="C17" s="19" t="n">
        <v>25</v>
      </c>
    </row>
    <row r="18" customFormat="false" ht="15" hidden="false" customHeight="false" outlineLevel="0" collapsed="false">
      <c r="B18" s="4" t="s">
        <v>77</v>
      </c>
      <c r="C18" s="19" t="n">
        <v>10</v>
      </c>
    </row>
    <row r="19" customFormat="false" ht="15" hidden="false" customHeight="false" outlineLevel="0" collapsed="false">
      <c r="B19" s="4" t="s">
        <v>78</v>
      </c>
      <c r="C19" s="18" t="n">
        <v>30000</v>
      </c>
    </row>
    <row r="20" customFormat="false" ht="15" hidden="false" customHeight="false" outlineLevel="0" collapsed="false">
      <c r="B20" s="4" t="s">
        <v>79</v>
      </c>
      <c r="C20" s="19" t="n">
        <v>140</v>
      </c>
    </row>
    <row r="21" customFormat="false" ht="15" hidden="false" customHeight="false" outlineLevel="0" collapsed="false">
      <c r="B21" s="4" t="s">
        <v>80</v>
      </c>
      <c r="C21" s="18" t="n">
        <v>12000</v>
      </c>
    </row>
    <row r="22" customFormat="false" ht="15" hidden="false" customHeight="false" outlineLevel="0" collapsed="false">
      <c r="B22" s="4" t="s">
        <v>81</v>
      </c>
      <c r="C22" s="19" t="n">
        <v>620</v>
      </c>
    </row>
    <row r="24" customFormat="false" ht="15" hidden="false" customHeight="false" outlineLevel="0" collapsed="false">
      <c r="B24" s="13" t="s">
        <v>82</v>
      </c>
      <c r="C24" s="13" t="s">
        <v>83</v>
      </c>
      <c r="D24" s="13" t="s">
        <v>84</v>
      </c>
      <c r="E24" s="13" t="s">
        <v>58</v>
      </c>
      <c r="F24" s="13" t="s">
        <v>85</v>
      </c>
    </row>
    <row r="25" customFormat="false" ht="15" hidden="false" customHeight="false" outlineLevel="0" collapsed="false">
      <c r="B25" s="4" t="s">
        <v>86</v>
      </c>
      <c r="C25" s="20" t="n">
        <f aca="false">INDEX('Zoning rules'!$C$5:$C$9,MATCH($C$7,'Zoning rules'!$A$5:$A$9,0))</f>
        <v>3</v>
      </c>
      <c r="D25" s="21" t="n">
        <f aca="false">C13/C8</f>
        <v>3.1</v>
      </c>
      <c r="E25" s="3" t="str">
        <f aca="false">IF(D25&lt;=C25+0.0001,"Compliant","Breach")</f>
        <v>Breach</v>
      </c>
      <c r="F25" s="22" t="n">
        <f aca="false">C25*C8-C13</f>
        <v>-2000</v>
      </c>
    </row>
    <row r="26" customFormat="false" ht="15" hidden="false" customHeight="false" outlineLevel="0" collapsed="false">
      <c r="B26" s="4" t="s">
        <v>87</v>
      </c>
      <c r="C26" s="16" t="n">
        <f aca="false">INDEX('Zoning rules'!$D$5:$D$9,MATCH($C$7,'Zoning rules'!$A$5:$A$9,0))</f>
        <v>0.6</v>
      </c>
      <c r="D26" s="23" t="n">
        <f aca="false">C14/C8</f>
        <v>0.57</v>
      </c>
      <c r="E26" s="3" t="str">
        <f aca="false">IF(D26&lt;=C26,"Compliant","Breach")</f>
        <v>Compliant</v>
      </c>
      <c r="F26" s="24" t="n">
        <f aca="false">C26*C8-C14</f>
        <v>600</v>
      </c>
    </row>
    <row r="27" customFormat="false" ht="15" hidden="false" customHeight="false" outlineLevel="0" collapsed="false">
      <c r="B27" s="4" t="s">
        <v>88</v>
      </c>
      <c r="C27" s="25" t="n">
        <f aca="false">INDEX('Zoning rules'!$E$5:$E$9,MATCH($C$7,'Zoning rules'!$A$5:$A$9,0))</f>
        <v>6</v>
      </c>
      <c r="D27" s="26" t="n">
        <f aca="false">C16</f>
        <v>14</v>
      </c>
      <c r="E27" s="3" t="str">
        <f aca="false">IF(D27&gt;=C27,"Compliant","Breach")</f>
        <v>Compliant</v>
      </c>
      <c r="F27" s="27" t="n">
        <f aca="false">D27-C27</f>
        <v>8</v>
      </c>
    </row>
    <row r="28" customFormat="false" ht="15" hidden="false" customHeight="false" outlineLevel="0" collapsed="false">
      <c r="B28" s="4" t="s">
        <v>89</v>
      </c>
      <c r="C28" s="25" t="n">
        <f aca="false">INDEX('Zoning rules'!$F$5:$F$9,MATCH($C$7,'Zoning rules'!$A$5:$A$9,0))</f>
        <v>3</v>
      </c>
      <c r="D28" s="26" t="n">
        <f aca="false">C17</f>
        <v>25</v>
      </c>
      <c r="E28" s="3" t="str">
        <f aca="false">IF(D28&gt;=C28,"Compliant","Breach")</f>
        <v>Compliant</v>
      </c>
      <c r="F28" s="27" t="n">
        <f aca="false">D28-C28</f>
        <v>22</v>
      </c>
    </row>
    <row r="29" customFormat="false" ht="15" hidden="false" customHeight="false" outlineLevel="0" collapsed="false">
      <c r="B29" s="4" t="s">
        <v>90</v>
      </c>
      <c r="C29" s="25" t="n">
        <f aca="false">INDEX('Zoning rules'!$G$5:$G$9,MATCH($C$7,'Zoning rules'!$A$5:$A$9,0))</f>
        <v>3</v>
      </c>
      <c r="D29" s="26" t="n">
        <f aca="false">C18</f>
        <v>10</v>
      </c>
      <c r="E29" s="3" t="str">
        <f aca="false">IF(D29&gt;=C29,"Compliant","Breach")</f>
        <v>Compliant</v>
      </c>
      <c r="F29" s="27" t="n">
        <f aca="false">D29-C29</f>
        <v>7</v>
      </c>
    </row>
    <row r="30" customFormat="false" ht="15" hidden="false" customHeight="false" outlineLevel="0" collapsed="false">
      <c r="B30" s="4" t="s">
        <v>91</v>
      </c>
      <c r="C30" s="25" t="n">
        <f aca="false">INDEX('Zoning rules'!$H$5:$H$9,MATCH($C$7,'Zoning rules'!$A$5:$A$9,0))</f>
        <v>12</v>
      </c>
      <c r="D30" s="26" t="n">
        <f aca="false">C15</f>
        <v>11</v>
      </c>
      <c r="E30" s="3" t="str">
        <f aca="false">IF(D30&lt;=C30,"Compliant","Breach")</f>
        <v>Compliant</v>
      </c>
      <c r="F30" s="28" t="n">
        <f aca="false">C30-D30</f>
        <v>1</v>
      </c>
    </row>
    <row r="31" customFormat="false" ht="15" hidden="false" customHeight="false" outlineLevel="0" collapsed="false">
      <c r="B31" s="4" t="s">
        <v>92</v>
      </c>
      <c r="C31" s="25" t="n">
        <f aca="false">ROUNDUP(C19/C20*INDEX('Zoning rules'!$I$5:$I$9,MATCH($C$7,'Zoning rules'!$A$5:$A$9,0))+IF(INDEX('Zoning rules'!$J$5:$J$9,MATCH($C$7,'Zoning rules'!$A$5:$A$9,0))&gt;0,C21/INDEX('Zoning rules'!$J$5:$J$9,MATCH($C$7,'Zoning rules'!$A$5:$A$9,0)),0),0)</f>
        <v>562</v>
      </c>
      <c r="D31" s="26" t="n">
        <f aca="false">C22</f>
        <v>620</v>
      </c>
      <c r="E31" s="3" t="str">
        <f aca="false">IF(D31&gt;=C31,"Compliant","Breach")</f>
        <v>Compliant</v>
      </c>
      <c r="F31" s="29" t="n">
        <f aca="false">D31-C31</f>
        <v>58</v>
      </c>
    </row>
    <row r="33" customFormat="false" ht="15" hidden="false" customHeight="false" outlineLevel="0" collapsed="false">
      <c r="B33" s="9" t="s">
        <v>93</v>
      </c>
    </row>
  </sheetData>
  <dataValidations count="1">
    <dataValidation allowBlank="false" errorStyle="stop" operator="between" showDropDown="false" showErrorMessage="false" showInputMessage="false" sqref="C5" type="list">
      <formula1>Plots!$A$5:$A$12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4"/>
  </cols>
  <sheetData>
    <row r="1" customFormat="false" ht="19.7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30" hidden="false" customHeight="true" outlineLevel="0" collapsed="false">
      <c r="A4" s="30" t="s">
        <v>96</v>
      </c>
      <c r="B4" s="30" t="s">
        <v>97</v>
      </c>
      <c r="C4" s="30" t="s">
        <v>66</v>
      </c>
      <c r="D4" s="30" t="s">
        <v>98</v>
      </c>
      <c r="E4" s="30" t="s">
        <v>40</v>
      </c>
      <c r="F4" s="30" t="s">
        <v>58</v>
      </c>
      <c r="G4" s="30" t="s">
        <v>99</v>
      </c>
      <c r="H4" s="30" t="s">
        <v>100</v>
      </c>
      <c r="I4" s="30" t="s">
        <v>101</v>
      </c>
      <c r="J4" s="30" t="s">
        <v>102</v>
      </c>
      <c r="K4" s="30" t="s">
        <v>103</v>
      </c>
      <c r="L4" s="30" t="s">
        <v>104</v>
      </c>
      <c r="M4" s="30" t="s">
        <v>105</v>
      </c>
    </row>
    <row r="5" customFormat="false" ht="15" hidden="false" customHeight="false" outlineLevel="0" collapsed="false">
      <c r="A5" s="31" t="s">
        <v>106</v>
      </c>
      <c r="B5" s="32" t="n">
        <v>46274</v>
      </c>
      <c r="C5" s="31" t="s">
        <v>107</v>
      </c>
      <c r="D5" s="31" t="n">
        <v>1</v>
      </c>
      <c r="E5" s="31" t="s">
        <v>108</v>
      </c>
      <c r="F5" s="31" t="s">
        <v>109</v>
      </c>
      <c r="G5" s="31" t="n">
        <v>8</v>
      </c>
      <c r="H5" s="31" t="n">
        <v>162</v>
      </c>
      <c r="I5" s="33" t="n">
        <v>1968000</v>
      </c>
      <c r="J5" s="34" t="n">
        <f aca="false">IF(H5&gt;0,I5/H5,0)</f>
        <v>12148.1481481481</v>
      </c>
      <c r="K5" s="35" t="n">
        <f aca="false">(Benchmarks!$C$6-B5)/30.44</f>
        <v>0.657030223390276</v>
      </c>
      <c r="L5" s="36" t="n">
        <f aca="false">IF(AND(D5&lt;=Benchmarks!$C$9,K5&lt;=Benchmarks!$C$7,OR(Benchmarks!$C$8="All",Benchmarks!$C$8=E5)),1,0)</f>
        <v>1</v>
      </c>
      <c r="M5" s="34" t="n">
        <f aca="false">IF(L5=1,J5,"")</f>
        <v>12148.1481481481</v>
      </c>
    </row>
    <row r="6" customFormat="false" ht="15" hidden="false" customHeight="false" outlineLevel="0" collapsed="false">
      <c r="A6" s="31" t="s">
        <v>110</v>
      </c>
      <c r="B6" s="32" t="n">
        <v>46271</v>
      </c>
      <c r="C6" s="31" t="s">
        <v>111</v>
      </c>
      <c r="D6" s="31" t="n">
        <v>3</v>
      </c>
      <c r="E6" s="31" t="s">
        <v>108</v>
      </c>
      <c r="F6" s="31" t="s">
        <v>109</v>
      </c>
      <c r="G6" s="31" t="n">
        <v>4</v>
      </c>
      <c r="H6" s="31" t="n">
        <v>163</v>
      </c>
      <c r="I6" s="33" t="n">
        <v>1984000</v>
      </c>
      <c r="J6" s="34" t="n">
        <f aca="false">IF(H6&gt;0,I6/H6,0)</f>
        <v>12171.7791411043</v>
      </c>
      <c r="K6" s="35" t="n">
        <f aca="false">(Benchmarks!$C$6-B6)/30.44</f>
        <v>0.755584756898817</v>
      </c>
      <c r="L6" s="36" t="n">
        <f aca="false">IF(AND(D6&lt;=Benchmarks!$C$9,K6&lt;=Benchmarks!$C$7,OR(Benchmarks!$C$8="All",Benchmarks!$C$8=E6)),1,0)</f>
        <v>0</v>
      </c>
      <c r="M6" s="34" t="str">
        <f aca="false">IF(L6=1,J6,"")</f>
        <v/>
      </c>
    </row>
    <row r="7" customFormat="false" ht="15" hidden="false" customHeight="false" outlineLevel="0" collapsed="false">
      <c r="A7" s="31" t="s">
        <v>112</v>
      </c>
      <c r="B7" s="32" t="n">
        <v>46269</v>
      </c>
      <c r="C7" s="31" t="s">
        <v>113</v>
      </c>
      <c r="D7" s="31" t="n">
        <v>2</v>
      </c>
      <c r="E7" s="31" t="s">
        <v>108</v>
      </c>
      <c r="F7" s="31" t="s">
        <v>109</v>
      </c>
      <c r="G7" s="31" t="n">
        <v>4</v>
      </c>
      <c r="H7" s="31" t="n">
        <v>122</v>
      </c>
      <c r="I7" s="33" t="n">
        <v>1388000</v>
      </c>
      <c r="J7" s="34" t="n">
        <f aca="false">IF(H7&gt;0,I7/H7,0)</f>
        <v>11377.0491803279</v>
      </c>
      <c r="K7" s="35" t="n">
        <f aca="false">(Benchmarks!$C$6-B7)/30.44</f>
        <v>0.821287779237845</v>
      </c>
      <c r="L7" s="36" t="n">
        <f aca="false">IF(AND(D7&lt;=Benchmarks!$C$9,K7&lt;=Benchmarks!$C$7,OR(Benchmarks!$C$8="All",Benchmarks!$C$8=E7)),1,0)</f>
        <v>1</v>
      </c>
      <c r="M7" s="34" t="n">
        <f aca="false">IF(L7=1,J7,"")</f>
        <v>11377.0491803279</v>
      </c>
    </row>
    <row r="8" customFormat="false" ht="15" hidden="false" customHeight="false" outlineLevel="0" collapsed="false">
      <c r="A8" s="31" t="s">
        <v>114</v>
      </c>
      <c r="B8" s="32" t="n">
        <v>46265</v>
      </c>
      <c r="C8" s="31" t="s">
        <v>111</v>
      </c>
      <c r="D8" s="31" t="n">
        <v>3</v>
      </c>
      <c r="E8" s="31" t="s">
        <v>108</v>
      </c>
      <c r="F8" s="31" t="s">
        <v>109</v>
      </c>
      <c r="G8" s="31" t="n">
        <v>8</v>
      </c>
      <c r="H8" s="31" t="n">
        <v>105</v>
      </c>
      <c r="I8" s="33" t="n">
        <v>1241000</v>
      </c>
      <c r="J8" s="34" t="n">
        <f aca="false">IF(H8&gt;0,I8/H8,0)</f>
        <v>11819.0476190476</v>
      </c>
      <c r="K8" s="35" t="n">
        <f aca="false">(Benchmarks!$C$6-B8)/30.44</f>
        <v>0.9526938239159</v>
      </c>
      <c r="L8" s="36" t="n">
        <f aca="false">IF(AND(D8&lt;=Benchmarks!$C$9,K8&lt;=Benchmarks!$C$7,OR(Benchmarks!$C$8="All",Benchmarks!$C$8=E8)),1,0)</f>
        <v>0</v>
      </c>
      <c r="M8" s="34" t="str">
        <f aca="false">IF(L8=1,J8,"")</f>
        <v/>
      </c>
    </row>
    <row r="9" customFormat="false" ht="15" hidden="false" customHeight="false" outlineLevel="0" collapsed="false">
      <c r="A9" s="31" t="s">
        <v>115</v>
      </c>
      <c r="B9" s="32" t="n">
        <v>46257</v>
      </c>
      <c r="C9" s="31" t="s">
        <v>113</v>
      </c>
      <c r="D9" s="31" t="n">
        <v>2</v>
      </c>
      <c r="E9" s="31" t="s">
        <v>116</v>
      </c>
      <c r="F9" s="31" t="s">
        <v>109</v>
      </c>
      <c r="G9" s="31" t="n">
        <v>0</v>
      </c>
      <c r="H9" s="31" t="n">
        <v>236</v>
      </c>
      <c r="I9" s="33" t="n">
        <v>2845000</v>
      </c>
      <c r="J9" s="34" t="n">
        <f aca="false">IF(H9&gt;0,I9/H9,0)</f>
        <v>12055.0847457627</v>
      </c>
      <c r="K9" s="35" t="n">
        <f aca="false">(Benchmarks!$C$6-B9)/30.44</f>
        <v>1.21550591327201</v>
      </c>
      <c r="L9" s="36" t="n">
        <f aca="false">IF(AND(D9&lt;=Benchmarks!$C$9,K9&lt;=Benchmarks!$C$7,OR(Benchmarks!$C$8="All",Benchmarks!$C$8=E9)),1,0)</f>
        <v>1</v>
      </c>
      <c r="M9" s="34" t="n">
        <f aca="false">IF(L9=1,J9,"")</f>
        <v>12055.0847457627</v>
      </c>
    </row>
    <row r="10" customFormat="false" ht="15" hidden="false" customHeight="false" outlineLevel="0" collapsed="false">
      <c r="A10" s="31" t="s">
        <v>117</v>
      </c>
      <c r="B10" s="32" t="n">
        <v>46245</v>
      </c>
      <c r="C10" s="31" t="s">
        <v>113</v>
      </c>
      <c r="D10" s="31" t="n">
        <v>2</v>
      </c>
      <c r="E10" s="31" t="s">
        <v>108</v>
      </c>
      <c r="F10" s="31" t="s">
        <v>109</v>
      </c>
      <c r="G10" s="31" t="n">
        <v>6</v>
      </c>
      <c r="H10" s="31" t="n">
        <v>106</v>
      </c>
      <c r="I10" s="33" t="n">
        <v>1258000</v>
      </c>
      <c r="J10" s="34" t="n">
        <f aca="false">IF(H10&gt;0,I10/H10,0)</f>
        <v>11867.9245283019</v>
      </c>
      <c r="K10" s="35" t="n">
        <f aca="false">(Benchmarks!$C$6-B10)/30.44</f>
        <v>1.60972404730618</v>
      </c>
      <c r="L10" s="36" t="n">
        <f aca="false">IF(AND(D10&lt;=Benchmarks!$C$9,K10&lt;=Benchmarks!$C$7,OR(Benchmarks!$C$8="All",Benchmarks!$C$8=E10)),1,0)</f>
        <v>1</v>
      </c>
      <c r="M10" s="34" t="n">
        <f aca="false">IF(L10=1,J10,"")</f>
        <v>11867.9245283019</v>
      </c>
    </row>
    <row r="11" customFormat="false" ht="15" hidden="false" customHeight="false" outlineLevel="0" collapsed="false">
      <c r="A11" s="31" t="s">
        <v>118</v>
      </c>
      <c r="B11" s="32" t="n">
        <v>46231</v>
      </c>
      <c r="C11" s="31" t="s">
        <v>107</v>
      </c>
      <c r="D11" s="31" t="n">
        <v>1</v>
      </c>
      <c r="E11" s="31" t="s">
        <v>116</v>
      </c>
      <c r="F11" s="31" t="s">
        <v>109</v>
      </c>
      <c r="G11" s="31" t="n">
        <v>0</v>
      </c>
      <c r="H11" s="31" t="n">
        <v>217</v>
      </c>
      <c r="I11" s="33" t="n">
        <v>2714000</v>
      </c>
      <c r="J11" s="34" t="n">
        <f aca="false">IF(H11&gt;0,I11/H11,0)</f>
        <v>12506.9124423963</v>
      </c>
      <c r="K11" s="35" t="n">
        <f aca="false">(Benchmarks!$C$6-B11)/30.44</f>
        <v>2.06964520367937</v>
      </c>
      <c r="L11" s="36" t="n">
        <f aca="false">IF(AND(D11&lt;=Benchmarks!$C$9,K11&lt;=Benchmarks!$C$7,OR(Benchmarks!$C$8="All",Benchmarks!$C$8=E11)),1,0)</f>
        <v>1</v>
      </c>
      <c r="M11" s="34" t="n">
        <f aca="false">IF(L11=1,J11,"")</f>
        <v>12506.9124423963</v>
      </c>
    </row>
    <row r="12" customFormat="false" ht="15" hidden="false" customHeight="false" outlineLevel="0" collapsed="false">
      <c r="A12" s="31" t="s">
        <v>119</v>
      </c>
      <c r="B12" s="32" t="n">
        <v>46231</v>
      </c>
      <c r="C12" s="31" t="s">
        <v>120</v>
      </c>
      <c r="D12" s="31" t="n">
        <v>3</v>
      </c>
      <c r="E12" s="31" t="s">
        <v>108</v>
      </c>
      <c r="F12" s="31" t="s">
        <v>109</v>
      </c>
      <c r="G12" s="31" t="n">
        <v>7</v>
      </c>
      <c r="H12" s="31" t="n">
        <v>99</v>
      </c>
      <c r="I12" s="33" t="n">
        <v>1326000</v>
      </c>
      <c r="J12" s="34" t="n">
        <f aca="false">IF(H12&gt;0,I12/H12,0)</f>
        <v>13393.9393939394</v>
      </c>
      <c r="K12" s="35" t="n">
        <f aca="false">(Benchmarks!$C$6-B12)/30.44</f>
        <v>2.06964520367937</v>
      </c>
      <c r="L12" s="36" t="n">
        <f aca="false">IF(AND(D12&lt;=Benchmarks!$C$9,K12&lt;=Benchmarks!$C$7,OR(Benchmarks!$C$8="All",Benchmarks!$C$8=E12)),1,0)</f>
        <v>0</v>
      </c>
      <c r="M12" s="34" t="str">
        <f aca="false">IF(L12=1,J12,"")</f>
        <v/>
      </c>
    </row>
    <row r="13" customFormat="false" ht="15" hidden="false" customHeight="false" outlineLevel="0" collapsed="false">
      <c r="A13" s="31" t="s">
        <v>121</v>
      </c>
      <c r="B13" s="32" t="n">
        <v>46230</v>
      </c>
      <c r="C13" s="31" t="s">
        <v>122</v>
      </c>
      <c r="D13" s="31" t="n">
        <v>2</v>
      </c>
      <c r="E13" s="31" t="s">
        <v>108</v>
      </c>
      <c r="F13" s="31" t="s">
        <v>123</v>
      </c>
      <c r="G13" s="31" t="n">
        <v>7</v>
      </c>
      <c r="H13" s="31" t="n">
        <v>149</v>
      </c>
      <c r="I13" s="33" t="n">
        <v>1795000</v>
      </c>
      <c r="J13" s="34" t="n">
        <f aca="false">IF(H13&gt;0,I13/H13,0)</f>
        <v>12046.9798657718</v>
      </c>
      <c r="K13" s="35" t="n">
        <f aca="false">(Benchmarks!$C$6-B13)/30.44</f>
        <v>2.10249671484888</v>
      </c>
      <c r="L13" s="36" t="n">
        <f aca="false">IF(AND(D13&lt;=Benchmarks!$C$9,K13&lt;=Benchmarks!$C$7,OR(Benchmarks!$C$8="All",Benchmarks!$C$8=E13)),1,0)</f>
        <v>1</v>
      </c>
      <c r="M13" s="34" t="n">
        <f aca="false">IF(L13=1,J13,"")</f>
        <v>12046.9798657718</v>
      </c>
    </row>
    <row r="14" customFormat="false" ht="15" hidden="false" customHeight="false" outlineLevel="0" collapsed="false">
      <c r="A14" s="31" t="s">
        <v>124</v>
      </c>
      <c r="B14" s="32" t="n">
        <v>46228</v>
      </c>
      <c r="C14" s="31" t="s">
        <v>113</v>
      </c>
      <c r="D14" s="31" t="n">
        <v>2</v>
      </c>
      <c r="E14" s="31" t="s">
        <v>116</v>
      </c>
      <c r="F14" s="31" t="s">
        <v>123</v>
      </c>
      <c r="G14" s="31" t="n">
        <v>0</v>
      </c>
      <c r="H14" s="31" t="n">
        <v>257</v>
      </c>
      <c r="I14" s="33" t="n">
        <v>3022000</v>
      </c>
      <c r="J14" s="34" t="n">
        <f aca="false">IF(H14&gt;0,I14/H14,0)</f>
        <v>11758.7548638132</v>
      </c>
      <c r="K14" s="35" t="n">
        <f aca="false">(Benchmarks!$C$6-B14)/30.44</f>
        <v>2.16819973718791</v>
      </c>
      <c r="L14" s="36" t="n">
        <f aca="false">IF(AND(D14&lt;=Benchmarks!$C$9,K14&lt;=Benchmarks!$C$7,OR(Benchmarks!$C$8="All",Benchmarks!$C$8=E14)),1,0)</f>
        <v>1</v>
      </c>
      <c r="M14" s="34" t="n">
        <f aca="false">IF(L14=1,J14,"")</f>
        <v>11758.7548638132</v>
      </c>
    </row>
    <row r="15" customFormat="false" ht="15" hidden="false" customHeight="false" outlineLevel="0" collapsed="false">
      <c r="A15" s="31" t="s">
        <v>125</v>
      </c>
      <c r="B15" s="32" t="n">
        <v>46221</v>
      </c>
      <c r="C15" s="31" t="s">
        <v>120</v>
      </c>
      <c r="D15" s="31" t="n">
        <v>3</v>
      </c>
      <c r="E15" s="31" t="s">
        <v>108</v>
      </c>
      <c r="F15" s="31" t="s">
        <v>109</v>
      </c>
      <c r="G15" s="31" t="n">
        <v>2</v>
      </c>
      <c r="H15" s="31" t="n">
        <v>146</v>
      </c>
      <c r="I15" s="33" t="n">
        <v>2094000</v>
      </c>
      <c r="J15" s="34" t="n">
        <f aca="false">IF(H15&gt;0,I15/H15,0)</f>
        <v>14342.4657534247</v>
      </c>
      <c r="K15" s="35" t="n">
        <f aca="false">(Benchmarks!$C$6-B15)/30.44</f>
        <v>2.39816031537451</v>
      </c>
      <c r="L15" s="36" t="n">
        <f aca="false">IF(AND(D15&lt;=Benchmarks!$C$9,K15&lt;=Benchmarks!$C$7,OR(Benchmarks!$C$8="All",Benchmarks!$C$8=E15)),1,0)</f>
        <v>0</v>
      </c>
      <c r="M15" s="34" t="str">
        <f aca="false">IF(L15=1,J15,"")</f>
        <v/>
      </c>
    </row>
    <row r="16" customFormat="false" ht="15" hidden="false" customHeight="false" outlineLevel="0" collapsed="false">
      <c r="A16" s="31" t="s">
        <v>126</v>
      </c>
      <c r="B16" s="32" t="n">
        <v>46220</v>
      </c>
      <c r="C16" s="31" t="s">
        <v>107</v>
      </c>
      <c r="D16" s="31" t="n">
        <v>1</v>
      </c>
      <c r="E16" s="31" t="s">
        <v>108</v>
      </c>
      <c r="F16" s="31" t="s">
        <v>109</v>
      </c>
      <c r="G16" s="31" t="n">
        <v>5</v>
      </c>
      <c r="H16" s="31" t="n">
        <v>186</v>
      </c>
      <c r="I16" s="33" t="n">
        <v>2165000</v>
      </c>
      <c r="J16" s="34" t="n">
        <f aca="false">IF(H16&gt;0,I16/H16,0)</f>
        <v>11639.7849462366</v>
      </c>
      <c r="K16" s="35" t="n">
        <f aca="false">(Benchmarks!$C$6-B16)/30.44</f>
        <v>2.43101182654402</v>
      </c>
      <c r="L16" s="36" t="n">
        <f aca="false">IF(AND(D16&lt;=Benchmarks!$C$9,K16&lt;=Benchmarks!$C$7,OR(Benchmarks!$C$8="All",Benchmarks!$C$8=E16)),1,0)</f>
        <v>1</v>
      </c>
      <c r="M16" s="34" t="n">
        <f aca="false">IF(L16=1,J16,"")</f>
        <v>11639.7849462366</v>
      </c>
    </row>
    <row r="17" customFormat="false" ht="15" hidden="false" customHeight="false" outlineLevel="0" collapsed="false">
      <c r="A17" s="31" t="s">
        <v>127</v>
      </c>
      <c r="B17" s="32" t="n">
        <v>46218</v>
      </c>
      <c r="C17" s="31" t="s">
        <v>113</v>
      </c>
      <c r="D17" s="31" t="n">
        <v>2</v>
      </c>
      <c r="E17" s="31" t="s">
        <v>108</v>
      </c>
      <c r="F17" s="31" t="s">
        <v>109</v>
      </c>
      <c r="G17" s="31" t="n">
        <v>3</v>
      </c>
      <c r="H17" s="31" t="n">
        <v>122</v>
      </c>
      <c r="I17" s="33" t="n">
        <v>1341000</v>
      </c>
      <c r="J17" s="34" t="n">
        <f aca="false">IF(H17&gt;0,I17/H17,0)</f>
        <v>10991.8032786885</v>
      </c>
      <c r="K17" s="35" t="n">
        <f aca="false">(Benchmarks!$C$6-B17)/30.44</f>
        <v>2.49671484888305</v>
      </c>
      <c r="L17" s="36" t="n">
        <f aca="false">IF(AND(D17&lt;=Benchmarks!$C$9,K17&lt;=Benchmarks!$C$7,OR(Benchmarks!$C$8="All",Benchmarks!$C$8=E17)),1,0)</f>
        <v>1</v>
      </c>
      <c r="M17" s="34" t="n">
        <f aca="false">IF(L17=1,J17,"")</f>
        <v>10991.8032786885</v>
      </c>
    </row>
    <row r="18" customFormat="false" ht="15" hidden="false" customHeight="false" outlineLevel="0" collapsed="false">
      <c r="A18" s="31" t="s">
        <v>128</v>
      </c>
      <c r="B18" s="32" t="n">
        <v>46217</v>
      </c>
      <c r="C18" s="31" t="s">
        <v>122</v>
      </c>
      <c r="D18" s="31" t="n">
        <v>2</v>
      </c>
      <c r="E18" s="31" t="s">
        <v>116</v>
      </c>
      <c r="F18" s="31" t="s">
        <v>109</v>
      </c>
      <c r="G18" s="31" t="n">
        <v>0</v>
      </c>
      <c r="H18" s="31" t="n">
        <v>292</v>
      </c>
      <c r="I18" s="33" t="n">
        <v>3654000</v>
      </c>
      <c r="J18" s="34" t="n">
        <f aca="false">IF(H18&gt;0,I18/H18,0)</f>
        <v>12513.698630137</v>
      </c>
      <c r="K18" s="35" t="n">
        <f aca="false">(Benchmarks!$C$6-B18)/30.44</f>
        <v>2.52956636005256</v>
      </c>
      <c r="L18" s="36" t="n">
        <f aca="false">IF(AND(D18&lt;=Benchmarks!$C$9,K18&lt;=Benchmarks!$C$7,OR(Benchmarks!$C$8="All",Benchmarks!$C$8=E18)),1,0)</f>
        <v>1</v>
      </c>
      <c r="M18" s="34" t="n">
        <f aca="false">IF(L18=1,J18,"")</f>
        <v>12513.698630137</v>
      </c>
    </row>
    <row r="19" customFormat="false" ht="15" hidden="false" customHeight="false" outlineLevel="0" collapsed="false">
      <c r="A19" s="31" t="s">
        <v>129</v>
      </c>
      <c r="B19" s="32" t="n">
        <v>46202</v>
      </c>
      <c r="C19" s="31" t="s">
        <v>113</v>
      </c>
      <c r="D19" s="31" t="n">
        <v>2</v>
      </c>
      <c r="E19" s="31" t="s">
        <v>108</v>
      </c>
      <c r="F19" s="31" t="s">
        <v>109</v>
      </c>
      <c r="G19" s="31" t="n">
        <v>3</v>
      </c>
      <c r="H19" s="31" t="n">
        <v>102</v>
      </c>
      <c r="I19" s="33" t="n">
        <v>1135000</v>
      </c>
      <c r="J19" s="34" t="n">
        <f aca="false">IF(H19&gt;0,I19/H19,0)</f>
        <v>11127.4509803922</v>
      </c>
      <c r="K19" s="35" t="n">
        <f aca="false">(Benchmarks!$C$6-B19)/30.44</f>
        <v>3.02233902759527</v>
      </c>
      <c r="L19" s="36" t="n">
        <f aca="false">IF(AND(D19&lt;=Benchmarks!$C$9,K19&lt;=Benchmarks!$C$7,OR(Benchmarks!$C$8="All",Benchmarks!$C$8=E19)),1,0)</f>
        <v>1</v>
      </c>
      <c r="M19" s="34" t="n">
        <f aca="false">IF(L19=1,J19,"")</f>
        <v>11127.4509803922</v>
      </c>
    </row>
    <row r="20" customFormat="false" ht="15" hidden="false" customHeight="false" outlineLevel="0" collapsed="false">
      <c r="A20" s="31" t="s">
        <v>130</v>
      </c>
      <c r="B20" s="32" t="n">
        <v>46201</v>
      </c>
      <c r="C20" s="31" t="s">
        <v>111</v>
      </c>
      <c r="D20" s="31" t="n">
        <v>3</v>
      </c>
      <c r="E20" s="31" t="s">
        <v>108</v>
      </c>
      <c r="F20" s="31" t="s">
        <v>109</v>
      </c>
      <c r="G20" s="31" t="n">
        <v>4</v>
      </c>
      <c r="H20" s="31" t="n">
        <v>163</v>
      </c>
      <c r="I20" s="33" t="n">
        <v>2097000</v>
      </c>
      <c r="J20" s="34" t="n">
        <f aca="false">IF(H20&gt;0,I20/H20,0)</f>
        <v>12865.0306748466</v>
      </c>
      <c r="K20" s="35" t="n">
        <f aca="false">(Benchmarks!$C$6-B20)/30.44</f>
        <v>3.05519053876478</v>
      </c>
      <c r="L20" s="36" t="n">
        <f aca="false">IF(AND(D20&lt;=Benchmarks!$C$9,K20&lt;=Benchmarks!$C$7,OR(Benchmarks!$C$8="All",Benchmarks!$C$8=E20)),1,0)</f>
        <v>0</v>
      </c>
      <c r="M20" s="34" t="str">
        <f aca="false">IF(L20=1,J20,"")</f>
        <v/>
      </c>
    </row>
    <row r="21" customFormat="false" ht="15" hidden="false" customHeight="false" outlineLevel="0" collapsed="false">
      <c r="A21" s="31" t="s">
        <v>131</v>
      </c>
      <c r="B21" s="32" t="n">
        <v>46198</v>
      </c>
      <c r="C21" s="31" t="s">
        <v>132</v>
      </c>
      <c r="D21" s="31" t="n">
        <v>2</v>
      </c>
      <c r="E21" s="31" t="s">
        <v>116</v>
      </c>
      <c r="F21" s="31" t="s">
        <v>109</v>
      </c>
      <c r="G21" s="31" t="n">
        <v>0</v>
      </c>
      <c r="H21" s="31" t="n">
        <v>258</v>
      </c>
      <c r="I21" s="33" t="n">
        <v>3483000</v>
      </c>
      <c r="J21" s="34" t="n">
        <f aca="false">IF(H21&gt;0,I21/H21,0)</f>
        <v>13500</v>
      </c>
      <c r="K21" s="35" t="n">
        <f aca="false">(Benchmarks!$C$6-B21)/30.44</f>
        <v>3.15374507227332</v>
      </c>
      <c r="L21" s="36" t="n">
        <f aca="false">IF(AND(D21&lt;=Benchmarks!$C$9,K21&lt;=Benchmarks!$C$7,OR(Benchmarks!$C$8="All",Benchmarks!$C$8=E21)),1,0)</f>
        <v>1</v>
      </c>
      <c r="M21" s="34" t="n">
        <f aca="false">IF(L21=1,J21,"")</f>
        <v>13500</v>
      </c>
    </row>
    <row r="22" customFormat="false" ht="15" hidden="false" customHeight="false" outlineLevel="0" collapsed="false">
      <c r="A22" s="31" t="s">
        <v>133</v>
      </c>
      <c r="B22" s="32" t="n">
        <v>46196</v>
      </c>
      <c r="C22" s="31" t="s">
        <v>132</v>
      </c>
      <c r="D22" s="31" t="n">
        <v>2</v>
      </c>
      <c r="E22" s="31" t="s">
        <v>108</v>
      </c>
      <c r="F22" s="31" t="s">
        <v>123</v>
      </c>
      <c r="G22" s="31" t="n">
        <v>5</v>
      </c>
      <c r="H22" s="31" t="n">
        <v>161</v>
      </c>
      <c r="I22" s="33" t="n">
        <v>2010000</v>
      </c>
      <c r="J22" s="34" t="n">
        <f aca="false">IF(H22&gt;0,I22/H22,0)</f>
        <v>12484.4720496894</v>
      </c>
      <c r="K22" s="35" t="n">
        <f aca="false">(Benchmarks!$C$6-B22)/30.44</f>
        <v>3.21944809461235</v>
      </c>
      <c r="L22" s="36" t="n">
        <f aca="false">IF(AND(D22&lt;=Benchmarks!$C$9,K22&lt;=Benchmarks!$C$7,OR(Benchmarks!$C$8="All",Benchmarks!$C$8=E22)),1,0)</f>
        <v>1</v>
      </c>
      <c r="M22" s="34" t="n">
        <f aca="false">IF(L22=1,J22,"")</f>
        <v>12484.4720496894</v>
      </c>
    </row>
    <row r="23" customFormat="false" ht="15" hidden="false" customHeight="false" outlineLevel="0" collapsed="false">
      <c r="A23" s="31" t="s">
        <v>134</v>
      </c>
      <c r="B23" s="32" t="n">
        <v>46192</v>
      </c>
      <c r="C23" s="31" t="s">
        <v>120</v>
      </c>
      <c r="D23" s="31" t="n">
        <v>3</v>
      </c>
      <c r="E23" s="31" t="s">
        <v>135</v>
      </c>
      <c r="F23" s="31" t="s">
        <v>123</v>
      </c>
      <c r="G23" s="31" t="n">
        <v>0</v>
      </c>
      <c r="H23" s="31" t="n">
        <v>254</v>
      </c>
      <c r="I23" s="33" t="n">
        <v>3677000</v>
      </c>
      <c r="J23" s="34" t="n">
        <f aca="false">IF(H23&gt;0,I23/H23,0)</f>
        <v>14476.3779527559</v>
      </c>
      <c r="K23" s="35" t="n">
        <f aca="false">(Benchmarks!$C$6-B23)/30.44</f>
        <v>3.35085413929041</v>
      </c>
      <c r="L23" s="36" t="n">
        <f aca="false">IF(AND(D23&lt;=Benchmarks!$C$9,K23&lt;=Benchmarks!$C$7,OR(Benchmarks!$C$8="All",Benchmarks!$C$8=E23)),1,0)</f>
        <v>0</v>
      </c>
      <c r="M23" s="34" t="str">
        <f aca="false">IF(L23=1,J23,"")</f>
        <v/>
      </c>
    </row>
    <row r="24" customFormat="false" ht="15" hidden="false" customHeight="false" outlineLevel="0" collapsed="false">
      <c r="A24" s="31" t="s">
        <v>136</v>
      </c>
      <c r="B24" s="32" t="n">
        <v>46183</v>
      </c>
      <c r="C24" s="31" t="s">
        <v>120</v>
      </c>
      <c r="D24" s="31" t="n">
        <v>3</v>
      </c>
      <c r="E24" s="31" t="s">
        <v>108</v>
      </c>
      <c r="F24" s="31" t="s">
        <v>109</v>
      </c>
      <c r="G24" s="31" t="n">
        <v>6</v>
      </c>
      <c r="H24" s="31" t="n">
        <v>109</v>
      </c>
      <c r="I24" s="33" t="n">
        <v>1572000</v>
      </c>
      <c r="J24" s="34" t="n">
        <f aca="false">IF(H24&gt;0,I24/H24,0)</f>
        <v>14422.0183486239</v>
      </c>
      <c r="K24" s="35" t="n">
        <f aca="false">(Benchmarks!$C$6-B24)/30.44</f>
        <v>3.64651773981603</v>
      </c>
      <c r="L24" s="36" t="n">
        <f aca="false">IF(AND(D24&lt;=Benchmarks!$C$9,K24&lt;=Benchmarks!$C$7,OR(Benchmarks!$C$8="All",Benchmarks!$C$8=E24)),1,0)</f>
        <v>0</v>
      </c>
      <c r="M24" s="34" t="str">
        <f aca="false">IF(L24=1,J24,"")</f>
        <v/>
      </c>
    </row>
    <row r="25" customFormat="false" ht="15" hidden="false" customHeight="false" outlineLevel="0" collapsed="false">
      <c r="A25" s="31" t="s">
        <v>137</v>
      </c>
      <c r="B25" s="32" t="n">
        <v>46181</v>
      </c>
      <c r="C25" s="31" t="s">
        <v>107</v>
      </c>
      <c r="D25" s="31" t="n">
        <v>1</v>
      </c>
      <c r="E25" s="31" t="s">
        <v>108</v>
      </c>
      <c r="F25" s="31" t="s">
        <v>123</v>
      </c>
      <c r="G25" s="31" t="n">
        <v>0</v>
      </c>
      <c r="H25" s="31" t="n">
        <v>114</v>
      </c>
      <c r="I25" s="33" t="n">
        <v>1499000</v>
      </c>
      <c r="J25" s="34" t="n">
        <f aca="false">IF(H25&gt;0,I25/H25,0)</f>
        <v>13149.1228070175</v>
      </c>
      <c r="K25" s="35" t="n">
        <f aca="false">(Benchmarks!$C$6-B25)/30.44</f>
        <v>3.71222076215506</v>
      </c>
      <c r="L25" s="36" t="n">
        <f aca="false">IF(AND(D25&lt;=Benchmarks!$C$9,K25&lt;=Benchmarks!$C$7,OR(Benchmarks!$C$8="All",Benchmarks!$C$8=E25)),1,0)</f>
        <v>1</v>
      </c>
      <c r="M25" s="34" t="n">
        <f aca="false">IF(L25=1,J25,"")</f>
        <v>13149.1228070175</v>
      </c>
    </row>
    <row r="26" customFormat="false" ht="15" hidden="false" customHeight="false" outlineLevel="0" collapsed="false">
      <c r="A26" s="31" t="s">
        <v>138</v>
      </c>
      <c r="B26" s="32" t="n">
        <v>46175</v>
      </c>
      <c r="C26" s="31" t="s">
        <v>111</v>
      </c>
      <c r="D26" s="31" t="n">
        <v>3</v>
      </c>
      <c r="E26" s="31" t="s">
        <v>108</v>
      </c>
      <c r="F26" s="31" t="s">
        <v>109</v>
      </c>
      <c r="G26" s="31" t="n">
        <v>4</v>
      </c>
      <c r="H26" s="31" t="n">
        <v>103</v>
      </c>
      <c r="I26" s="33" t="n">
        <v>1167000</v>
      </c>
      <c r="J26" s="34" t="n">
        <f aca="false">IF(H26&gt;0,I26/H26,0)</f>
        <v>11330.0970873786</v>
      </c>
      <c r="K26" s="35" t="n">
        <f aca="false">(Benchmarks!$C$6-B26)/30.44</f>
        <v>3.90932982917214</v>
      </c>
      <c r="L26" s="36" t="n">
        <f aca="false">IF(AND(D26&lt;=Benchmarks!$C$9,K26&lt;=Benchmarks!$C$7,OR(Benchmarks!$C$8="All",Benchmarks!$C$8=E26)),1,0)</f>
        <v>0</v>
      </c>
      <c r="M26" s="34" t="str">
        <f aca="false">IF(L26=1,J26,"")</f>
        <v/>
      </c>
    </row>
    <row r="27" customFormat="false" ht="15" hidden="false" customHeight="false" outlineLevel="0" collapsed="false">
      <c r="A27" s="31" t="s">
        <v>139</v>
      </c>
      <c r="B27" s="32" t="n">
        <v>46174</v>
      </c>
      <c r="C27" s="31" t="s">
        <v>132</v>
      </c>
      <c r="D27" s="31" t="n">
        <v>2</v>
      </c>
      <c r="E27" s="31" t="s">
        <v>108</v>
      </c>
      <c r="F27" s="31" t="s">
        <v>109</v>
      </c>
      <c r="G27" s="31" t="n">
        <v>0</v>
      </c>
      <c r="H27" s="31" t="n">
        <v>161</v>
      </c>
      <c r="I27" s="33" t="n">
        <v>2164000</v>
      </c>
      <c r="J27" s="34" t="n">
        <f aca="false">IF(H27&gt;0,I27/H27,0)</f>
        <v>13440.9937888199</v>
      </c>
      <c r="K27" s="35" t="n">
        <f aca="false">(Benchmarks!$C$6-B27)/30.44</f>
        <v>3.94218134034166</v>
      </c>
      <c r="L27" s="36" t="n">
        <f aca="false">IF(AND(D27&lt;=Benchmarks!$C$9,K27&lt;=Benchmarks!$C$7,OR(Benchmarks!$C$8="All",Benchmarks!$C$8=E27)),1,0)</f>
        <v>1</v>
      </c>
      <c r="M27" s="34" t="n">
        <f aca="false">IF(L27=1,J27,"")</f>
        <v>13440.9937888199</v>
      </c>
    </row>
    <row r="28" customFormat="false" ht="15" hidden="false" customHeight="false" outlineLevel="0" collapsed="false">
      <c r="A28" s="31" t="s">
        <v>140</v>
      </c>
      <c r="B28" s="32" t="n">
        <v>46165</v>
      </c>
      <c r="C28" s="31" t="s">
        <v>122</v>
      </c>
      <c r="D28" s="31" t="n">
        <v>2</v>
      </c>
      <c r="E28" s="31" t="s">
        <v>135</v>
      </c>
      <c r="F28" s="31" t="s">
        <v>109</v>
      </c>
      <c r="G28" s="31" t="n">
        <v>0</v>
      </c>
      <c r="H28" s="31" t="n">
        <v>175</v>
      </c>
      <c r="I28" s="33" t="n">
        <v>2175000</v>
      </c>
      <c r="J28" s="34" t="n">
        <f aca="false">IF(H28&gt;0,I28/H28,0)</f>
        <v>12428.5714285714</v>
      </c>
      <c r="K28" s="35" t="n">
        <f aca="false">(Benchmarks!$C$6-B28)/30.44</f>
        <v>4.23784494086728</v>
      </c>
      <c r="L28" s="36" t="n">
        <f aca="false">IF(AND(D28&lt;=Benchmarks!$C$9,K28&lt;=Benchmarks!$C$7,OR(Benchmarks!$C$8="All",Benchmarks!$C$8=E28)),1,0)</f>
        <v>1</v>
      </c>
      <c r="M28" s="34" t="n">
        <f aca="false">IF(L28=1,J28,"")</f>
        <v>12428.5714285714</v>
      </c>
    </row>
    <row r="29" customFormat="false" ht="15" hidden="false" customHeight="false" outlineLevel="0" collapsed="false">
      <c r="A29" s="31" t="s">
        <v>141</v>
      </c>
      <c r="B29" s="32" t="n">
        <v>46154</v>
      </c>
      <c r="C29" s="31" t="s">
        <v>122</v>
      </c>
      <c r="D29" s="31" t="n">
        <v>2</v>
      </c>
      <c r="E29" s="31" t="s">
        <v>108</v>
      </c>
      <c r="F29" s="31" t="s">
        <v>109</v>
      </c>
      <c r="G29" s="31" t="n">
        <v>1</v>
      </c>
      <c r="H29" s="31" t="n">
        <v>138</v>
      </c>
      <c r="I29" s="33" t="n">
        <v>1713000</v>
      </c>
      <c r="J29" s="34" t="n">
        <f aca="false">IF(H29&gt;0,I29/H29,0)</f>
        <v>12413.0434782609</v>
      </c>
      <c r="K29" s="35" t="n">
        <f aca="false">(Benchmarks!$C$6-B29)/30.44</f>
        <v>4.59921156373193</v>
      </c>
      <c r="L29" s="36" t="n">
        <f aca="false">IF(AND(D29&lt;=Benchmarks!$C$9,K29&lt;=Benchmarks!$C$7,OR(Benchmarks!$C$8="All",Benchmarks!$C$8=E29)),1,0)</f>
        <v>1</v>
      </c>
      <c r="M29" s="34" t="n">
        <f aca="false">IF(L29=1,J29,"")</f>
        <v>12413.0434782609</v>
      </c>
    </row>
    <row r="30" customFormat="false" ht="15" hidden="false" customHeight="false" outlineLevel="0" collapsed="false">
      <c r="A30" s="31" t="s">
        <v>142</v>
      </c>
      <c r="B30" s="32" t="n">
        <v>46144</v>
      </c>
      <c r="C30" s="31" t="s">
        <v>107</v>
      </c>
      <c r="D30" s="31" t="n">
        <v>1</v>
      </c>
      <c r="E30" s="31" t="s">
        <v>108</v>
      </c>
      <c r="F30" s="31" t="s">
        <v>109</v>
      </c>
      <c r="G30" s="31" t="n">
        <v>3</v>
      </c>
      <c r="H30" s="31" t="n">
        <v>161</v>
      </c>
      <c r="I30" s="33" t="n">
        <v>1914000</v>
      </c>
      <c r="J30" s="34" t="n">
        <f aca="false">IF(H30&gt;0,I30/H30,0)</f>
        <v>11888.198757764</v>
      </c>
      <c r="K30" s="35" t="n">
        <f aca="false">(Benchmarks!$C$6-B30)/30.44</f>
        <v>4.92772667542707</v>
      </c>
      <c r="L30" s="36" t="n">
        <f aca="false">IF(AND(D30&lt;=Benchmarks!$C$9,K30&lt;=Benchmarks!$C$7,OR(Benchmarks!$C$8="All",Benchmarks!$C$8=E30)),1,0)</f>
        <v>1</v>
      </c>
      <c r="M30" s="34" t="n">
        <f aca="false">IF(L30=1,J30,"")</f>
        <v>11888.198757764</v>
      </c>
    </row>
    <row r="31" customFormat="false" ht="15" hidden="false" customHeight="false" outlineLevel="0" collapsed="false">
      <c r="A31" s="31" t="s">
        <v>143</v>
      </c>
      <c r="B31" s="32" t="n">
        <v>46139</v>
      </c>
      <c r="C31" s="31" t="s">
        <v>107</v>
      </c>
      <c r="D31" s="31" t="n">
        <v>1</v>
      </c>
      <c r="E31" s="31" t="s">
        <v>108</v>
      </c>
      <c r="F31" s="31" t="s">
        <v>123</v>
      </c>
      <c r="G31" s="31" t="n">
        <v>0</v>
      </c>
      <c r="H31" s="31" t="n">
        <v>100</v>
      </c>
      <c r="I31" s="33" t="n">
        <v>1293000</v>
      </c>
      <c r="J31" s="34" t="n">
        <f aca="false">IF(H31&gt;0,I31/H31,0)</f>
        <v>12930</v>
      </c>
      <c r="K31" s="35" t="n">
        <f aca="false">(Benchmarks!$C$6-B31)/30.44</f>
        <v>5.09198423127464</v>
      </c>
      <c r="L31" s="36" t="n">
        <f aca="false">IF(AND(D31&lt;=Benchmarks!$C$9,K31&lt;=Benchmarks!$C$7,OR(Benchmarks!$C$8="All",Benchmarks!$C$8=E31)),1,0)</f>
        <v>1</v>
      </c>
      <c r="M31" s="34" t="n">
        <f aca="false">IF(L31=1,J31,"")</f>
        <v>12930</v>
      </c>
    </row>
    <row r="32" customFormat="false" ht="15" hidden="false" customHeight="false" outlineLevel="0" collapsed="false">
      <c r="A32" s="31" t="s">
        <v>144</v>
      </c>
      <c r="B32" s="32" t="n">
        <v>46135</v>
      </c>
      <c r="C32" s="31" t="s">
        <v>107</v>
      </c>
      <c r="D32" s="31" t="n">
        <v>1</v>
      </c>
      <c r="E32" s="31" t="s">
        <v>116</v>
      </c>
      <c r="F32" s="31" t="s">
        <v>109</v>
      </c>
      <c r="G32" s="31" t="n">
        <v>0</v>
      </c>
      <c r="H32" s="31" t="n">
        <v>267</v>
      </c>
      <c r="I32" s="33" t="n">
        <v>3507000</v>
      </c>
      <c r="J32" s="34" t="n">
        <f aca="false">IF(H32&gt;0,I32/H32,0)</f>
        <v>13134.8314606742</v>
      </c>
      <c r="K32" s="35" t="n">
        <f aca="false">(Benchmarks!$C$6-B32)/30.44</f>
        <v>5.22339027595269</v>
      </c>
      <c r="L32" s="36" t="n">
        <f aca="false">IF(AND(D32&lt;=Benchmarks!$C$9,K32&lt;=Benchmarks!$C$7,OR(Benchmarks!$C$8="All",Benchmarks!$C$8=E32)),1,0)</f>
        <v>1</v>
      </c>
      <c r="M32" s="34" t="n">
        <f aca="false">IF(L32=1,J32,"")</f>
        <v>13134.8314606742</v>
      </c>
    </row>
    <row r="33" customFormat="false" ht="15" hidden="false" customHeight="false" outlineLevel="0" collapsed="false">
      <c r="A33" s="31" t="s">
        <v>145</v>
      </c>
      <c r="B33" s="32" t="n">
        <v>46133</v>
      </c>
      <c r="C33" s="31" t="s">
        <v>113</v>
      </c>
      <c r="D33" s="31" t="n">
        <v>2</v>
      </c>
      <c r="E33" s="31" t="s">
        <v>116</v>
      </c>
      <c r="F33" s="31" t="s">
        <v>123</v>
      </c>
      <c r="G33" s="31" t="n">
        <v>0</v>
      </c>
      <c r="H33" s="31" t="n">
        <v>206</v>
      </c>
      <c r="I33" s="33" t="n">
        <v>2606000</v>
      </c>
      <c r="J33" s="34" t="n">
        <f aca="false">IF(H33&gt;0,I33/H33,0)</f>
        <v>12650.4854368932</v>
      </c>
      <c r="K33" s="35" t="n">
        <f aca="false">(Benchmarks!$C$6-B33)/30.44</f>
        <v>5.28909329829172</v>
      </c>
      <c r="L33" s="36" t="n">
        <f aca="false">IF(AND(D33&lt;=Benchmarks!$C$9,K33&lt;=Benchmarks!$C$7,OR(Benchmarks!$C$8="All",Benchmarks!$C$8=E33)),1,0)</f>
        <v>1</v>
      </c>
      <c r="M33" s="34" t="n">
        <f aca="false">IF(L33=1,J33,"")</f>
        <v>12650.4854368932</v>
      </c>
    </row>
    <row r="34" customFormat="false" ht="15" hidden="false" customHeight="false" outlineLevel="0" collapsed="false">
      <c r="A34" s="31" t="s">
        <v>146</v>
      </c>
      <c r="B34" s="32" t="n">
        <v>46130</v>
      </c>
      <c r="C34" s="31" t="s">
        <v>120</v>
      </c>
      <c r="D34" s="31" t="n">
        <v>3</v>
      </c>
      <c r="E34" s="31" t="s">
        <v>108</v>
      </c>
      <c r="F34" s="31" t="s">
        <v>109</v>
      </c>
      <c r="G34" s="31" t="n">
        <v>4</v>
      </c>
      <c r="H34" s="31" t="n">
        <v>111</v>
      </c>
      <c r="I34" s="33" t="n">
        <v>1584000</v>
      </c>
      <c r="J34" s="34" t="n">
        <f aca="false">IF(H34&gt;0,I34/H34,0)</f>
        <v>14270.2702702703</v>
      </c>
      <c r="K34" s="35" t="n">
        <f aca="false">(Benchmarks!$C$6-B34)/30.44</f>
        <v>5.38764783180026</v>
      </c>
      <c r="L34" s="36" t="n">
        <f aca="false">IF(AND(D34&lt;=Benchmarks!$C$9,K34&lt;=Benchmarks!$C$7,OR(Benchmarks!$C$8="All",Benchmarks!$C$8=E34)),1,0)</f>
        <v>0</v>
      </c>
      <c r="M34" s="34" t="str">
        <f aca="false">IF(L34=1,J34,"")</f>
        <v/>
      </c>
    </row>
    <row r="35" customFormat="false" ht="15" hidden="false" customHeight="false" outlineLevel="0" collapsed="false">
      <c r="A35" s="31" t="s">
        <v>147</v>
      </c>
      <c r="B35" s="32" t="n">
        <v>46128</v>
      </c>
      <c r="C35" s="31" t="s">
        <v>107</v>
      </c>
      <c r="D35" s="31" t="n">
        <v>1</v>
      </c>
      <c r="E35" s="31" t="s">
        <v>135</v>
      </c>
      <c r="F35" s="31" t="s">
        <v>123</v>
      </c>
      <c r="G35" s="31" t="n">
        <v>0</v>
      </c>
      <c r="H35" s="31" t="n">
        <v>230</v>
      </c>
      <c r="I35" s="33" t="n">
        <v>2709000</v>
      </c>
      <c r="J35" s="34" t="n">
        <f aca="false">IF(H35&gt;0,I35/H35,0)</f>
        <v>11778.2608695652</v>
      </c>
      <c r="K35" s="35" t="n">
        <f aca="false">(Benchmarks!$C$6-B35)/30.44</f>
        <v>5.45335085413929</v>
      </c>
      <c r="L35" s="36" t="n">
        <f aca="false">IF(AND(D35&lt;=Benchmarks!$C$9,K35&lt;=Benchmarks!$C$7,OR(Benchmarks!$C$8="All",Benchmarks!$C$8=E35)),1,0)</f>
        <v>1</v>
      </c>
      <c r="M35" s="34" t="n">
        <f aca="false">IF(L35=1,J35,"")</f>
        <v>11778.2608695652</v>
      </c>
    </row>
    <row r="36" customFormat="false" ht="15" hidden="false" customHeight="false" outlineLevel="0" collapsed="false">
      <c r="A36" s="31" t="s">
        <v>148</v>
      </c>
      <c r="B36" s="32" t="n">
        <v>46115</v>
      </c>
      <c r="C36" s="31" t="s">
        <v>111</v>
      </c>
      <c r="D36" s="31" t="n">
        <v>3</v>
      </c>
      <c r="E36" s="31" t="s">
        <v>108</v>
      </c>
      <c r="F36" s="31" t="s">
        <v>123</v>
      </c>
      <c r="G36" s="31" t="n">
        <v>2</v>
      </c>
      <c r="H36" s="31" t="n">
        <v>184</v>
      </c>
      <c r="I36" s="33" t="n">
        <v>2125000</v>
      </c>
      <c r="J36" s="34" t="n">
        <f aca="false">IF(H36&gt;0,I36/H36,0)</f>
        <v>11548.9130434783</v>
      </c>
      <c r="K36" s="35" t="n">
        <f aca="false">(Benchmarks!$C$6-B36)/30.44</f>
        <v>5.88042049934297</v>
      </c>
      <c r="L36" s="36" t="n">
        <f aca="false">IF(AND(D36&lt;=Benchmarks!$C$9,K36&lt;=Benchmarks!$C$7,OR(Benchmarks!$C$8="All",Benchmarks!$C$8=E36)),1,0)</f>
        <v>0</v>
      </c>
      <c r="M36" s="34" t="str">
        <f aca="false">IF(L36=1,J36,"")</f>
        <v/>
      </c>
    </row>
    <row r="37" customFormat="false" ht="15" hidden="false" customHeight="false" outlineLevel="0" collapsed="false">
      <c r="A37" s="31" t="s">
        <v>149</v>
      </c>
      <c r="B37" s="32" t="n">
        <v>46112</v>
      </c>
      <c r="C37" s="31" t="s">
        <v>107</v>
      </c>
      <c r="D37" s="31" t="n">
        <v>1</v>
      </c>
      <c r="E37" s="31" t="s">
        <v>108</v>
      </c>
      <c r="F37" s="31" t="s">
        <v>109</v>
      </c>
      <c r="G37" s="31" t="n">
        <v>2</v>
      </c>
      <c r="H37" s="31" t="n">
        <v>170</v>
      </c>
      <c r="I37" s="33" t="n">
        <v>2008000</v>
      </c>
      <c r="J37" s="34" t="n">
        <f aca="false">IF(H37&gt;0,I37/H37,0)</f>
        <v>11811.7647058824</v>
      </c>
      <c r="K37" s="35" t="n">
        <f aca="false">(Benchmarks!$C$6-B37)/30.44</f>
        <v>5.97897503285151</v>
      </c>
      <c r="L37" s="36" t="n">
        <f aca="false">IF(AND(D37&lt;=Benchmarks!$C$9,K37&lt;=Benchmarks!$C$7,OR(Benchmarks!$C$8="All",Benchmarks!$C$8=E37)),1,0)</f>
        <v>1</v>
      </c>
      <c r="M37" s="34" t="n">
        <f aca="false">IF(L37=1,J37,"")</f>
        <v>11811.7647058824</v>
      </c>
    </row>
    <row r="38" customFormat="false" ht="15" hidden="false" customHeight="false" outlineLevel="0" collapsed="false">
      <c r="A38" s="31" t="s">
        <v>150</v>
      </c>
      <c r="B38" s="32" t="n">
        <v>46106</v>
      </c>
      <c r="C38" s="31" t="s">
        <v>120</v>
      </c>
      <c r="D38" s="31" t="n">
        <v>3</v>
      </c>
      <c r="E38" s="31" t="s">
        <v>135</v>
      </c>
      <c r="F38" s="31" t="s">
        <v>109</v>
      </c>
      <c r="G38" s="31" t="n">
        <v>0</v>
      </c>
      <c r="H38" s="31" t="n">
        <v>201</v>
      </c>
      <c r="I38" s="33" t="n">
        <v>2953000</v>
      </c>
      <c r="J38" s="34" t="n">
        <f aca="false">IF(H38&gt;0,I38/H38,0)</f>
        <v>14691.5422885572</v>
      </c>
      <c r="K38" s="35" t="n">
        <f aca="false">(Benchmarks!$C$6-B38)/30.44</f>
        <v>6.17608409986859</v>
      </c>
      <c r="L38" s="36" t="n">
        <f aca="false">IF(AND(D38&lt;=Benchmarks!$C$9,K38&lt;=Benchmarks!$C$7,OR(Benchmarks!$C$8="All",Benchmarks!$C$8=E38)),1,0)</f>
        <v>0</v>
      </c>
      <c r="M38" s="34" t="str">
        <f aca="false">IF(L38=1,J38,"")</f>
        <v/>
      </c>
    </row>
    <row r="39" customFormat="false" ht="15" hidden="false" customHeight="false" outlineLevel="0" collapsed="false">
      <c r="A39" s="31" t="s">
        <v>151</v>
      </c>
      <c r="B39" s="32" t="n">
        <v>46106</v>
      </c>
      <c r="C39" s="31" t="s">
        <v>132</v>
      </c>
      <c r="D39" s="31" t="n">
        <v>2</v>
      </c>
      <c r="E39" s="31" t="s">
        <v>116</v>
      </c>
      <c r="F39" s="31" t="s">
        <v>123</v>
      </c>
      <c r="G39" s="31" t="n">
        <v>0</v>
      </c>
      <c r="H39" s="31" t="n">
        <v>214</v>
      </c>
      <c r="I39" s="33" t="n">
        <v>2774000</v>
      </c>
      <c r="J39" s="34" t="n">
        <f aca="false">IF(H39&gt;0,I39/H39,0)</f>
        <v>12962.6168224299</v>
      </c>
      <c r="K39" s="35" t="n">
        <f aca="false">(Benchmarks!$C$6-B39)/30.44</f>
        <v>6.17608409986859</v>
      </c>
      <c r="L39" s="36" t="n">
        <f aca="false">IF(AND(D39&lt;=Benchmarks!$C$9,K39&lt;=Benchmarks!$C$7,OR(Benchmarks!$C$8="All",Benchmarks!$C$8=E39)),1,0)</f>
        <v>1</v>
      </c>
      <c r="M39" s="34" t="n">
        <f aca="false">IF(L39=1,J39,"")</f>
        <v>12962.6168224299</v>
      </c>
    </row>
    <row r="40" customFormat="false" ht="15" hidden="false" customHeight="false" outlineLevel="0" collapsed="false">
      <c r="A40" s="31" t="s">
        <v>152</v>
      </c>
      <c r="B40" s="32" t="n">
        <v>46104</v>
      </c>
      <c r="C40" s="31" t="s">
        <v>107</v>
      </c>
      <c r="D40" s="31" t="n">
        <v>1</v>
      </c>
      <c r="E40" s="31" t="s">
        <v>108</v>
      </c>
      <c r="F40" s="31" t="s">
        <v>109</v>
      </c>
      <c r="G40" s="31" t="n">
        <v>3</v>
      </c>
      <c r="H40" s="31" t="n">
        <v>147</v>
      </c>
      <c r="I40" s="33" t="n">
        <v>1856000</v>
      </c>
      <c r="J40" s="34" t="n">
        <f aca="false">IF(H40&gt;0,I40/H40,0)</f>
        <v>12625.8503401361</v>
      </c>
      <c r="K40" s="35" t="n">
        <f aca="false">(Benchmarks!$C$6-B40)/30.44</f>
        <v>6.24178712220762</v>
      </c>
      <c r="L40" s="36" t="n">
        <f aca="false">IF(AND(D40&lt;=Benchmarks!$C$9,K40&lt;=Benchmarks!$C$7,OR(Benchmarks!$C$8="All",Benchmarks!$C$8=E40)),1,0)</f>
        <v>1</v>
      </c>
      <c r="M40" s="34" t="n">
        <f aca="false">IF(L40=1,J40,"")</f>
        <v>12625.8503401361</v>
      </c>
    </row>
    <row r="41" customFormat="false" ht="15" hidden="false" customHeight="false" outlineLevel="0" collapsed="false">
      <c r="A41" s="31" t="s">
        <v>153</v>
      </c>
      <c r="B41" s="32" t="n">
        <v>46100</v>
      </c>
      <c r="C41" s="31" t="s">
        <v>111</v>
      </c>
      <c r="D41" s="31" t="n">
        <v>3</v>
      </c>
      <c r="E41" s="31" t="s">
        <v>108</v>
      </c>
      <c r="F41" s="31" t="s">
        <v>109</v>
      </c>
      <c r="G41" s="31" t="n">
        <v>1</v>
      </c>
      <c r="H41" s="31" t="n">
        <v>187</v>
      </c>
      <c r="I41" s="33" t="n">
        <v>2430000</v>
      </c>
      <c r="J41" s="34" t="n">
        <f aca="false">IF(H41&gt;0,I41/H41,0)</f>
        <v>12994.6524064171</v>
      </c>
      <c r="K41" s="35" t="n">
        <f aca="false">(Benchmarks!$C$6-B41)/30.44</f>
        <v>6.37319316688568</v>
      </c>
      <c r="L41" s="36" t="n">
        <f aca="false">IF(AND(D41&lt;=Benchmarks!$C$9,K41&lt;=Benchmarks!$C$7,OR(Benchmarks!$C$8="All",Benchmarks!$C$8=E41)),1,0)</f>
        <v>0</v>
      </c>
      <c r="M41" s="34" t="str">
        <f aca="false">IF(L41=1,J41,"")</f>
        <v/>
      </c>
    </row>
    <row r="42" customFormat="false" ht="15" hidden="false" customHeight="false" outlineLevel="0" collapsed="false">
      <c r="A42" s="31" t="s">
        <v>154</v>
      </c>
      <c r="B42" s="32" t="n">
        <v>46095</v>
      </c>
      <c r="C42" s="31" t="s">
        <v>132</v>
      </c>
      <c r="D42" s="31" t="n">
        <v>2</v>
      </c>
      <c r="E42" s="31" t="s">
        <v>108</v>
      </c>
      <c r="F42" s="31" t="s">
        <v>109</v>
      </c>
      <c r="G42" s="31" t="n">
        <v>4</v>
      </c>
      <c r="H42" s="31" t="n">
        <v>103</v>
      </c>
      <c r="I42" s="33" t="n">
        <v>1282000</v>
      </c>
      <c r="J42" s="34" t="n">
        <f aca="false">IF(H42&gt;0,I42/H42,0)</f>
        <v>12446.6019417476</v>
      </c>
      <c r="K42" s="35" t="n">
        <f aca="false">(Benchmarks!$C$6-B42)/30.44</f>
        <v>6.53745072273325</v>
      </c>
      <c r="L42" s="36" t="n">
        <f aca="false">IF(AND(D42&lt;=Benchmarks!$C$9,K42&lt;=Benchmarks!$C$7,OR(Benchmarks!$C$8="All",Benchmarks!$C$8=E42)),1,0)</f>
        <v>1</v>
      </c>
      <c r="M42" s="34" t="n">
        <f aca="false">IF(L42=1,J42,"")</f>
        <v>12446.6019417476</v>
      </c>
    </row>
    <row r="43" customFormat="false" ht="15" hidden="false" customHeight="false" outlineLevel="0" collapsed="false">
      <c r="A43" s="31" t="s">
        <v>155</v>
      </c>
      <c r="B43" s="32" t="n">
        <v>46090</v>
      </c>
      <c r="C43" s="31" t="s">
        <v>122</v>
      </c>
      <c r="D43" s="31" t="n">
        <v>2</v>
      </c>
      <c r="E43" s="31" t="s">
        <v>116</v>
      </c>
      <c r="F43" s="31" t="s">
        <v>123</v>
      </c>
      <c r="G43" s="31" t="n">
        <v>0</v>
      </c>
      <c r="H43" s="31" t="n">
        <v>219</v>
      </c>
      <c r="I43" s="33" t="n">
        <v>2902000</v>
      </c>
      <c r="J43" s="34" t="n">
        <f aca="false">IF(H43&gt;0,I43/H43,0)</f>
        <v>13251.1415525114</v>
      </c>
      <c r="K43" s="35" t="n">
        <f aca="false">(Benchmarks!$C$6-B43)/30.44</f>
        <v>6.70170827858081</v>
      </c>
      <c r="L43" s="36" t="n">
        <f aca="false">IF(AND(D43&lt;=Benchmarks!$C$9,K43&lt;=Benchmarks!$C$7,OR(Benchmarks!$C$8="All",Benchmarks!$C$8=E43)),1,0)</f>
        <v>1</v>
      </c>
      <c r="M43" s="34" t="n">
        <f aca="false">IF(L43=1,J43,"")</f>
        <v>13251.1415525114</v>
      </c>
    </row>
    <row r="44" customFormat="false" ht="15" hidden="false" customHeight="false" outlineLevel="0" collapsed="false">
      <c r="A44" s="31" t="s">
        <v>156</v>
      </c>
      <c r="B44" s="32" t="n">
        <v>46090</v>
      </c>
      <c r="C44" s="31" t="s">
        <v>120</v>
      </c>
      <c r="D44" s="31" t="n">
        <v>3</v>
      </c>
      <c r="E44" s="31" t="s">
        <v>108</v>
      </c>
      <c r="F44" s="31" t="s">
        <v>109</v>
      </c>
      <c r="G44" s="31" t="n">
        <v>1</v>
      </c>
      <c r="H44" s="31" t="n">
        <v>128</v>
      </c>
      <c r="I44" s="33" t="n">
        <v>1906000</v>
      </c>
      <c r="J44" s="34" t="n">
        <f aca="false">IF(H44&gt;0,I44/H44,0)</f>
        <v>14890.625</v>
      </c>
      <c r="K44" s="35" t="n">
        <f aca="false">(Benchmarks!$C$6-B44)/30.44</f>
        <v>6.70170827858081</v>
      </c>
      <c r="L44" s="36" t="n">
        <f aca="false">IF(AND(D44&lt;=Benchmarks!$C$9,K44&lt;=Benchmarks!$C$7,OR(Benchmarks!$C$8="All",Benchmarks!$C$8=E44)),1,0)</f>
        <v>0</v>
      </c>
      <c r="M44" s="34" t="str">
        <f aca="false">IF(L44=1,J44,"")</f>
        <v/>
      </c>
    </row>
    <row r="45" customFormat="false" ht="15" hidden="false" customHeight="false" outlineLevel="0" collapsed="false">
      <c r="A45" s="31" t="s">
        <v>157</v>
      </c>
      <c r="B45" s="32" t="n">
        <v>46086</v>
      </c>
      <c r="C45" s="31" t="s">
        <v>113</v>
      </c>
      <c r="D45" s="31" t="n">
        <v>2</v>
      </c>
      <c r="E45" s="31" t="s">
        <v>108</v>
      </c>
      <c r="F45" s="31" t="s">
        <v>109</v>
      </c>
      <c r="G45" s="31" t="n">
        <v>8</v>
      </c>
      <c r="H45" s="31" t="n">
        <v>126</v>
      </c>
      <c r="I45" s="33" t="n">
        <v>1632000</v>
      </c>
      <c r="J45" s="34" t="n">
        <f aca="false">IF(H45&gt;0,I45/H45,0)</f>
        <v>12952.380952381</v>
      </c>
      <c r="K45" s="35" t="n">
        <f aca="false">(Benchmarks!$C$6-B45)/30.44</f>
        <v>6.83311432325887</v>
      </c>
      <c r="L45" s="36" t="n">
        <f aca="false">IF(AND(D45&lt;=Benchmarks!$C$9,K45&lt;=Benchmarks!$C$7,OR(Benchmarks!$C$8="All",Benchmarks!$C$8=E45)),1,0)</f>
        <v>1</v>
      </c>
      <c r="M45" s="34" t="n">
        <f aca="false">IF(L45=1,J45,"")</f>
        <v>12952.380952381</v>
      </c>
    </row>
    <row r="46" customFormat="false" ht="15" hidden="false" customHeight="false" outlineLevel="0" collapsed="false">
      <c r="A46" s="31" t="s">
        <v>158</v>
      </c>
      <c r="B46" s="32" t="n">
        <v>46086</v>
      </c>
      <c r="C46" s="31" t="s">
        <v>122</v>
      </c>
      <c r="D46" s="31" t="n">
        <v>2</v>
      </c>
      <c r="E46" s="31" t="s">
        <v>108</v>
      </c>
      <c r="F46" s="31" t="s">
        <v>109</v>
      </c>
      <c r="G46" s="31" t="n">
        <v>6</v>
      </c>
      <c r="H46" s="31" t="n">
        <v>101</v>
      </c>
      <c r="I46" s="33" t="n">
        <v>1210000</v>
      </c>
      <c r="J46" s="34" t="n">
        <f aca="false">IF(H46&gt;0,I46/H46,0)</f>
        <v>11980.198019802</v>
      </c>
      <c r="K46" s="35" t="n">
        <f aca="false">(Benchmarks!$C$6-B46)/30.44</f>
        <v>6.83311432325887</v>
      </c>
      <c r="L46" s="36" t="n">
        <f aca="false">IF(AND(D46&lt;=Benchmarks!$C$9,K46&lt;=Benchmarks!$C$7,OR(Benchmarks!$C$8="All",Benchmarks!$C$8=E46)),1,0)</f>
        <v>1</v>
      </c>
      <c r="M46" s="34" t="n">
        <f aca="false">IF(L46=1,J46,"")</f>
        <v>11980.198019802</v>
      </c>
    </row>
    <row r="47" customFormat="false" ht="15" hidden="false" customHeight="false" outlineLevel="0" collapsed="false">
      <c r="A47" s="31" t="s">
        <v>159</v>
      </c>
      <c r="B47" s="32" t="n">
        <v>46082</v>
      </c>
      <c r="C47" s="31" t="s">
        <v>107</v>
      </c>
      <c r="D47" s="31" t="n">
        <v>1</v>
      </c>
      <c r="E47" s="31" t="s">
        <v>108</v>
      </c>
      <c r="F47" s="31" t="s">
        <v>109</v>
      </c>
      <c r="G47" s="31" t="n">
        <v>7</v>
      </c>
      <c r="H47" s="31" t="n">
        <v>120</v>
      </c>
      <c r="I47" s="33" t="n">
        <v>1362000</v>
      </c>
      <c r="J47" s="34" t="n">
        <f aca="false">IF(H47&gt;0,I47/H47,0)</f>
        <v>11350</v>
      </c>
      <c r="K47" s="35" t="n">
        <f aca="false">(Benchmarks!$C$6-B47)/30.44</f>
        <v>6.96452036793693</v>
      </c>
      <c r="L47" s="36" t="n">
        <f aca="false">IF(AND(D47&lt;=Benchmarks!$C$9,K47&lt;=Benchmarks!$C$7,OR(Benchmarks!$C$8="All",Benchmarks!$C$8=E47)),1,0)</f>
        <v>1</v>
      </c>
      <c r="M47" s="34" t="n">
        <f aca="false">IF(L47=1,J47,"")</f>
        <v>11350</v>
      </c>
    </row>
    <row r="48" customFormat="false" ht="15" hidden="false" customHeight="false" outlineLevel="0" collapsed="false">
      <c r="A48" s="31" t="s">
        <v>160</v>
      </c>
      <c r="B48" s="32" t="n">
        <v>46082</v>
      </c>
      <c r="C48" s="31" t="s">
        <v>113</v>
      </c>
      <c r="D48" s="31" t="n">
        <v>2</v>
      </c>
      <c r="E48" s="31" t="s">
        <v>108</v>
      </c>
      <c r="F48" s="31" t="s">
        <v>109</v>
      </c>
      <c r="G48" s="31" t="n">
        <v>0</v>
      </c>
      <c r="H48" s="31" t="n">
        <v>176</v>
      </c>
      <c r="I48" s="33" t="n">
        <v>1911000</v>
      </c>
      <c r="J48" s="34" t="n">
        <f aca="false">IF(H48&gt;0,I48/H48,0)</f>
        <v>10857.9545454545</v>
      </c>
      <c r="K48" s="35" t="n">
        <f aca="false">(Benchmarks!$C$6-B48)/30.44</f>
        <v>6.96452036793693</v>
      </c>
      <c r="L48" s="36" t="n">
        <f aca="false">IF(AND(D48&lt;=Benchmarks!$C$9,K48&lt;=Benchmarks!$C$7,OR(Benchmarks!$C$8="All",Benchmarks!$C$8=E48)),1,0)</f>
        <v>1</v>
      </c>
      <c r="M48" s="34" t="n">
        <f aca="false">IF(L48=1,J48,"")</f>
        <v>10857.9545454545</v>
      </c>
    </row>
    <row r="49" customFormat="false" ht="15" hidden="false" customHeight="false" outlineLevel="0" collapsed="false">
      <c r="A49" s="31" t="s">
        <v>161</v>
      </c>
      <c r="B49" s="32" t="n">
        <v>46082</v>
      </c>
      <c r="C49" s="31" t="s">
        <v>111</v>
      </c>
      <c r="D49" s="31" t="n">
        <v>3</v>
      </c>
      <c r="E49" s="31" t="s">
        <v>108</v>
      </c>
      <c r="F49" s="31" t="s">
        <v>109</v>
      </c>
      <c r="G49" s="31" t="n">
        <v>3</v>
      </c>
      <c r="H49" s="31" t="n">
        <v>112</v>
      </c>
      <c r="I49" s="33" t="n">
        <v>1351000</v>
      </c>
      <c r="J49" s="34" t="n">
        <f aca="false">IF(H49&gt;0,I49/H49,0)</f>
        <v>12062.5</v>
      </c>
      <c r="K49" s="35" t="n">
        <f aca="false">(Benchmarks!$C$6-B49)/30.44</f>
        <v>6.96452036793693</v>
      </c>
      <c r="L49" s="36" t="n">
        <f aca="false">IF(AND(D49&lt;=Benchmarks!$C$9,K49&lt;=Benchmarks!$C$7,OR(Benchmarks!$C$8="All",Benchmarks!$C$8=E49)),1,0)</f>
        <v>0</v>
      </c>
      <c r="M49" s="34" t="str">
        <f aca="false">IF(L49=1,J49,"")</f>
        <v/>
      </c>
    </row>
    <row r="50" customFormat="false" ht="15" hidden="false" customHeight="false" outlineLevel="0" collapsed="false">
      <c r="A50" s="31" t="s">
        <v>162</v>
      </c>
      <c r="B50" s="32" t="n">
        <v>46081</v>
      </c>
      <c r="C50" s="31" t="s">
        <v>111</v>
      </c>
      <c r="D50" s="31" t="n">
        <v>3</v>
      </c>
      <c r="E50" s="31" t="s">
        <v>108</v>
      </c>
      <c r="F50" s="31" t="s">
        <v>109</v>
      </c>
      <c r="G50" s="31" t="n">
        <v>3</v>
      </c>
      <c r="H50" s="31" t="n">
        <v>162</v>
      </c>
      <c r="I50" s="33" t="n">
        <v>1860000</v>
      </c>
      <c r="J50" s="34" t="n">
        <f aca="false">IF(H50&gt;0,I50/H50,0)</f>
        <v>11481.4814814815</v>
      </c>
      <c r="K50" s="35" t="n">
        <f aca="false">(Benchmarks!$C$6-B50)/30.44</f>
        <v>6.99737187910644</v>
      </c>
      <c r="L50" s="36" t="n">
        <f aca="false">IF(AND(D50&lt;=Benchmarks!$C$9,K50&lt;=Benchmarks!$C$7,OR(Benchmarks!$C$8="All",Benchmarks!$C$8=E50)),1,0)</f>
        <v>0</v>
      </c>
      <c r="M50" s="34" t="str">
        <f aca="false">IF(L50=1,J50,"")</f>
        <v/>
      </c>
    </row>
    <row r="51" customFormat="false" ht="15" hidden="false" customHeight="false" outlineLevel="0" collapsed="false">
      <c r="A51" s="31" t="s">
        <v>163</v>
      </c>
      <c r="B51" s="32" t="n">
        <v>46078</v>
      </c>
      <c r="C51" s="31" t="s">
        <v>111</v>
      </c>
      <c r="D51" s="31" t="n">
        <v>3</v>
      </c>
      <c r="E51" s="31" t="s">
        <v>108</v>
      </c>
      <c r="F51" s="31" t="s">
        <v>109</v>
      </c>
      <c r="G51" s="31" t="n">
        <v>6</v>
      </c>
      <c r="H51" s="31" t="n">
        <v>123</v>
      </c>
      <c r="I51" s="33" t="n">
        <v>1433000</v>
      </c>
      <c r="J51" s="34" t="n">
        <f aca="false">IF(H51&gt;0,I51/H51,0)</f>
        <v>11650.406504065</v>
      </c>
      <c r="K51" s="35" t="n">
        <f aca="false">(Benchmarks!$C$6-B51)/30.44</f>
        <v>7.09592641261498</v>
      </c>
      <c r="L51" s="36" t="n">
        <f aca="false">IF(AND(D51&lt;=Benchmarks!$C$9,K51&lt;=Benchmarks!$C$7,OR(Benchmarks!$C$8="All",Benchmarks!$C$8=E51)),1,0)</f>
        <v>0</v>
      </c>
      <c r="M51" s="34" t="str">
        <f aca="false">IF(L51=1,J51,"")</f>
        <v/>
      </c>
    </row>
    <row r="52" customFormat="false" ht="15" hidden="false" customHeight="false" outlineLevel="0" collapsed="false">
      <c r="A52" s="31" t="s">
        <v>164</v>
      </c>
      <c r="B52" s="32" t="n">
        <v>46076</v>
      </c>
      <c r="C52" s="31" t="s">
        <v>111</v>
      </c>
      <c r="D52" s="31" t="n">
        <v>3</v>
      </c>
      <c r="E52" s="31" t="s">
        <v>108</v>
      </c>
      <c r="F52" s="31" t="s">
        <v>109</v>
      </c>
      <c r="G52" s="31" t="n">
        <v>3</v>
      </c>
      <c r="H52" s="31" t="n">
        <v>105</v>
      </c>
      <c r="I52" s="33" t="n">
        <v>1163000</v>
      </c>
      <c r="J52" s="34" t="n">
        <f aca="false">IF(H52&gt;0,I52/H52,0)</f>
        <v>11076.1904761905</v>
      </c>
      <c r="K52" s="35" t="n">
        <f aca="false">(Benchmarks!$C$6-B52)/30.44</f>
        <v>7.16162943495401</v>
      </c>
      <c r="L52" s="36" t="n">
        <f aca="false">IF(AND(D52&lt;=Benchmarks!$C$9,K52&lt;=Benchmarks!$C$7,OR(Benchmarks!$C$8="All",Benchmarks!$C$8=E52)),1,0)</f>
        <v>0</v>
      </c>
      <c r="M52" s="34" t="str">
        <f aca="false">IF(L52=1,J52,"")</f>
        <v/>
      </c>
    </row>
    <row r="53" customFormat="false" ht="15" hidden="false" customHeight="false" outlineLevel="0" collapsed="false">
      <c r="A53" s="31" t="s">
        <v>165</v>
      </c>
      <c r="B53" s="32" t="n">
        <v>46070</v>
      </c>
      <c r="C53" s="31" t="s">
        <v>107</v>
      </c>
      <c r="D53" s="31" t="n">
        <v>1</v>
      </c>
      <c r="E53" s="31" t="s">
        <v>108</v>
      </c>
      <c r="F53" s="31" t="s">
        <v>109</v>
      </c>
      <c r="G53" s="31" t="n">
        <v>4</v>
      </c>
      <c r="H53" s="31" t="n">
        <v>148</v>
      </c>
      <c r="I53" s="33" t="n">
        <v>1787000</v>
      </c>
      <c r="J53" s="34" t="n">
        <f aca="false">IF(H53&gt;0,I53/H53,0)</f>
        <v>12074.3243243243</v>
      </c>
      <c r="K53" s="35" t="n">
        <f aca="false">(Benchmarks!$C$6-B53)/30.44</f>
        <v>7.35873850197109</v>
      </c>
      <c r="L53" s="36" t="n">
        <f aca="false">IF(AND(D53&lt;=Benchmarks!$C$9,K53&lt;=Benchmarks!$C$7,OR(Benchmarks!$C$8="All",Benchmarks!$C$8=E53)),1,0)</f>
        <v>1</v>
      </c>
      <c r="M53" s="34" t="n">
        <f aca="false">IF(L53=1,J53,"")</f>
        <v>12074.3243243243</v>
      </c>
    </row>
    <row r="54" customFormat="false" ht="15" hidden="false" customHeight="false" outlineLevel="0" collapsed="false">
      <c r="A54" s="31" t="s">
        <v>166</v>
      </c>
      <c r="B54" s="32" t="n">
        <v>46060</v>
      </c>
      <c r="C54" s="31" t="s">
        <v>122</v>
      </c>
      <c r="D54" s="31" t="n">
        <v>2</v>
      </c>
      <c r="E54" s="31" t="s">
        <v>108</v>
      </c>
      <c r="F54" s="31" t="s">
        <v>123</v>
      </c>
      <c r="G54" s="31" t="n">
        <v>2</v>
      </c>
      <c r="H54" s="31" t="n">
        <v>176</v>
      </c>
      <c r="I54" s="33" t="n">
        <v>1927000</v>
      </c>
      <c r="J54" s="34" t="n">
        <f aca="false">IF(H54&gt;0,I54/H54,0)</f>
        <v>10948.8636363636</v>
      </c>
      <c r="K54" s="35" t="n">
        <f aca="false">(Benchmarks!$C$6-B54)/30.44</f>
        <v>7.68725361366623</v>
      </c>
      <c r="L54" s="36" t="n">
        <f aca="false">IF(AND(D54&lt;=Benchmarks!$C$9,K54&lt;=Benchmarks!$C$7,OR(Benchmarks!$C$8="All",Benchmarks!$C$8=E54)),1,0)</f>
        <v>1</v>
      </c>
      <c r="M54" s="34" t="n">
        <f aca="false">IF(L54=1,J54,"")</f>
        <v>10948.8636363636</v>
      </c>
    </row>
    <row r="55" customFormat="false" ht="15" hidden="false" customHeight="false" outlineLevel="0" collapsed="false">
      <c r="A55" s="31" t="s">
        <v>167</v>
      </c>
      <c r="B55" s="32" t="n">
        <v>46059</v>
      </c>
      <c r="C55" s="31" t="s">
        <v>132</v>
      </c>
      <c r="D55" s="31" t="n">
        <v>2</v>
      </c>
      <c r="E55" s="31" t="s">
        <v>108</v>
      </c>
      <c r="F55" s="31" t="s">
        <v>109</v>
      </c>
      <c r="G55" s="31" t="n">
        <v>5</v>
      </c>
      <c r="H55" s="31" t="n">
        <v>103</v>
      </c>
      <c r="I55" s="33" t="n">
        <v>1427000</v>
      </c>
      <c r="J55" s="34" t="n">
        <f aca="false">IF(H55&gt;0,I55/H55,0)</f>
        <v>13854.3689320388</v>
      </c>
      <c r="K55" s="35" t="n">
        <f aca="false">(Benchmarks!$C$6-B55)/30.44</f>
        <v>7.72010512483574</v>
      </c>
      <c r="L55" s="36" t="n">
        <f aca="false">IF(AND(D55&lt;=Benchmarks!$C$9,K55&lt;=Benchmarks!$C$7,OR(Benchmarks!$C$8="All",Benchmarks!$C$8=E55)),1,0)</f>
        <v>1</v>
      </c>
      <c r="M55" s="34" t="n">
        <f aca="false">IF(L55=1,J55,"")</f>
        <v>13854.3689320388</v>
      </c>
    </row>
    <row r="56" customFormat="false" ht="15" hidden="false" customHeight="false" outlineLevel="0" collapsed="false">
      <c r="A56" s="31" t="s">
        <v>168</v>
      </c>
      <c r="B56" s="32" t="n">
        <v>46049</v>
      </c>
      <c r="C56" s="31" t="s">
        <v>107</v>
      </c>
      <c r="D56" s="31" t="n">
        <v>1</v>
      </c>
      <c r="E56" s="31" t="s">
        <v>116</v>
      </c>
      <c r="F56" s="31" t="s">
        <v>109</v>
      </c>
      <c r="G56" s="31" t="n">
        <v>0</v>
      </c>
      <c r="H56" s="31" t="n">
        <v>244</v>
      </c>
      <c r="I56" s="33" t="n">
        <v>2917000</v>
      </c>
      <c r="J56" s="34" t="n">
        <f aca="false">IF(H56&gt;0,I56/H56,0)</f>
        <v>11954.9180327869</v>
      </c>
      <c r="K56" s="35" t="n">
        <f aca="false">(Benchmarks!$C$6-B56)/30.44</f>
        <v>8.04862023653088</v>
      </c>
      <c r="L56" s="36" t="n">
        <f aca="false">IF(AND(D56&lt;=Benchmarks!$C$9,K56&lt;=Benchmarks!$C$7,OR(Benchmarks!$C$8="All",Benchmarks!$C$8=E56)),1,0)</f>
        <v>1</v>
      </c>
      <c r="M56" s="34" t="n">
        <f aca="false">IF(L56=1,J56,"")</f>
        <v>11954.9180327869</v>
      </c>
    </row>
    <row r="57" customFormat="false" ht="15" hidden="false" customHeight="false" outlineLevel="0" collapsed="false">
      <c r="A57" s="31" t="s">
        <v>169</v>
      </c>
      <c r="B57" s="32" t="n">
        <v>46044</v>
      </c>
      <c r="C57" s="31" t="s">
        <v>107</v>
      </c>
      <c r="D57" s="31" t="n">
        <v>1</v>
      </c>
      <c r="E57" s="31" t="s">
        <v>135</v>
      </c>
      <c r="F57" s="31" t="s">
        <v>123</v>
      </c>
      <c r="G57" s="31" t="n">
        <v>0</v>
      </c>
      <c r="H57" s="31" t="n">
        <v>220</v>
      </c>
      <c r="I57" s="33" t="n">
        <v>2849000</v>
      </c>
      <c r="J57" s="34" t="n">
        <f aca="false">IF(H57&gt;0,I57/H57,0)</f>
        <v>12950</v>
      </c>
      <c r="K57" s="35" t="n">
        <f aca="false">(Benchmarks!$C$6-B57)/30.44</f>
        <v>8.21287779237845</v>
      </c>
      <c r="L57" s="36" t="n">
        <f aca="false">IF(AND(D57&lt;=Benchmarks!$C$9,K57&lt;=Benchmarks!$C$7,OR(Benchmarks!$C$8="All",Benchmarks!$C$8=E57)),1,0)</f>
        <v>1</v>
      </c>
      <c r="M57" s="34" t="n">
        <f aca="false">IF(L57=1,J57,"")</f>
        <v>12950</v>
      </c>
    </row>
    <row r="58" customFormat="false" ht="15" hidden="false" customHeight="false" outlineLevel="0" collapsed="false">
      <c r="A58" s="31" t="s">
        <v>170</v>
      </c>
      <c r="B58" s="32" t="n">
        <v>46044</v>
      </c>
      <c r="C58" s="31" t="s">
        <v>107</v>
      </c>
      <c r="D58" s="31" t="n">
        <v>1</v>
      </c>
      <c r="E58" s="31" t="s">
        <v>108</v>
      </c>
      <c r="F58" s="31" t="s">
        <v>109</v>
      </c>
      <c r="G58" s="31" t="n">
        <v>4</v>
      </c>
      <c r="H58" s="31" t="n">
        <v>143</v>
      </c>
      <c r="I58" s="33" t="n">
        <v>1744000</v>
      </c>
      <c r="J58" s="34" t="n">
        <f aca="false">IF(H58&gt;0,I58/H58,0)</f>
        <v>12195.8041958042</v>
      </c>
      <c r="K58" s="35" t="n">
        <f aca="false">(Benchmarks!$C$6-B58)/30.44</f>
        <v>8.21287779237845</v>
      </c>
      <c r="L58" s="36" t="n">
        <f aca="false">IF(AND(D58&lt;=Benchmarks!$C$9,K58&lt;=Benchmarks!$C$7,OR(Benchmarks!$C$8="All",Benchmarks!$C$8=E58)),1,0)</f>
        <v>1</v>
      </c>
      <c r="M58" s="34" t="n">
        <f aca="false">IF(L58=1,J58,"")</f>
        <v>12195.8041958042</v>
      </c>
    </row>
    <row r="59" customFormat="false" ht="15" hidden="false" customHeight="false" outlineLevel="0" collapsed="false">
      <c r="A59" s="31" t="s">
        <v>171</v>
      </c>
      <c r="B59" s="32" t="n">
        <v>46043</v>
      </c>
      <c r="C59" s="31" t="s">
        <v>113</v>
      </c>
      <c r="D59" s="31" t="n">
        <v>2</v>
      </c>
      <c r="E59" s="31" t="s">
        <v>108</v>
      </c>
      <c r="F59" s="31" t="s">
        <v>109</v>
      </c>
      <c r="G59" s="31" t="n">
        <v>7</v>
      </c>
      <c r="H59" s="31" t="n">
        <v>113</v>
      </c>
      <c r="I59" s="33" t="n">
        <v>1227000</v>
      </c>
      <c r="J59" s="34" t="n">
        <f aca="false">IF(H59&gt;0,I59/H59,0)</f>
        <v>10858.407079646</v>
      </c>
      <c r="K59" s="35" t="n">
        <f aca="false">(Benchmarks!$C$6-B59)/30.44</f>
        <v>8.24572930354796</v>
      </c>
      <c r="L59" s="36" t="n">
        <f aca="false">IF(AND(D59&lt;=Benchmarks!$C$9,K59&lt;=Benchmarks!$C$7,OR(Benchmarks!$C$8="All",Benchmarks!$C$8=E59)),1,0)</f>
        <v>1</v>
      </c>
      <c r="M59" s="34" t="n">
        <f aca="false">IF(L59=1,J59,"")</f>
        <v>10858.407079646</v>
      </c>
    </row>
    <row r="60" customFormat="false" ht="15" hidden="false" customHeight="false" outlineLevel="0" collapsed="false">
      <c r="A60" s="31" t="s">
        <v>172</v>
      </c>
      <c r="B60" s="32" t="n">
        <v>46042</v>
      </c>
      <c r="C60" s="31" t="s">
        <v>113</v>
      </c>
      <c r="D60" s="31" t="n">
        <v>2</v>
      </c>
      <c r="E60" s="31" t="s">
        <v>108</v>
      </c>
      <c r="F60" s="31" t="s">
        <v>109</v>
      </c>
      <c r="G60" s="31" t="n">
        <v>1</v>
      </c>
      <c r="H60" s="31" t="n">
        <v>133</v>
      </c>
      <c r="I60" s="33" t="n">
        <v>1478000</v>
      </c>
      <c r="J60" s="34" t="n">
        <f aca="false">IF(H60&gt;0,I60/H60,0)</f>
        <v>11112.7819548872</v>
      </c>
      <c r="K60" s="35" t="n">
        <f aca="false">(Benchmarks!$C$6-B60)/30.44</f>
        <v>8.27858081471748</v>
      </c>
      <c r="L60" s="36" t="n">
        <f aca="false">IF(AND(D60&lt;=Benchmarks!$C$9,K60&lt;=Benchmarks!$C$7,OR(Benchmarks!$C$8="All",Benchmarks!$C$8=E60)),1,0)</f>
        <v>1</v>
      </c>
      <c r="M60" s="34" t="n">
        <f aca="false">IF(L60=1,J60,"")</f>
        <v>11112.7819548872</v>
      </c>
    </row>
    <row r="61" customFormat="false" ht="15" hidden="false" customHeight="false" outlineLevel="0" collapsed="false">
      <c r="A61" s="31" t="s">
        <v>173</v>
      </c>
      <c r="B61" s="32" t="n">
        <v>46042</v>
      </c>
      <c r="C61" s="31" t="s">
        <v>107</v>
      </c>
      <c r="D61" s="31" t="n">
        <v>1</v>
      </c>
      <c r="E61" s="31" t="s">
        <v>108</v>
      </c>
      <c r="F61" s="31" t="s">
        <v>109</v>
      </c>
      <c r="G61" s="31" t="n">
        <v>0</v>
      </c>
      <c r="H61" s="31" t="n">
        <v>117</v>
      </c>
      <c r="I61" s="33" t="n">
        <v>1400000</v>
      </c>
      <c r="J61" s="34" t="n">
        <f aca="false">IF(H61&gt;0,I61/H61,0)</f>
        <v>11965.811965812</v>
      </c>
      <c r="K61" s="35" t="n">
        <f aca="false">(Benchmarks!$C$6-B61)/30.44</f>
        <v>8.27858081471748</v>
      </c>
      <c r="L61" s="36" t="n">
        <f aca="false">IF(AND(D61&lt;=Benchmarks!$C$9,K61&lt;=Benchmarks!$C$7,OR(Benchmarks!$C$8="All",Benchmarks!$C$8=E61)),1,0)</f>
        <v>1</v>
      </c>
      <c r="M61" s="34" t="n">
        <f aca="false">IF(L61=1,J61,"")</f>
        <v>11965.811965812</v>
      </c>
    </row>
    <row r="62" customFormat="false" ht="15" hidden="false" customHeight="false" outlineLevel="0" collapsed="false">
      <c r="A62" s="31" t="s">
        <v>174</v>
      </c>
      <c r="B62" s="32" t="n">
        <v>46033</v>
      </c>
      <c r="C62" s="31" t="s">
        <v>107</v>
      </c>
      <c r="D62" s="31" t="n">
        <v>1</v>
      </c>
      <c r="E62" s="31" t="s">
        <v>108</v>
      </c>
      <c r="F62" s="31" t="s">
        <v>109</v>
      </c>
      <c r="G62" s="31" t="n">
        <v>4</v>
      </c>
      <c r="H62" s="31" t="n">
        <v>129</v>
      </c>
      <c r="I62" s="33" t="n">
        <v>1570000</v>
      </c>
      <c r="J62" s="34" t="n">
        <f aca="false">IF(H62&gt;0,I62/H62,0)</f>
        <v>12170.5426356589</v>
      </c>
      <c r="K62" s="35" t="n">
        <f aca="false">(Benchmarks!$C$6-B62)/30.44</f>
        <v>8.5742444152431</v>
      </c>
      <c r="L62" s="36" t="n">
        <f aca="false">IF(AND(D62&lt;=Benchmarks!$C$9,K62&lt;=Benchmarks!$C$7,OR(Benchmarks!$C$8="All",Benchmarks!$C$8=E62)),1,0)</f>
        <v>1</v>
      </c>
      <c r="M62" s="34" t="n">
        <f aca="false">IF(L62=1,J62,"")</f>
        <v>12170.5426356589</v>
      </c>
    </row>
    <row r="63" customFormat="false" ht="15" hidden="false" customHeight="false" outlineLevel="0" collapsed="false">
      <c r="A63" s="31" t="s">
        <v>175</v>
      </c>
      <c r="B63" s="32" t="n">
        <v>46026</v>
      </c>
      <c r="C63" s="31" t="s">
        <v>111</v>
      </c>
      <c r="D63" s="31" t="n">
        <v>3</v>
      </c>
      <c r="E63" s="31" t="s">
        <v>108</v>
      </c>
      <c r="F63" s="31" t="s">
        <v>109</v>
      </c>
      <c r="G63" s="31" t="n">
        <v>2</v>
      </c>
      <c r="H63" s="31" t="n">
        <v>121</v>
      </c>
      <c r="I63" s="33" t="n">
        <v>1446000</v>
      </c>
      <c r="J63" s="34" t="n">
        <f aca="false">IF(H63&gt;0,I63/H63,0)</f>
        <v>11950.4132231405</v>
      </c>
      <c r="K63" s="35" t="n">
        <f aca="false">(Benchmarks!$C$6-B63)/30.44</f>
        <v>8.8042049934297</v>
      </c>
      <c r="L63" s="36" t="n">
        <f aca="false">IF(AND(D63&lt;=Benchmarks!$C$9,K63&lt;=Benchmarks!$C$7,OR(Benchmarks!$C$8="All",Benchmarks!$C$8=E63)),1,0)</f>
        <v>0</v>
      </c>
      <c r="M63" s="34" t="str">
        <f aca="false">IF(L63=1,J63,"")</f>
        <v/>
      </c>
    </row>
    <row r="64" customFormat="false" ht="15" hidden="false" customHeight="false" outlineLevel="0" collapsed="false">
      <c r="A64" s="31" t="s">
        <v>176</v>
      </c>
      <c r="B64" s="32" t="n">
        <v>46016</v>
      </c>
      <c r="C64" s="31" t="s">
        <v>120</v>
      </c>
      <c r="D64" s="31" t="n">
        <v>3</v>
      </c>
      <c r="E64" s="31" t="s">
        <v>108</v>
      </c>
      <c r="F64" s="31" t="s">
        <v>123</v>
      </c>
      <c r="G64" s="31" t="n">
        <v>1</v>
      </c>
      <c r="H64" s="31" t="n">
        <v>114</v>
      </c>
      <c r="I64" s="33" t="n">
        <v>1506000</v>
      </c>
      <c r="J64" s="34" t="n">
        <f aca="false">IF(H64&gt;0,I64/H64,0)</f>
        <v>13210.5263157895</v>
      </c>
      <c r="K64" s="35" t="n">
        <f aca="false">(Benchmarks!$C$6-B64)/30.44</f>
        <v>9.13272010512484</v>
      </c>
      <c r="L64" s="36" t="n">
        <f aca="false">IF(AND(D64&lt;=Benchmarks!$C$9,K64&lt;=Benchmarks!$C$7,OR(Benchmarks!$C$8="All",Benchmarks!$C$8=E64)),1,0)</f>
        <v>0</v>
      </c>
      <c r="M64" s="34" t="str">
        <f aca="false">IF(L64=1,J64,"")</f>
        <v/>
      </c>
    </row>
    <row r="65" customFormat="false" ht="15" hidden="false" customHeight="false" outlineLevel="0" collapsed="false">
      <c r="A65" s="31" t="s">
        <v>177</v>
      </c>
      <c r="B65" s="32" t="n">
        <v>46012</v>
      </c>
      <c r="C65" s="31" t="s">
        <v>113</v>
      </c>
      <c r="D65" s="31" t="n">
        <v>2</v>
      </c>
      <c r="E65" s="31" t="s">
        <v>108</v>
      </c>
      <c r="F65" s="31" t="s">
        <v>109</v>
      </c>
      <c r="G65" s="31" t="n">
        <v>6</v>
      </c>
      <c r="H65" s="31" t="n">
        <v>142</v>
      </c>
      <c r="I65" s="33" t="n">
        <v>1673000</v>
      </c>
      <c r="J65" s="34" t="n">
        <f aca="false">IF(H65&gt;0,I65/H65,0)</f>
        <v>11781.6901408451</v>
      </c>
      <c r="K65" s="35" t="n">
        <f aca="false">(Benchmarks!$C$6-B65)/30.44</f>
        <v>9.26412614980289</v>
      </c>
      <c r="L65" s="36" t="n">
        <f aca="false">IF(AND(D65&lt;=Benchmarks!$C$9,K65&lt;=Benchmarks!$C$7,OR(Benchmarks!$C$8="All",Benchmarks!$C$8=E65)),1,0)</f>
        <v>1</v>
      </c>
      <c r="M65" s="34" t="n">
        <f aca="false">IF(L65=1,J65,"")</f>
        <v>11781.6901408451</v>
      </c>
    </row>
    <row r="66" customFormat="false" ht="15" hidden="false" customHeight="false" outlineLevel="0" collapsed="false">
      <c r="A66" s="31" t="s">
        <v>178</v>
      </c>
      <c r="B66" s="32" t="n">
        <v>46006</v>
      </c>
      <c r="C66" s="31" t="s">
        <v>120</v>
      </c>
      <c r="D66" s="31" t="n">
        <v>3</v>
      </c>
      <c r="E66" s="31" t="s">
        <v>108</v>
      </c>
      <c r="F66" s="31" t="s">
        <v>109</v>
      </c>
      <c r="G66" s="31" t="n">
        <v>9</v>
      </c>
      <c r="H66" s="31" t="n">
        <v>158</v>
      </c>
      <c r="I66" s="33" t="n">
        <v>2428000</v>
      </c>
      <c r="J66" s="34" t="n">
        <f aca="false">IF(H66&gt;0,I66/H66,0)</f>
        <v>15367.0886075949</v>
      </c>
      <c r="K66" s="35" t="n">
        <f aca="false">(Benchmarks!$C$6-B66)/30.44</f>
        <v>9.46123521681997</v>
      </c>
      <c r="L66" s="36" t="n">
        <f aca="false">IF(AND(D66&lt;=Benchmarks!$C$9,K66&lt;=Benchmarks!$C$7,OR(Benchmarks!$C$8="All",Benchmarks!$C$8=E66)),1,0)</f>
        <v>0</v>
      </c>
      <c r="M66" s="34" t="str">
        <f aca="false">IF(L66=1,J66,"")</f>
        <v/>
      </c>
    </row>
    <row r="67" customFormat="false" ht="15" hidden="false" customHeight="false" outlineLevel="0" collapsed="false">
      <c r="A67" s="31" t="s">
        <v>179</v>
      </c>
      <c r="B67" s="32" t="n">
        <v>46004</v>
      </c>
      <c r="C67" s="31" t="s">
        <v>107</v>
      </c>
      <c r="D67" s="31" t="n">
        <v>1</v>
      </c>
      <c r="E67" s="31" t="s">
        <v>116</v>
      </c>
      <c r="F67" s="31" t="s">
        <v>109</v>
      </c>
      <c r="G67" s="31" t="n">
        <v>0</v>
      </c>
      <c r="H67" s="31" t="n">
        <v>300</v>
      </c>
      <c r="I67" s="33" t="n">
        <v>3754000</v>
      </c>
      <c r="J67" s="34" t="n">
        <f aca="false">IF(H67&gt;0,I67/H67,0)</f>
        <v>12513.3333333333</v>
      </c>
      <c r="K67" s="35" t="n">
        <f aca="false">(Benchmarks!$C$6-B67)/30.44</f>
        <v>9.526938239159</v>
      </c>
      <c r="L67" s="36" t="n">
        <f aca="false">IF(AND(D67&lt;=Benchmarks!$C$9,K67&lt;=Benchmarks!$C$7,OR(Benchmarks!$C$8="All",Benchmarks!$C$8=E67)),1,0)</f>
        <v>1</v>
      </c>
      <c r="M67" s="34" t="n">
        <f aca="false">IF(L67=1,J67,"")</f>
        <v>12513.3333333333</v>
      </c>
    </row>
    <row r="68" customFormat="false" ht="15" hidden="false" customHeight="false" outlineLevel="0" collapsed="false">
      <c r="A68" s="31" t="s">
        <v>180</v>
      </c>
      <c r="B68" s="32" t="n">
        <v>46001</v>
      </c>
      <c r="C68" s="31" t="s">
        <v>111</v>
      </c>
      <c r="D68" s="31" t="n">
        <v>3</v>
      </c>
      <c r="E68" s="31" t="s">
        <v>108</v>
      </c>
      <c r="F68" s="31" t="s">
        <v>109</v>
      </c>
      <c r="G68" s="31" t="n">
        <v>9</v>
      </c>
      <c r="H68" s="31" t="n">
        <v>97</v>
      </c>
      <c r="I68" s="33" t="n">
        <v>1187000</v>
      </c>
      <c r="J68" s="34" t="n">
        <f aca="false">IF(H68&gt;0,I68/H68,0)</f>
        <v>12237.1134020619</v>
      </c>
      <c r="K68" s="35" t="n">
        <f aca="false">(Benchmarks!$C$6-B68)/30.44</f>
        <v>9.62549277266754</v>
      </c>
      <c r="L68" s="36" t="n">
        <f aca="false">IF(AND(D68&lt;=Benchmarks!$C$9,K68&lt;=Benchmarks!$C$7,OR(Benchmarks!$C$8="All",Benchmarks!$C$8=E68)),1,0)</f>
        <v>0</v>
      </c>
      <c r="M68" s="34" t="str">
        <f aca="false">IF(L68=1,J68,"")</f>
        <v/>
      </c>
    </row>
    <row r="69" customFormat="false" ht="15" hidden="false" customHeight="false" outlineLevel="0" collapsed="false">
      <c r="A69" s="31" t="s">
        <v>181</v>
      </c>
      <c r="B69" s="32" t="n">
        <v>46000</v>
      </c>
      <c r="C69" s="31" t="s">
        <v>107</v>
      </c>
      <c r="D69" s="31" t="n">
        <v>1</v>
      </c>
      <c r="E69" s="31" t="s">
        <v>108</v>
      </c>
      <c r="F69" s="31" t="s">
        <v>109</v>
      </c>
      <c r="G69" s="31" t="n">
        <v>9</v>
      </c>
      <c r="H69" s="31" t="n">
        <v>123</v>
      </c>
      <c r="I69" s="33" t="n">
        <v>1537000</v>
      </c>
      <c r="J69" s="34" t="n">
        <f aca="false">IF(H69&gt;0,I69/H69,0)</f>
        <v>12495.9349593496</v>
      </c>
      <c r="K69" s="35" t="n">
        <f aca="false">(Benchmarks!$C$6-B69)/30.44</f>
        <v>9.65834428383706</v>
      </c>
      <c r="L69" s="36" t="n">
        <f aca="false">IF(AND(D69&lt;=Benchmarks!$C$9,K69&lt;=Benchmarks!$C$7,OR(Benchmarks!$C$8="All",Benchmarks!$C$8=E69)),1,0)</f>
        <v>1</v>
      </c>
      <c r="M69" s="34" t="n">
        <f aca="false">IF(L69=1,J69,"")</f>
        <v>12495.9349593496</v>
      </c>
    </row>
    <row r="70" customFormat="false" ht="15" hidden="false" customHeight="false" outlineLevel="0" collapsed="false">
      <c r="A70" s="31" t="s">
        <v>182</v>
      </c>
      <c r="B70" s="32" t="n">
        <v>45997</v>
      </c>
      <c r="C70" s="31" t="s">
        <v>113</v>
      </c>
      <c r="D70" s="31" t="n">
        <v>2</v>
      </c>
      <c r="E70" s="31" t="s">
        <v>116</v>
      </c>
      <c r="F70" s="31" t="s">
        <v>109</v>
      </c>
      <c r="G70" s="31" t="n">
        <v>0</v>
      </c>
      <c r="H70" s="31" t="n">
        <v>257</v>
      </c>
      <c r="I70" s="33" t="n">
        <v>2939000</v>
      </c>
      <c r="J70" s="34" t="n">
        <f aca="false">IF(H70&gt;0,I70/H70,0)</f>
        <v>11435.7976653697</v>
      </c>
      <c r="K70" s="35" t="n">
        <f aca="false">(Benchmarks!$C$6-B70)/30.44</f>
        <v>9.7568988173456</v>
      </c>
      <c r="L70" s="36" t="n">
        <f aca="false">IF(AND(D70&lt;=Benchmarks!$C$9,K70&lt;=Benchmarks!$C$7,OR(Benchmarks!$C$8="All",Benchmarks!$C$8=E70)),1,0)</f>
        <v>1</v>
      </c>
      <c r="M70" s="34" t="n">
        <f aca="false">IF(L70=1,J70,"")</f>
        <v>11435.7976653697</v>
      </c>
    </row>
    <row r="71" customFormat="false" ht="15" hidden="false" customHeight="false" outlineLevel="0" collapsed="false">
      <c r="A71" s="31" t="s">
        <v>183</v>
      </c>
      <c r="B71" s="32" t="n">
        <v>45996</v>
      </c>
      <c r="C71" s="31" t="s">
        <v>120</v>
      </c>
      <c r="D71" s="31" t="n">
        <v>3</v>
      </c>
      <c r="E71" s="31" t="s">
        <v>135</v>
      </c>
      <c r="F71" s="31" t="s">
        <v>109</v>
      </c>
      <c r="G71" s="31" t="n">
        <v>0</v>
      </c>
      <c r="H71" s="31" t="n">
        <v>186</v>
      </c>
      <c r="I71" s="33" t="n">
        <v>2638000</v>
      </c>
      <c r="J71" s="34" t="n">
        <f aca="false">IF(H71&gt;0,I71/H71,0)</f>
        <v>14182.7956989247</v>
      </c>
      <c r="K71" s="35" t="n">
        <f aca="false">(Benchmarks!$C$6-B71)/30.44</f>
        <v>9.78975032851511</v>
      </c>
      <c r="L71" s="36" t="n">
        <f aca="false">IF(AND(D71&lt;=Benchmarks!$C$9,K71&lt;=Benchmarks!$C$7,OR(Benchmarks!$C$8="All",Benchmarks!$C$8=E71)),1,0)</f>
        <v>0</v>
      </c>
      <c r="M71" s="34" t="str">
        <f aca="false">IF(L71=1,J71,"")</f>
        <v/>
      </c>
    </row>
    <row r="72" customFormat="false" ht="15" hidden="false" customHeight="false" outlineLevel="0" collapsed="false">
      <c r="A72" s="31" t="s">
        <v>184</v>
      </c>
      <c r="B72" s="32" t="n">
        <v>45992</v>
      </c>
      <c r="C72" s="31" t="s">
        <v>122</v>
      </c>
      <c r="D72" s="31" t="n">
        <v>2</v>
      </c>
      <c r="E72" s="31" t="s">
        <v>108</v>
      </c>
      <c r="F72" s="31" t="s">
        <v>109</v>
      </c>
      <c r="G72" s="31" t="n">
        <v>0</v>
      </c>
      <c r="H72" s="31" t="n">
        <v>137</v>
      </c>
      <c r="I72" s="33" t="n">
        <v>1679000</v>
      </c>
      <c r="J72" s="34" t="n">
        <f aca="false">IF(H72&gt;0,I72/H72,0)</f>
        <v>12255.4744525547</v>
      </c>
      <c r="K72" s="35" t="n">
        <f aca="false">(Benchmarks!$C$6-B72)/30.44</f>
        <v>9.92115637319317</v>
      </c>
      <c r="L72" s="36" t="n">
        <f aca="false">IF(AND(D72&lt;=Benchmarks!$C$9,K72&lt;=Benchmarks!$C$7,OR(Benchmarks!$C$8="All",Benchmarks!$C$8=E72)),1,0)</f>
        <v>1</v>
      </c>
      <c r="M72" s="34" t="n">
        <f aca="false">IF(L72=1,J72,"")</f>
        <v>12255.4744525547</v>
      </c>
    </row>
    <row r="73" customFormat="false" ht="15" hidden="false" customHeight="false" outlineLevel="0" collapsed="false">
      <c r="A73" s="31" t="s">
        <v>185</v>
      </c>
      <c r="B73" s="32" t="n">
        <v>45992</v>
      </c>
      <c r="C73" s="31" t="s">
        <v>107</v>
      </c>
      <c r="D73" s="31" t="n">
        <v>1</v>
      </c>
      <c r="E73" s="31" t="s">
        <v>116</v>
      </c>
      <c r="F73" s="31" t="s">
        <v>109</v>
      </c>
      <c r="G73" s="31" t="n">
        <v>0</v>
      </c>
      <c r="H73" s="31" t="n">
        <v>246</v>
      </c>
      <c r="I73" s="33" t="n">
        <v>3175000</v>
      </c>
      <c r="J73" s="34" t="n">
        <f aca="false">IF(H73&gt;0,I73/H73,0)</f>
        <v>12906.5040650407</v>
      </c>
      <c r="K73" s="35" t="n">
        <f aca="false">(Benchmarks!$C$6-B73)/30.44</f>
        <v>9.92115637319317</v>
      </c>
      <c r="L73" s="36" t="n">
        <f aca="false">IF(AND(D73&lt;=Benchmarks!$C$9,K73&lt;=Benchmarks!$C$7,OR(Benchmarks!$C$8="All",Benchmarks!$C$8=E73)),1,0)</f>
        <v>1</v>
      </c>
      <c r="M73" s="34" t="n">
        <f aca="false">IF(L73=1,J73,"")</f>
        <v>12906.5040650407</v>
      </c>
    </row>
    <row r="74" customFormat="false" ht="15" hidden="false" customHeight="false" outlineLevel="0" collapsed="false">
      <c r="A74" s="31" t="s">
        <v>186</v>
      </c>
      <c r="B74" s="32" t="n">
        <v>45990</v>
      </c>
      <c r="C74" s="31" t="s">
        <v>122</v>
      </c>
      <c r="D74" s="31" t="n">
        <v>2</v>
      </c>
      <c r="E74" s="31" t="s">
        <v>108</v>
      </c>
      <c r="F74" s="31" t="s">
        <v>109</v>
      </c>
      <c r="G74" s="31" t="n">
        <v>3</v>
      </c>
      <c r="H74" s="31" t="n">
        <v>189</v>
      </c>
      <c r="I74" s="33" t="n">
        <v>2370000</v>
      </c>
      <c r="J74" s="34" t="n">
        <f aca="false">IF(H74&gt;0,I74/H74,0)</f>
        <v>12539.6825396825</v>
      </c>
      <c r="K74" s="35" t="n">
        <f aca="false">(Benchmarks!$C$6-B74)/30.44</f>
        <v>9.98685939553219</v>
      </c>
      <c r="L74" s="36" t="n">
        <f aca="false">IF(AND(D74&lt;=Benchmarks!$C$9,K74&lt;=Benchmarks!$C$7,OR(Benchmarks!$C$8="All",Benchmarks!$C$8=E74)),1,0)</f>
        <v>1</v>
      </c>
      <c r="M74" s="34" t="n">
        <f aca="false">IF(L74=1,J74,"")</f>
        <v>12539.6825396825</v>
      </c>
    </row>
    <row r="75" customFormat="false" ht="15" hidden="false" customHeight="false" outlineLevel="0" collapsed="false">
      <c r="A75" s="31" t="s">
        <v>187</v>
      </c>
      <c r="B75" s="32" t="n">
        <v>45980</v>
      </c>
      <c r="C75" s="31" t="s">
        <v>107</v>
      </c>
      <c r="D75" s="31" t="n">
        <v>1</v>
      </c>
      <c r="E75" s="31" t="s">
        <v>108</v>
      </c>
      <c r="F75" s="31" t="s">
        <v>109</v>
      </c>
      <c r="G75" s="31" t="n">
        <v>9</v>
      </c>
      <c r="H75" s="31" t="n">
        <v>103</v>
      </c>
      <c r="I75" s="33" t="n">
        <v>1269000</v>
      </c>
      <c r="J75" s="34" t="n">
        <f aca="false">IF(H75&gt;0,I75/H75,0)</f>
        <v>12320.3883495146</v>
      </c>
      <c r="K75" s="35" t="n">
        <f aca="false">(Benchmarks!$C$6-B75)/30.44</f>
        <v>10.3153745072273</v>
      </c>
      <c r="L75" s="36" t="n">
        <f aca="false">IF(AND(D75&lt;=Benchmarks!$C$9,K75&lt;=Benchmarks!$C$7,OR(Benchmarks!$C$8="All",Benchmarks!$C$8=E75)),1,0)</f>
        <v>1</v>
      </c>
      <c r="M75" s="34" t="n">
        <f aca="false">IF(L75=1,J75,"")</f>
        <v>12320.3883495146</v>
      </c>
    </row>
    <row r="76" customFormat="false" ht="15" hidden="false" customHeight="false" outlineLevel="0" collapsed="false">
      <c r="A76" s="31" t="s">
        <v>188</v>
      </c>
      <c r="B76" s="32" t="n">
        <v>45977</v>
      </c>
      <c r="C76" s="31" t="s">
        <v>120</v>
      </c>
      <c r="D76" s="31" t="n">
        <v>3</v>
      </c>
      <c r="E76" s="31" t="s">
        <v>135</v>
      </c>
      <c r="F76" s="31" t="s">
        <v>109</v>
      </c>
      <c r="G76" s="31" t="n">
        <v>0</v>
      </c>
      <c r="H76" s="31" t="n">
        <v>177</v>
      </c>
      <c r="I76" s="33" t="n">
        <v>2557000</v>
      </c>
      <c r="J76" s="34" t="n">
        <f aca="false">IF(H76&gt;0,I76/H76,0)</f>
        <v>14446.3276836158</v>
      </c>
      <c r="K76" s="35" t="n">
        <f aca="false">(Benchmarks!$C$6-B76)/30.44</f>
        <v>10.4139290407359</v>
      </c>
      <c r="L76" s="36" t="n">
        <f aca="false">IF(AND(D76&lt;=Benchmarks!$C$9,K76&lt;=Benchmarks!$C$7,OR(Benchmarks!$C$8="All",Benchmarks!$C$8=E76)),1,0)</f>
        <v>0</v>
      </c>
      <c r="M76" s="34" t="str">
        <f aca="false">IF(L76=1,J76,"")</f>
        <v/>
      </c>
    </row>
    <row r="77" customFormat="false" ht="15" hidden="false" customHeight="false" outlineLevel="0" collapsed="false">
      <c r="A77" s="31" t="s">
        <v>189</v>
      </c>
      <c r="B77" s="32" t="n">
        <v>45976</v>
      </c>
      <c r="C77" s="31" t="s">
        <v>132</v>
      </c>
      <c r="D77" s="31" t="n">
        <v>2</v>
      </c>
      <c r="E77" s="31" t="s">
        <v>108</v>
      </c>
      <c r="F77" s="31" t="s">
        <v>109</v>
      </c>
      <c r="G77" s="31" t="n">
        <v>4</v>
      </c>
      <c r="H77" s="31" t="n">
        <v>161</v>
      </c>
      <c r="I77" s="33" t="n">
        <v>2062000</v>
      </c>
      <c r="J77" s="34" t="n">
        <f aca="false">IF(H77&gt;0,I77/H77,0)</f>
        <v>12807.4534161491</v>
      </c>
      <c r="K77" s="35" t="n">
        <f aca="false">(Benchmarks!$C$6-B77)/30.44</f>
        <v>10.4467805519054</v>
      </c>
      <c r="L77" s="36" t="n">
        <f aca="false">IF(AND(D77&lt;=Benchmarks!$C$9,K77&lt;=Benchmarks!$C$7,OR(Benchmarks!$C$8="All",Benchmarks!$C$8=E77)),1,0)</f>
        <v>1</v>
      </c>
      <c r="M77" s="34" t="n">
        <f aca="false">IF(L77=1,J77,"")</f>
        <v>12807.4534161491</v>
      </c>
    </row>
    <row r="78" customFormat="false" ht="15" hidden="false" customHeight="false" outlineLevel="0" collapsed="false">
      <c r="A78" s="31" t="s">
        <v>190</v>
      </c>
      <c r="B78" s="32" t="n">
        <v>45967</v>
      </c>
      <c r="C78" s="31" t="s">
        <v>132</v>
      </c>
      <c r="D78" s="31" t="n">
        <v>2</v>
      </c>
      <c r="E78" s="31" t="s">
        <v>108</v>
      </c>
      <c r="F78" s="31" t="s">
        <v>123</v>
      </c>
      <c r="G78" s="31" t="n">
        <v>5</v>
      </c>
      <c r="H78" s="31" t="n">
        <v>103</v>
      </c>
      <c r="I78" s="33" t="n">
        <v>1351000</v>
      </c>
      <c r="J78" s="34" t="n">
        <f aca="false">IF(H78&gt;0,I78/H78,0)</f>
        <v>13116.5048543689</v>
      </c>
      <c r="K78" s="35" t="n">
        <f aca="false">(Benchmarks!$C$6-B78)/30.44</f>
        <v>10.742444152431</v>
      </c>
      <c r="L78" s="36" t="n">
        <f aca="false">IF(AND(D78&lt;=Benchmarks!$C$9,K78&lt;=Benchmarks!$C$7,OR(Benchmarks!$C$8="All",Benchmarks!$C$8=E78)),1,0)</f>
        <v>1</v>
      </c>
      <c r="M78" s="34" t="n">
        <f aca="false">IF(L78=1,J78,"")</f>
        <v>13116.5048543689</v>
      </c>
    </row>
    <row r="79" customFormat="false" ht="15" hidden="false" customHeight="false" outlineLevel="0" collapsed="false">
      <c r="A79" s="31" t="s">
        <v>191</v>
      </c>
      <c r="B79" s="32" t="n">
        <v>45958</v>
      </c>
      <c r="C79" s="31" t="s">
        <v>113</v>
      </c>
      <c r="D79" s="31" t="n">
        <v>2</v>
      </c>
      <c r="E79" s="31" t="s">
        <v>116</v>
      </c>
      <c r="F79" s="31" t="s">
        <v>109</v>
      </c>
      <c r="G79" s="31" t="n">
        <v>0</v>
      </c>
      <c r="H79" s="31" t="n">
        <v>225</v>
      </c>
      <c r="I79" s="33" t="n">
        <v>2400000</v>
      </c>
      <c r="J79" s="34" t="n">
        <f aca="false">IF(H79&gt;0,I79/H79,0)</f>
        <v>10666.6666666667</v>
      </c>
      <c r="K79" s="35" t="n">
        <f aca="false">(Benchmarks!$C$6-B79)/30.44</f>
        <v>11.0381077529566</v>
      </c>
      <c r="L79" s="36" t="n">
        <f aca="false">IF(AND(D79&lt;=Benchmarks!$C$9,K79&lt;=Benchmarks!$C$7,OR(Benchmarks!$C$8="All",Benchmarks!$C$8=E79)),1,0)</f>
        <v>1</v>
      </c>
      <c r="M79" s="34" t="n">
        <f aca="false">IF(L79=1,J79,"")</f>
        <v>10666.6666666667</v>
      </c>
    </row>
    <row r="80" customFormat="false" ht="15" hidden="false" customHeight="false" outlineLevel="0" collapsed="false">
      <c r="A80" s="31" t="s">
        <v>192</v>
      </c>
      <c r="B80" s="32" t="n">
        <v>45956</v>
      </c>
      <c r="C80" s="31" t="s">
        <v>107</v>
      </c>
      <c r="D80" s="31" t="n">
        <v>1</v>
      </c>
      <c r="E80" s="31" t="s">
        <v>108</v>
      </c>
      <c r="F80" s="31" t="s">
        <v>109</v>
      </c>
      <c r="G80" s="31" t="n">
        <v>1</v>
      </c>
      <c r="H80" s="31" t="n">
        <v>178</v>
      </c>
      <c r="I80" s="33" t="n">
        <v>2061000</v>
      </c>
      <c r="J80" s="34" t="n">
        <f aca="false">IF(H80&gt;0,I80/H80,0)</f>
        <v>11578.6516853933</v>
      </c>
      <c r="K80" s="35" t="n">
        <f aca="false">(Benchmarks!$C$6-B80)/30.44</f>
        <v>11.1038107752957</v>
      </c>
      <c r="L80" s="36" t="n">
        <f aca="false">IF(AND(D80&lt;=Benchmarks!$C$9,K80&lt;=Benchmarks!$C$7,OR(Benchmarks!$C$8="All",Benchmarks!$C$8=E80)),1,0)</f>
        <v>1</v>
      </c>
      <c r="M80" s="34" t="n">
        <f aca="false">IF(L80=1,J80,"")</f>
        <v>11578.6516853933</v>
      </c>
    </row>
    <row r="81" customFormat="false" ht="15" hidden="false" customHeight="false" outlineLevel="0" collapsed="false">
      <c r="A81" s="31" t="s">
        <v>193</v>
      </c>
      <c r="B81" s="32" t="n">
        <v>45950</v>
      </c>
      <c r="C81" s="31" t="s">
        <v>111</v>
      </c>
      <c r="D81" s="31" t="n">
        <v>3</v>
      </c>
      <c r="E81" s="31" t="s">
        <v>108</v>
      </c>
      <c r="F81" s="31" t="s">
        <v>109</v>
      </c>
      <c r="G81" s="31" t="n">
        <v>2</v>
      </c>
      <c r="H81" s="31" t="n">
        <v>141</v>
      </c>
      <c r="I81" s="33" t="n">
        <v>1605000</v>
      </c>
      <c r="J81" s="34" t="n">
        <f aca="false">IF(H81&gt;0,I81/H81,0)</f>
        <v>11382.9787234043</v>
      </c>
      <c r="K81" s="35" t="n">
        <f aca="false">(Benchmarks!$C$6-B81)/30.44</f>
        <v>11.3009198423127</v>
      </c>
      <c r="L81" s="36" t="n">
        <f aca="false">IF(AND(D81&lt;=Benchmarks!$C$9,K81&lt;=Benchmarks!$C$7,OR(Benchmarks!$C$8="All",Benchmarks!$C$8=E81)),1,0)</f>
        <v>0</v>
      </c>
      <c r="M81" s="34" t="str">
        <f aca="false">IF(L81=1,J81,"")</f>
        <v/>
      </c>
    </row>
    <row r="82" customFormat="false" ht="15" hidden="false" customHeight="false" outlineLevel="0" collapsed="false">
      <c r="A82" s="31" t="s">
        <v>194</v>
      </c>
      <c r="B82" s="32" t="n">
        <v>45948</v>
      </c>
      <c r="C82" s="31" t="s">
        <v>107</v>
      </c>
      <c r="D82" s="31" t="n">
        <v>1</v>
      </c>
      <c r="E82" s="31" t="s">
        <v>108</v>
      </c>
      <c r="F82" s="31" t="s">
        <v>109</v>
      </c>
      <c r="G82" s="31" t="n">
        <v>5</v>
      </c>
      <c r="H82" s="31" t="n">
        <v>110</v>
      </c>
      <c r="I82" s="33" t="n">
        <v>1376000</v>
      </c>
      <c r="J82" s="34" t="n">
        <f aca="false">IF(H82&gt;0,I82/H82,0)</f>
        <v>12509.0909090909</v>
      </c>
      <c r="K82" s="35" t="n">
        <f aca="false">(Benchmarks!$C$6-B82)/30.44</f>
        <v>11.3666228646518</v>
      </c>
      <c r="L82" s="36" t="n">
        <f aca="false">IF(AND(D82&lt;=Benchmarks!$C$9,K82&lt;=Benchmarks!$C$7,OR(Benchmarks!$C$8="All",Benchmarks!$C$8=E82)),1,0)</f>
        <v>1</v>
      </c>
      <c r="M82" s="34" t="n">
        <f aca="false">IF(L82=1,J82,"")</f>
        <v>12509.0909090909</v>
      </c>
    </row>
    <row r="83" customFormat="false" ht="15" hidden="false" customHeight="false" outlineLevel="0" collapsed="false">
      <c r="A83" s="31" t="s">
        <v>195</v>
      </c>
      <c r="B83" s="32" t="n">
        <v>45945</v>
      </c>
      <c r="C83" s="31" t="s">
        <v>132</v>
      </c>
      <c r="D83" s="31" t="n">
        <v>2</v>
      </c>
      <c r="E83" s="31" t="s">
        <v>108</v>
      </c>
      <c r="F83" s="31" t="s">
        <v>109</v>
      </c>
      <c r="G83" s="31" t="n">
        <v>1</v>
      </c>
      <c r="H83" s="31" t="n">
        <v>139</v>
      </c>
      <c r="I83" s="33" t="n">
        <v>1717000</v>
      </c>
      <c r="J83" s="34" t="n">
        <f aca="false">IF(H83&gt;0,I83/H83,0)</f>
        <v>12352.5179856115</v>
      </c>
      <c r="K83" s="35" t="n">
        <f aca="false">(Benchmarks!$C$6-B83)/30.44</f>
        <v>11.4651773981603</v>
      </c>
      <c r="L83" s="36" t="n">
        <f aca="false">IF(AND(D83&lt;=Benchmarks!$C$9,K83&lt;=Benchmarks!$C$7,OR(Benchmarks!$C$8="All",Benchmarks!$C$8=E83)),1,0)</f>
        <v>1</v>
      </c>
      <c r="M83" s="34" t="n">
        <f aca="false">IF(L83=1,J83,"")</f>
        <v>12352.5179856115</v>
      </c>
    </row>
    <row r="84" customFormat="false" ht="15" hidden="false" customHeight="false" outlineLevel="0" collapsed="false">
      <c r="A84" s="31" t="s">
        <v>196</v>
      </c>
      <c r="B84" s="32" t="n">
        <v>45939</v>
      </c>
      <c r="C84" s="31" t="s">
        <v>107</v>
      </c>
      <c r="D84" s="31" t="n">
        <v>1</v>
      </c>
      <c r="E84" s="31" t="s">
        <v>108</v>
      </c>
      <c r="F84" s="31" t="s">
        <v>123</v>
      </c>
      <c r="G84" s="31" t="n">
        <v>9</v>
      </c>
      <c r="H84" s="31" t="n">
        <v>155</v>
      </c>
      <c r="I84" s="33" t="n">
        <v>1823000</v>
      </c>
      <c r="J84" s="34" t="n">
        <f aca="false">IF(H84&gt;0,I84/H84,0)</f>
        <v>11761.2903225806</v>
      </c>
      <c r="K84" s="35" t="n">
        <f aca="false">(Benchmarks!$C$6-B84)/30.44</f>
        <v>11.6622864651774</v>
      </c>
      <c r="L84" s="36" t="n">
        <f aca="false">IF(AND(D84&lt;=Benchmarks!$C$9,K84&lt;=Benchmarks!$C$7,OR(Benchmarks!$C$8="All",Benchmarks!$C$8=E84)),1,0)</f>
        <v>1</v>
      </c>
      <c r="M84" s="34" t="n">
        <f aca="false">IF(L84=1,J84,"")</f>
        <v>11761.2903225806</v>
      </c>
    </row>
    <row r="85" customFormat="false" ht="15" hidden="false" customHeight="false" outlineLevel="0" collapsed="false">
      <c r="A85" s="31" t="s">
        <v>197</v>
      </c>
      <c r="B85" s="32" t="n">
        <v>45939</v>
      </c>
      <c r="C85" s="31" t="s">
        <v>122</v>
      </c>
      <c r="D85" s="31" t="n">
        <v>2</v>
      </c>
      <c r="E85" s="31" t="s">
        <v>108</v>
      </c>
      <c r="F85" s="31" t="s">
        <v>123</v>
      </c>
      <c r="G85" s="31" t="n">
        <v>9</v>
      </c>
      <c r="H85" s="31" t="n">
        <v>96</v>
      </c>
      <c r="I85" s="33" t="n">
        <v>1180000</v>
      </c>
      <c r="J85" s="34" t="n">
        <f aca="false">IF(H85&gt;0,I85/H85,0)</f>
        <v>12291.6666666667</v>
      </c>
      <c r="K85" s="35" t="n">
        <f aca="false">(Benchmarks!$C$6-B85)/30.44</f>
        <v>11.6622864651774</v>
      </c>
      <c r="L85" s="36" t="n">
        <f aca="false">IF(AND(D85&lt;=Benchmarks!$C$9,K85&lt;=Benchmarks!$C$7,OR(Benchmarks!$C$8="All",Benchmarks!$C$8=E85)),1,0)</f>
        <v>1</v>
      </c>
      <c r="M85" s="34" t="n">
        <f aca="false">IF(L85=1,J85,"")</f>
        <v>12291.6666666667</v>
      </c>
    </row>
    <row r="86" customFormat="false" ht="15" hidden="false" customHeight="false" outlineLevel="0" collapsed="false">
      <c r="A86" s="31" t="s">
        <v>198</v>
      </c>
      <c r="B86" s="32" t="n">
        <v>45931</v>
      </c>
      <c r="C86" s="31" t="s">
        <v>120</v>
      </c>
      <c r="D86" s="31" t="n">
        <v>3</v>
      </c>
      <c r="E86" s="31" t="s">
        <v>108</v>
      </c>
      <c r="F86" s="31" t="s">
        <v>109</v>
      </c>
      <c r="G86" s="31" t="n">
        <v>3</v>
      </c>
      <c r="H86" s="31" t="n">
        <v>150</v>
      </c>
      <c r="I86" s="33" t="n">
        <v>1957000</v>
      </c>
      <c r="J86" s="34" t="n">
        <f aca="false">IF(H86&gt;0,I86/H86,0)</f>
        <v>13046.6666666667</v>
      </c>
      <c r="K86" s="35" t="n">
        <f aca="false">(Benchmarks!$C$6-B86)/30.44</f>
        <v>11.9250985545335</v>
      </c>
      <c r="L86" s="36" t="n">
        <f aca="false">IF(AND(D86&lt;=Benchmarks!$C$9,K86&lt;=Benchmarks!$C$7,OR(Benchmarks!$C$8="All",Benchmarks!$C$8=E86)),1,0)</f>
        <v>0</v>
      </c>
      <c r="M86" s="34" t="str">
        <f aca="false">IF(L86=1,J86,"")</f>
        <v/>
      </c>
    </row>
    <row r="87" customFormat="false" ht="15" hidden="false" customHeight="false" outlineLevel="0" collapsed="false">
      <c r="A87" s="31" t="s">
        <v>199</v>
      </c>
      <c r="B87" s="32" t="n">
        <v>45930</v>
      </c>
      <c r="C87" s="31" t="s">
        <v>120</v>
      </c>
      <c r="D87" s="31" t="n">
        <v>3</v>
      </c>
      <c r="E87" s="31" t="s">
        <v>108</v>
      </c>
      <c r="F87" s="31" t="s">
        <v>109</v>
      </c>
      <c r="G87" s="31" t="n">
        <v>3</v>
      </c>
      <c r="H87" s="31" t="n">
        <v>159</v>
      </c>
      <c r="I87" s="33" t="n">
        <v>2146000</v>
      </c>
      <c r="J87" s="34" t="n">
        <f aca="false">IF(H87&gt;0,I87/H87,0)</f>
        <v>13496.855345912</v>
      </c>
      <c r="K87" s="35" t="n">
        <f aca="false">(Benchmarks!$C$6-B87)/30.44</f>
        <v>11.957950065703</v>
      </c>
      <c r="L87" s="36" t="n">
        <f aca="false">IF(AND(D87&lt;=Benchmarks!$C$9,K87&lt;=Benchmarks!$C$7,OR(Benchmarks!$C$8="All",Benchmarks!$C$8=E87)),1,0)</f>
        <v>0</v>
      </c>
      <c r="M87" s="34" t="str">
        <f aca="false">IF(L87=1,J87,"")</f>
        <v/>
      </c>
    </row>
    <row r="88" customFormat="false" ht="15" hidden="false" customHeight="false" outlineLevel="0" collapsed="false">
      <c r="A88" s="31" t="s">
        <v>200</v>
      </c>
      <c r="B88" s="32" t="n">
        <v>45925</v>
      </c>
      <c r="C88" s="31" t="s">
        <v>113</v>
      </c>
      <c r="D88" s="31" t="n">
        <v>2</v>
      </c>
      <c r="E88" s="31" t="s">
        <v>108</v>
      </c>
      <c r="F88" s="31" t="s">
        <v>109</v>
      </c>
      <c r="G88" s="31" t="n">
        <v>2</v>
      </c>
      <c r="H88" s="31" t="n">
        <v>136</v>
      </c>
      <c r="I88" s="33" t="n">
        <v>1593000</v>
      </c>
      <c r="J88" s="34" t="n">
        <f aca="false">IF(H88&gt;0,I88/H88,0)</f>
        <v>11713.2352941176</v>
      </c>
      <c r="K88" s="35" t="n">
        <f aca="false">(Benchmarks!$C$6-B88)/30.44</f>
        <v>12.1222076215506</v>
      </c>
      <c r="L88" s="36" t="n">
        <f aca="false">IF(AND(D88&lt;=Benchmarks!$C$9,K88&lt;=Benchmarks!$C$7,OR(Benchmarks!$C$8="All",Benchmarks!$C$8=E88)),1,0)</f>
        <v>0</v>
      </c>
      <c r="M88" s="34" t="str">
        <f aca="false">IF(L88=1,J88,"")</f>
        <v/>
      </c>
    </row>
    <row r="89" customFormat="false" ht="15" hidden="false" customHeight="false" outlineLevel="0" collapsed="false">
      <c r="A89" s="31" t="s">
        <v>201</v>
      </c>
      <c r="B89" s="32" t="n">
        <v>45921</v>
      </c>
      <c r="C89" s="31" t="s">
        <v>107</v>
      </c>
      <c r="D89" s="31" t="n">
        <v>1</v>
      </c>
      <c r="E89" s="31" t="s">
        <v>108</v>
      </c>
      <c r="F89" s="31" t="s">
        <v>109</v>
      </c>
      <c r="G89" s="31" t="n">
        <v>4</v>
      </c>
      <c r="H89" s="31" t="n">
        <v>116</v>
      </c>
      <c r="I89" s="33" t="n">
        <v>1426000</v>
      </c>
      <c r="J89" s="34" t="n">
        <f aca="false">IF(H89&gt;0,I89/H89,0)</f>
        <v>12293.1034482759</v>
      </c>
      <c r="K89" s="35" t="n">
        <f aca="false">(Benchmarks!$C$6-B89)/30.44</f>
        <v>12.2536136662286</v>
      </c>
      <c r="L89" s="36" t="n">
        <f aca="false">IF(AND(D89&lt;=Benchmarks!$C$9,K89&lt;=Benchmarks!$C$7,OR(Benchmarks!$C$8="All",Benchmarks!$C$8=E89)),1,0)</f>
        <v>0</v>
      </c>
      <c r="M89" s="34" t="str">
        <f aca="false">IF(L89=1,J89,"")</f>
        <v/>
      </c>
    </row>
    <row r="90" customFormat="false" ht="15" hidden="false" customHeight="false" outlineLevel="0" collapsed="false">
      <c r="A90" s="31" t="s">
        <v>202</v>
      </c>
      <c r="B90" s="32" t="n">
        <v>45897</v>
      </c>
      <c r="C90" s="31" t="s">
        <v>111</v>
      </c>
      <c r="D90" s="31" t="n">
        <v>3</v>
      </c>
      <c r="E90" s="31" t="s">
        <v>108</v>
      </c>
      <c r="F90" s="31" t="s">
        <v>109</v>
      </c>
      <c r="G90" s="31" t="n">
        <v>9</v>
      </c>
      <c r="H90" s="31" t="n">
        <v>101</v>
      </c>
      <c r="I90" s="33" t="n">
        <v>1080000</v>
      </c>
      <c r="J90" s="34" t="n">
        <f aca="false">IF(H90&gt;0,I90/H90,0)</f>
        <v>10693.0693069307</v>
      </c>
      <c r="K90" s="35" t="n">
        <f aca="false">(Benchmarks!$C$6-B90)/30.44</f>
        <v>13.042049934297</v>
      </c>
      <c r="L90" s="36" t="n">
        <f aca="false">IF(AND(D90&lt;=Benchmarks!$C$9,K90&lt;=Benchmarks!$C$7,OR(Benchmarks!$C$8="All",Benchmarks!$C$8=E90)),1,0)</f>
        <v>0</v>
      </c>
      <c r="M90" s="34" t="str">
        <f aca="false">IF(L90=1,J90,"")</f>
        <v/>
      </c>
    </row>
    <row r="91" customFormat="false" ht="15" hidden="false" customHeight="false" outlineLevel="0" collapsed="false">
      <c r="A91" s="31" t="s">
        <v>203</v>
      </c>
      <c r="B91" s="32" t="n">
        <v>45897</v>
      </c>
      <c r="C91" s="31" t="s">
        <v>107</v>
      </c>
      <c r="D91" s="31" t="n">
        <v>1</v>
      </c>
      <c r="E91" s="31" t="s">
        <v>135</v>
      </c>
      <c r="F91" s="31" t="s">
        <v>109</v>
      </c>
      <c r="G91" s="31" t="n">
        <v>0</v>
      </c>
      <c r="H91" s="31" t="n">
        <v>209</v>
      </c>
      <c r="I91" s="33" t="n">
        <v>2502000</v>
      </c>
      <c r="J91" s="34" t="n">
        <f aca="false">IF(H91&gt;0,I91/H91,0)</f>
        <v>11971.2918660287</v>
      </c>
      <c r="K91" s="35" t="n">
        <f aca="false">(Benchmarks!$C$6-B91)/30.44</f>
        <v>13.042049934297</v>
      </c>
      <c r="L91" s="36" t="n">
        <f aca="false">IF(AND(D91&lt;=Benchmarks!$C$9,K91&lt;=Benchmarks!$C$7,OR(Benchmarks!$C$8="All",Benchmarks!$C$8=E91)),1,0)</f>
        <v>0</v>
      </c>
      <c r="M91" s="34" t="str">
        <f aca="false">IF(L91=1,J91,"")</f>
        <v/>
      </c>
    </row>
    <row r="92" customFormat="false" ht="15" hidden="false" customHeight="false" outlineLevel="0" collapsed="false">
      <c r="A92" s="31" t="s">
        <v>204</v>
      </c>
      <c r="B92" s="32" t="n">
        <v>45897</v>
      </c>
      <c r="C92" s="31" t="s">
        <v>122</v>
      </c>
      <c r="D92" s="31" t="n">
        <v>2</v>
      </c>
      <c r="E92" s="31" t="s">
        <v>135</v>
      </c>
      <c r="F92" s="31" t="s">
        <v>123</v>
      </c>
      <c r="G92" s="31" t="n">
        <v>0</v>
      </c>
      <c r="H92" s="31" t="n">
        <v>173</v>
      </c>
      <c r="I92" s="33" t="n">
        <v>2104000</v>
      </c>
      <c r="J92" s="34" t="n">
        <f aca="false">IF(H92&gt;0,I92/H92,0)</f>
        <v>12161.8497109827</v>
      </c>
      <c r="K92" s="35" t="n">
        <f aca="false">(Benchmarks!$C$6-B92)/30.44</f>
        <v>13.042049934297</v>
      </c>
      <c r="L92" s="36" t="n">
        <f aca="false">IF(AND(D92&lt;=Benchmarks!$C$9,K92&lt;=Benchmarks!$C$7,OR(Benchmarks!$C$8="All",Benchmarks!$C$8=E92)),1,0)</f>
        <v>0</v>
      </c>
      <c r="M92" s="34" t="str">
        <f aca="false">IF(L92=1,J92,"")</f>
        <v/>
      </c>
    </row>
    <row r="93" customFormat="false" ht="15" hidden="false" customHeight="false" outlineLevel="0" collapsed="false">
      <c r="A93" s="31" t="s">
        <v>205</v>
      </c>
      <c r="B93" s="32" t="n">
        <v>45892</v>
      </c>
      <c r="C93" s="31" t="s">
        <v>122</v>
      </c>
      <c r="D93" s="31" t="n">
        <v>2</v>
      </c>
      <c r="E93" s="31" t="s">
        <v>108</v>
      </c>
      <c r="F93" s="31" t="s">
        <v>109</v>
      </c>
      <c r="G93" s="31" t="n">
        <v>4</v>
      </c>
      <c r="H93" s="31" t="n">
        <v>146</v>
      </c>
      <c r="I93" s="33" t="n">
        <v>1960000</v>
      </c>
      <c r="J93" s="34" t="n">
        <f aca="false">IF(H93&gt;0,I93/H93,0)</f>
        <v>13424.6575342466</v>
      </c>
      <c r="K93" s="35" t="n">
        <f aca="false">(Benchmarks!$C$6-B93)/30.44</f>
        <v>13.2063074901445</v>
      </c>
      <c r="L93" s="36" t="n">
        <f aca="false">IF(AND(D93&lt;=Benchmarks!$C$9,K93&lt;=Benchmarks!$C$7,OR(Benchmarks!$C$8="All",Benchmarks!$C$8=E93)),1,0)</f>
        <v>0</v>
      </c>
      <c r="M93" s="34" t="str">
        <f aca="false">IF(L93=1,J93,"")</f>
        <v/>
      </c>
    </row>
    <row r="94" customFormat="false" ht="15" hidden="false" customHeight="false" outlineLevel="0" collapsed="false">
      <c r="A94" s="31" t="s">
        <v>206</v>
      </c>
      <c r="B94" s="32" t="n">
        <v>45885</v>
      </c>
      <c r="C94" s="31" t="s">
        <v>107</v>
      </c>
      <c r="D94" s="31" t="n">
        <v>1</v>
      </c>
      <c r="E94" s="31" t="s">
        <v>108</v>
      </c>
      <c r="F94" s="31" t="s">
        <v>109</v>
      </c>
      <c r="G94" s="31" t="n">
        <v>6</v>
      </c>
      <c r="H94" s="31" t="n">
        <v>158</v>
      </c>
      <c r="I94" s="33" t="n">
        <v>1909000</v>
      </c>
      <c r="J94" s="34" t="n">
        <f aca="false">IF(H94&gt;0,I94/H94,0)</f>
        <v>12082.2784810127</v>
      </c>
      <c r="K94" s="35" t="n">
        <f aca="false">(Benchmarks!$C$6-B94)/30.44</f>
        <v>13.4362680683311</v>
      </c>
      <c r="L94" s="36" t="n">
        <f aca="false">IF(AND(D94&lt;=Benchmarks!$C$9,K94&lt;=Benchmarks!$C$7,OR(Benchmarks!$C$8="All",Benchmarks!$C$8=E94)),1,0)</f>
        <v>0</v>
      </c>
      <c r="M94" s="34" t="str">
        <f aca="false">IF(L94=1,J94,"")</f>
        <v/>
      </c>
    </row>
    <row r="95" customFormat="false" ht="15" hidden="false" customHeight="false" outlineLevel="0" collapsed="false">
      <c r="A95" s="31" t="s">
        <v>207</v>
      </c>
      <c r="B95" s="32" t="n">
        <v>45881</v>
      </c>
      <c r="C95" s="31" t="s">
        <v>132</v>
      </c>
      <c r="D95" s="31" t="n">
        <v>2</v>
      </c>
      <c r="E95" s="31" t="s">
        <v>135</v>
      </c>
      <c r="F95" s="31" t="s">
        <v>109</v>
      </c>
      <c r="G95" s="31" t="n">
        <v>0</v>
      </c>
      <c r="H95" s="31" t="n">
        <v>213</v>
      </c>
      <c r="I95" s="33" t="n">
        <v>2816000</v>
      </c>
      <c r="J95" s="34" t="n">
        <f aca="false">IF(H95&gt;0,I95/H95,0)</f>
        <v>13220.6572769953</v>
      </c>
      <c r="K95" s="35" t="n">
        <f aca="false">(Benchmarks!$C$6-B95)/30.44</f>
        <v>13.5676741130092</v>
      </c>
      <c r="L95" s="36" t="n">
        <f aca="false">IF(AND(D95&lt;=Benchmarks!$C$9,K95&lt;=Benchmarks!$C$7,OR(Benchmarks!$C$8="All",Benchmarks!$C$8=E95)),1,0)</f>
        <v>0</v>
      </c>
      <c r="M95" s="34" t="str">
        <f aca="false">IF(L95=1,J95,"")</f>
        <v/>
      </c>
    </row>
    <row r="96" customFormat="false" ht="15" hidden="false" customHeight="false" outlineLevel="0" collapsed="false">
      <c r="A96" s="31" t="s">
        <v>208</v>
      </c>
      <c r="B96" s="32" t="n">
        <v>45874</v>
      </c>
      <c r="C96" s="31" t="s">
        <v>113</v>
      </c>
      <c r="D96" s="31" t="n">
        <v>2</v>
      </c>
      <c r="E96" s="31" t="s">
        <v>116</v>
      </c>
      <c r="F96" s="31" t="s">
        <v>109</v>
      </c>
      <c r="G96" s="31" t="n">
        <v>0</v>
      </c>
      <c r="H96" s="31" t="n">
        <v>215</v>
      </c>
      <c r="I96" s="33" t="n">
        <v>2421000</v>
      </c>
      <c r="J96" s="34" t="n">
        <f aca="false">IF(H96&gt;0,I96/H96,0)</f>
        <v>11260.4651162791</v>
      </c>
      <c r="K96" s="35" t="n">
        <f aca="false">(Benchmarks!$C$6-B96)/30.44</f>
        <v>13.7976346911958</v>
      </c>
      <c r="L96" s="36" t="n">
        <f aca="false">IF(AND(D96&lt;=Benchmarks!$C$9,K96&lt;=Benchmarks!$C$7,OR(Benchmarks!$C$8="All",Benchmarks!$C$8=E96)),1,0)</f>
        <v>0</v>
      </c>
      <c r="M96" s="34" t="str">
        <f aca="false">IF(L96=1,J96,"")</f>
        <v/>
      </c>
    </row>
    <row r="97" customFormat="false" ht="15" hidden="false" customHeight="false" outlineLevel="0" collapsed="false">
      <c r="A97" s="31" t="s">
        <v>209</v>
      </c>
      <c r="B97" s="32" t="n">
        <v>45871</v>
      </c>
      <c r="C97" s="31" t="s">
        <v>111</v>
      </c>
      <c r="D97" s="31" t="n">
        <v>3</v>
      </c>
      <c r="E97" s="31" t="s">
        <v>135</v>
      </c>
      <c r="F97" s="31" t="s">
        <v>109</v>
      </c>
      <c r="G97" s="31" t="n">
        <v>0</v>
      </c>
      <c r="H97" s="31" t="n">
        <v>259</v>
      </c>
      <c r="I97" s="33" t="n">
        <v>3195000</v>
      </c>
      <c r="J97" s="34" t="n">
        <f aca="false">IF(H97&gt;0,I97/H97,0)</f>
        <v>12335.9073359073</v>
      </c>
      <c r="K97" s="35" t="n">
        <f aca="false">(Benchmarks!$C$6-B97)/30.44</f>
        <v>13.8961892247043</v>
      </c>
      <c r="L97" s="36" t="n">
        <f aca="false">IF(AND(D97&lt;=Benchmarks!$C$9,K97&lt;=Benchmarks!$C$7,OR(Benchmarks!$C$8="All",Benchmarks!$C$8=E97)),1,0)</f>
        <v>0</v>
      </c>
      <c r="M97" s="34" t="str">
        <f aca="false">IF(L97=1,J97,"")</f>
        <v/>
      </c>
    </row>
    <row r="98" customFormat="false" ht="15" hidden="false" customHeight="false" outlineLevel="0" collapsed="false">
      <c r="A98" s="31" t="s">
        <v>210</v>
      </c>
      <c r="B98" s="32" t="n">
        <v>45866</v>
      </c>
      <c r="C98" s="31" t="s">
        <v>107</v>
      </c>
      <c r="D98" s="31" t="n">
        <v>1</v>
      </c>
      <c r="E98" s="31" t="s">
        <v>108</v>
      </c>
      <c r="F98" s="31" t="s">
        <v>109</v>
      </c>
      <c r="G98" s="31" t="n">
        <v>2</v>
      </c>
      <c r="H98" s="31" t="n">
        <v>127</v>
      </c>
      <c r="I98" s="33" t="n">
        <v>1561000</v>
      </c>
      <c r="J98" s="34" t="n">
        <f aca="false">IF(H98&gt;0,I98/H98,0)</f>
        <v>12291.3385826772</v>
      </c>
      <c r="K98" s="35" t="n">
        <f aca="false">(Benchmarks!$C$6-B98)/30.44</f>
        <v>14.0604467805519</v>
      </c>
      <c r="L98" s="36" t="n">
        <f aca="false">IF(AND(D98&lt;=Benchmarks!$C$9,K98&lt;=Benchmarks!$C$7,OR(Benchmarks!$C$8="All",Benchmarks!$C$8=E98)),1,0)</f>
        <v>0</v>
      </c>
      <c r="M98" s="34" t="str">
        <f aca="false">IF(L98=1,J98,"")</f>
        <v/>
      </c>
    </row>
    <row r="99" customFormat="false" ht="15" hidden="false" customHeight="false" outlineLevel="0" collapsed="false">
      <c r="A99" s="31" t="s">
        <v>211</v>
      </c>
      <c r="B99" s="32" t="n">
        <v>45862</v>
      </c>
      <c r="C99" s="31" t="s">
        <v>107</v>
      </c>
      <c r="D99" s="31" t="n">
        <v>1</v>
      </c>
      <c r="E99" s="31" t="s">
        <v>108</v>
      </c>
      <c r="F99" s="31" t="s">
        <v>109</v>
      </c>
      <c r="G99" s="31" t="n">
        <v>0</v>
      </c>
      <c r="H99" s="31" t="n">
        <v>144</v>
      </c>
      <c r="I99" s="33" t="n">
        <v>1696000</v>
      </c>
      <c r="J99" s="34" t="n">
        <f aca="false">IF(H99&gt;0,I99/H99,0)</f>
        <v>11777.7777777778</v>
      </c>
      <c r="K99" s="35" t="n">
        <f aca="false">(Benchmarks!$C$6-B99)/30.44</f>
        <v>14.19185282523</v>
      </c>
      <c r="L99" s="36" t="n">
        <f aca="false">IF(AND(D99&lt;=Benchmarks!$C$9,K99&lt;=Benchmarks!$C$7,OR(Benchmarks!$C$8="All",Benchmarks!$C$8=E99)),1,0)</f>
        <v>0</v>
      </c>
      <c r="M99" s="34" t="str">
        <f aca="false">IF(L99=1,J99,"")</f>
        <v/>
      </c>
    </row>
    <row r="100" customFormat="false" ht="15" hidden="false" customHeight="false" outlineLevel="0" collapsed="false">
      <c r="A100" s="31" t="s">
        <v>212</v>
      </c>
      <c r="B100" s="32" t="n">
        <v>45856</v>
      </c>
      <c r="C100" s="31" t="s">
        <v>132</v>
      </c>
      <c r="D100" s="31" t="n">
        <v>2</v>
      </c>
      <c r="E100" s="31" t="s">
        <v>108</v>
      </c>
      <c r="F100" s="31" t="s">
        <v>109</v>
      </c>
      <c r="G100" s="31" t="n">
        <v>6</v>
      </c>
      <c r="H100" s="31" t="n">
        <v>101</v>
      </c>
      <c r="I100" s="33" t="n">
        <v>1237000</v>
      </c>
      <c r="J100" s="34" t="n">
        <f aca="false">IF(H100&gt;0,I100/H100,0)</f>
        <v>12247.5247524752</v>
      </c>
      <c r="K100" s="35" t="n">
        <f aca="false">(Benchmarks!$C$6-B100)/30.44</f>
        <v>14.388961892247</v>
      </c>
      <c r="L100" s="36" t="n">
        <f aca="false">IF(AND(D100&lt;=Benchmarks!$C$9,K100&lt;=Benchmarks!$C$7,OR(Benchmarks!$C$8="All",Benchmarks!$C$8=E100)),1,0)</f>
        <v>0</v>
      </c>
      <c r="M100" s="34" t="str">
        <f aca="false">IF(L100=1,J100,"")</f>
        <v/>
      </c>
    </row>
    <row r="101" customFormat="false" ht="15" hidden="false" customHeight="false" outlineLevel="0" collapsed="false">
      <c r="A101" s="31" t="s">
        <v>213</v>
      </c>
      <c r="B101" s="32" t="n">
        <v>45853</v>
      </c>
      <c r="C101" s="31" t="s">
        <v>107</v>
      </c>
      <c r="D101" s="31" t="n">
        <v>1</v>
      </c>
      <c r="E101" s="31" t="s">
        <v>116</v>
      </c>
      <c r="F101" s="31" t="s">
        <v>109</v>
      </c>
      <c r="G101" s="31" t="n">
        <v>0</v>
      </c>
      <c r="H101" s="31" t="n">
        <v>236</v>
      </c>
      <c r="I101" s="33" t="n">
        <v>2979000</v>
      </c>
      <c r="J101" s="34" t="n">
        <f aca="false">IF(H101&gt;0,I101/H101,0)</f>
        <v>12622.8813559322</v>
      </c>
      <c r="K101" s="35" t="n">
        <f aca="false">(Benchmarks!$C$6-B101)/30.44</f>
        <v>14.4875164257556</v>
      </c>
      <c r="L101" s="36" t="n">
        <f aca="false">IF(AND(D101&lt;=Benchmarks!$C$9,K101&lt;=Benchmarks!$C$7,OR(Benchmarks!$C$8="All",Benchmarks!$C$8=E101)),1,0)</f>
        <v>0</v>
      </c>
      <c r="M101" s="34" t="str">
        <f aca="false">IF(L101=1,J101,"")</f>
        <v/>
      </c>
    </row>
    <row r="102" customFormat="false" ht="15" hidden="false" customHeight="false" outlineLevel="0" collapsed="false">
      <c r="A102" s="31" t="s">
        <v>214</v>
      </c>
      <c r="B102" s="32" t="n">
        <v>45843</v>
      </c>
      <c r="C102" s="31" t="s">
        <v>122</v>
      </c>
      <c r="D102" s="31" t="n">
        <v>2</v>
      </c>
      <c r="E102" s="31" t="s">
        <v>108</v>
      </c>
      <c r="F102" s="31" t="s">
        <v>123</v>
      </c>
      <c r="G102" s="31" t="n">
        <v>7</v>
      </c>
      <c r="H102" s="31" t="n">
        <v>127</v>
      </c>
      <c r="I102" s="33" t="n">
        <v>1515000</v>
      </c>
      <c r="J102" s="34" t="n">
        <f aca="false">IF(H102&gt;0,I102/H102,0)</f>
        <v>11929.1338582677</v>
      </c>
      <c r="K102" s="35" t="n">
        <f aca="false">(Benchmarks!$C$6-B102)/30.44</f>
        <v>14.8160315374507</v>
      </c>
      <c r="L102" s="36" t="n">
        <f aca="false">IF(AND(D102&lt;=Benchmarks!$C$9,K102&lt;=Benchmarks!$C$7,OR(Benchmarks!$C$8="All",Benchmarks!$C$8=E102)),1,0)</f>
        <v>0</v>
      </c>
      <c r="M102" s="34" t="str">
        <f aca="false">IF(L102=1,J102,"")</f>
        <v/>
      </c>
    </row>
    <row r="103" customFormat="false" ht="15" hidden="false" customHeight="false" outlineLevel="0" collapsed="false">
      <c r="A103" s="31" t="s">
        <v>215</v>
      </c>
      <c r="B103" s="32" t="n">
        <v>45838</v>
      </c>
      <c r="C103" s="31" t="s">
        <v>132</v>
      </c>
      <c r="D103" s="31" t="n">
        <v>2</v>
      </c>
      <c r="E103" s="31" t="s">
        <v>116</v>
      </c>
      <c r="F103" s="31" t="s">
        <v>109</v>
      </c>
      <c r="G103" s="31" t="n">
        <v>0</v>
      </c>
      <c r="H103" s="31" t="n">
        <v>287</v>
      </c>
      <c r="I103" s="33" t="n">
        <v>3952000</v>
      </c>
      <c r="J103" s="34" t="n">
        <f aca="false">IF(H103&gt;0,I103/H103,0)</f>
        <v>13770.0348432056</v>
      </c>
      <c r="K103" s="35" t="n">
        <f aca="false">(Benchmarks!$C$6-B103)/30.44</f>
        <v>14.9802890932983</v>
      </c>
      <c r="L103" s="36" t="n">
        <f aca="false">IF(AND(D103&lt;=Benchmarks!$C$9,K103&lt;=Benchmarks!$C$7,OR(Benchmarks!$C$8="All",Benchmarks!$C$8=E103)),1,0)</f>
        <v>0</v>
      </c>
      <c r="M103" s="34" t="str">
        <f aca="false">IF(L103=1,J103,"")</f>
        <v/>
      </c>
    </row>
    <row r="104" customFormat="false" ht="15" hidden="false" customHeight="false" outlineLevel="0" collapsed="false">
      <c r="A104" s="31" t="s">
        <v>216</v>
      </c>
      <c r="B104" s="32" t="n">
        <v>45836</v>
      </c>
      <c r="C104" s="31" t="s">
        <v>120</v>
      </c>
      <c r="D104" s="31" t="n">
        <v>3</v>
      </c>
      <c r="E104" s="31" t="s">
        <v>108</v>
      </c>
      <c r="F104" s="31" t="s">
        <v>123</v>
      </c>
      <c r="G104" s="31" t="n">
        <v>8</v>
      </c>
      <c r="H104" s="31" t="n">
        <v>170</v>
      </c>
      <c r="I104" s="33" t="n">
        <v>2264000</v>
      </c>
      <c r="J104" s="34" t="n">
        <f aca="false">IF(H104&gt;0,I104/H104,0)</f>
        <v>13317.6470588235</v>
      </c>
      <c r="K104" s="35" t="n">
        <f aca="false">(Benchmarks!$C$6-B104)/30.44</f>
        <v>15.0459921156373</v>
      </c>
      <c r="L104" s="36" t="n">
        <f aca="false">IF(AND(D104&lt;=Benchmarks!$C$9,K104&lt;=Benchmarks!$C$7,OR(Benchmarks!$C$8="All",Benchmarks!$C$8=E104)),1,0)</f>
        <v>0</v>
      </c>
      <c r="M104" s="34" t="str">
        <f aca="false">IF(L104=1,J104,"")</f>
        <v/>
      </c>
    </row>
    <row r="105" customFormat="false" ht="15" hidden="false" customHeight="false" outlineLevel="0" collapsed="false">
      <c r="A105" s="31" t="s">
        <v>217</v>
      </c>
      <c r="B105" s="32" t="n">
        <v>45835</v>
      </c>
      <c r="C105" s="31" t="s">
        <v>107</v>
      </c>
      <c r="D105" s="31" t="n">
        <v>1</v>
      </c>
      <c r="E105" s="31" t="s">
        <v>108</v>
      </c>
      <c r="F105" s="31" t="s">
        <v>109</v>
      </c>
      <c r="G105" s="31" t="n">
        <v>8</v>
      </c>
      <c r="H105" s="31" t="n">
        <v>163</v>
      </c>
      <c r="I105" s="33" t="n">
        <v>1906000</v>
      </c>
      <c r="J105" s="34" t="n">
        <f aca="false">IF(H105&gt;0,I105/H105,0)</f>
        <v>11693.2515337423</v>
      </c>
      <c r="K105" s="35" t="n">
        <f aca="false">(Benchmarks!$C$6-B105)/30.44</f>
        <v>15.0788436268068</v>
      </c>
      <c r="L105" s="36" t="n">
        <f aca="false">IF(AND(D105&lt;=Benchmarks!$C$9,K105&lt;=Benchmarks!$C$7,OR(Benchmarks!$C$8="All",Benchmarks!$C$8=E105)),1,0)</f>
        <v>0</v>
      </c>
      <c r="M105" s="34" t="str">
        <f aca="false">IF(L105=1,J105,"")</f>
        <v/>
      </c>
    </row>
    <row r="106" customFormat="false" ht="15" hidden="false" customHeight="false" outlineLevel="0" collapsed="false">
      <c r="A106" s="31" t="s">
        <v>218</v>
      </c>
      <c r="B106" s="32" t="n">
        <v>45830</v>
      </c>
      <c r="C106" s="31" t="s">
        <v>120</v>
      </c>
      <c r="D106" s="31" t="n">
        <v>3</v>
      </c>
      <c r="E106" s="31" t="s">
        <v>108</v>
      </c>
      <c r="F106" s="31" t="s">
        <v>109</v>
      </c>
      <c r="G106" s="31" t="n">
        <v>8</v>
      </c>
      <c r="H106" s="31" t="n">
        <v>97</v>
      </c>
      <c r="I106" s="33" t="n">
        <v>1361000</v>
      </c>
      <c r="J106" s="34" t="n">
        <f aca="false">IF(H106&gt;0,I106/H106,0)</f>
        <v>14030.9278350515</v>
      </c>
      <c r="K106" s="35" t="n">
        <f aca="false">(Benchmarks!$C$6-B106)/30.44</f>
        <v>15.2431011826544</v>
      </c>
      <c r="L106" s="36" t="n">
        <f aca="false">IF(AND(D106&lt;=Benchmarks!$C$9,K106&lt;=Benchmarks!$C$7,OR(Benchmarks!$C$8="All",Benchmarks!$C$8=E106)),1,0)</f>
        <v>0</v>
      </c>
      <c r="M106" s="34" t="str">
        <f aca="false">IF(L106=1,J106,"")</f>
        <v/>
      </c>
    </row>
    <row r="107" customFormat="false" ht="15" hidden="false" customHeight="false" outlineLevel="0" collapsed="false">
      <c r="A107" s="31" t="s">
        <v>219</v>
      </c>
      <c r="B107" s="32" t="n">
        <v>45827</v>
      </c>
      <c r="C107" s="31" t="s">
        <v>107</v>
      </c>
      <c r="D107" s="31" t="n">
        <v>1</v>
      </c>
      <c r="E107" s="31" t="s">
        <v>116</v>
      </c>
      <c r="F107" s="31" t="s">
        <v>123</v>
      </c>
      <c r="G107" s="31" t="n">
        <v>0</v>
      </c>
      <c r="H107" s="31" t="n">
        <v>226</v>
      </c>
      <c r="I107" s="33" t="n">
        <v>2779000</v>
      </c>
      <c r="J107" s="34" t="n">
        <f aca="false">IF(H107&gt;0,I107/H107,0)</f>
        <v>12296.4601769912</v>
      </c>
      <c r="K107" s="35" t="n">
        <f aca="false">(Benchmarks!$C$6-B107)/30.44</f>
        <v>15.3416557161629</v>
      </c>
      <c r="L107" s="36" t="n">
        <f aca="false">IF(AND(D107&lt;=Benchmarks!$C$9,K107&lt;=Benchmarks!$C$7,OR(Benchmarks!$C$8="All",Benchmarks!$C$8=E107)),1,0)</f>
        <v>0</v>
      </c>
      <c r="M107" s="34" t="str">
        <f aca="false">IF(L107=1,J107,"")</f>
        <v/>
      </c>
    </row>
    <row r="108" customFormat="false" ht="15" hidden="false" customHeight="false" outlineLevel="0" collapsed="false">
      <c r="A108" s="31" t="s">
        <v>220</v>
      </c>
      <c r="B108" s="32" t="n">
        <v>45826</v>
      </c>
      <c r="C108" s="31" t="s">
        <v>113</v>
      </c>
      <c r="D108" s="31" t="n">
        <v>2</v>
      </c>
      <c r="E108" s="31" t="s">
        <v>135</v>
      </c>
      <c r="F108" s="31" t="s">
        <v>109</v>
      </c>
      <c r="G108" s="31" t="n">
        <v>0</v>
      </c>
      <c r="H108" s="31" t="n">
        <v>196</v>
      </c>
      <c r="I108" s="33" t="n">
        <v>2261000</v>
      </c>
      <c r="J108" s="34" t="n">
        <f aca="false">IF(H108&gt;0,I108/H108,0)</f>
        <v>11535.7142857143</v>
      </c>
      <c r="K108" s="35" t="n">
        <f aca="false">(Benchmarks!$C$6-B108)/30.44</f>
        <v>15.3745072273325</v>
      </c>
      <c r="L108" s="36" t="n">
        <f aca="false">IF(AND(D108&lt;=Benchmarks!$C$9,K108&lt;=Benchmarks!$C$7,OR(Benchmarks!$C$8="All",Benchmarks!$C$8=E108)),1,0)</f>
        <v>0</v>
      </c>
      <c r="M108" s="34" t="str">
        <f aca="false">IF(L108=1,J108,"")</f>
        <v/>
      </c>
    </row>
    <row r="109" customFormat="false" ht="15" hidden="false" customHeight="false" outlineLevel="0" collapsed="false">
      <c r="A109" s="31" t="s">
        <v>221</v>
      </c>
      <c r="B109" s="32" t="n">
        <v>45817</v>
      </c>
      <c r="C109" s="31" t="s">
        <v>111</v>
      </c>
      <c r="D109" s="31" t="n">
        <v>3</v>
      </c>
      <c r="E109" s="31" t="s">
        <v>108</v>
      </c>
      <c r="F109" s="31" t="s">
        <v>109</v>
      </c>
      <c r="G109" s="31" t="n">
        <v>8</v>
      </c>
      <c r="H109" s="31" t="n">
        <v>178</v>
      </c>
      <c r="I109" s="33" t="n">
        <v>2004000</v>
      </c>
      <c r="J109" s="34" t="n">
        <f aca="false">IF(H109&gt;0,I109/H109,0)</f>
        <v>11258.4269662921</v>
      </c>
      <c r="K109" s="35" t="n">
        <f aca="false">(Benchmarks!$C$6-B109)/30.44</f>
        <v>15.6701708278581</v>
      </c>
      <c r="L109" s="36" t="n">
        <f aca="false">IF(AND(D109&lt;=Benchmarks!$C$9,K109&lt;=Benchmarks!$C$7,OR(Benchmarks!$C$8="All",Benchmarks!$C$8=E109)),1,0)</f>
        <v>0</v>
      </c>
      <c r="M109" s="34" t="str">
        <f aca="false">IF(L109=1,J109,"")</f>
        <v/>
      </c>
    </row>
    <row r="110" customFormat="false" ht="15" hidden="false" customHeight="false" outlineLevel="0" collapsed="false">
      <c r="A110" s="31" t="s">
        <v>222</v>
      </c>
      <c r="B110" s="32" t="n">
        <v>45817</v>
      </c>
      <c r="C110" s="31" t="s">
        <v>107</v>
      </c>
      <c r="D110" s="31" t="n">
        <v>1</v>
      </c>
      <c r="E110" s="31" t="s">
        <v>108</v>
      </c>
      <c r="F110" s="31" t="s">
        <v>123</v>
      </c>
      <c r="G110" s="31" t="n">
        <v>3</v>
      </c>
      <c r="H110" s="31" t="n">
        <v>169</v>
      </c>
      <c r="I110" s="33" t="n">
        <v>1968000</v>
      </c>
      <c r="J110" s="34" t="n">
        <f aca="false">IF(H110&gt;0,I110/H110,0)</f>
        <v>11644.9704142012</v>
      </c>
      <c r="K110" s="35" t="n">
        <f aca="false">(Benchmarks!$C$6-B110)/30.44</f>
        <v>15.6701708278581</v>
      </c>
      <c r="L110" s="36" t="n">
        <f aca="false">IF(AND(D110&lt;=Benchmarks!$C$9,K110&lt;=Benchmarks!$C$7,OR(Benchmarks!$C$8="All",Benchmarks!$C$8=E110)),1,0)</f>
        <v>0</v>
      </c>
      <c r="M110" s="34" t="str">
        <f aca="false">IF(L110=1,J110,"")</f>
        <v/>
      </c>
    </row>
    <row r="111" customFormat="false" ht="15" hidden="false" customHeight="false" outlineLevel="0" collapsed="false">
      <c r="A111" s="31" t="s">
        <v>223</v>
      </c>
      <c r="B111" s="32" t="n">
        <v>45807</v>
      </c>
      <c r="C111" s="31" t="s">
        <v>122</v>
      </c>
      <c r="D111" s="31" t="n">
        <v>2</v>
      </c>
      <c r="E111" s="31" t="s">
        <v>108</v>
      </c>
      <c r="F111" s="31" t="s">
        <v>123</v>
      </c>
      <c r="G111" s="31" t="n">
        <v>3</v>
      </c>
      <c r="H111" s="31" t="n">
        <v>141</v>
      </c>
      <c r="I111" s="33" t="n">
        <v>1733000</v>
      </c>
      <c r="J111" s="34" t="n">
        <f aca="false">IF(H111&gt;0,I111/H111,0)</f>
        <v>12290.780141844</v>
      </c>
      <c r="K111" s="35" t="n">
        <f aca="false">(Benchmarks!$C$6-B111)/30.44</f>
        <v>15.9986859395532</v>
      </c>
      <c r="L111" s="36" t="n">
        <f aca="false">IF(AND(D111&lt;=Benchmarks!$C$9,K111&lt;=Benchmarks!$C$7,OR(Benchmarks!$C$8="All",Benchmarks!$C$8=E111)),1,0)</f>
        <v>0</v>
      </c>
      <c r="M111" s="34" t="str">
        <f aca="false">IF(L111=1,J111,"")</f>
        <v/>
      </c>
    </row>
    <row r="112" customFormat="false" ht="15" hidden="false" customHeight="false" outlineLevel="0" collapsed="false">
      <c r="A112" s="31" t="s">
        <v>224</v>
      </c>
      <c r="B112" s="32" t="n">
        <v>45795</v>
      </c>
      <c r="C112" s="31" t="s">
        <v>107</v>
      </c>
      <c r="D112" s="31" t="n">
        <v>1</v>
      </c>
      <c r="E112" s="31" t="s">
        <v>108</v>
      </c>
      <c r="F112" s="31" t="s">
        <v>109</v>
      </c>
      <c r="G112" s="31" t="n">
        <v>5</v>
      </c>
      <c r="H112" s="31" t="n">
        <v>160</v>
      </c>
      <c r="I112" s="33" t="n">
        <v>1882000</v>
      </c>
      <c r="J112" s="34" t="n">
        <f aca="false">IF(H112&gt;0,I112/H112,0)</f>
        <v>11762.5</v>
      </c>
      <c r="K112" s="35" t="n">
        <f aca="false">(Benchmarks!$C$6-B112)/30.44</f>
        <v>16.3929040735874</v>
      </c>
      <c r="L112" s="36" t="n">
        <f aca="false">IF(AND(D112&lt;=Benchmarks!$C$9,K112&lt;=Benchmarks!$C$7,OR(Benchmarks!$C$8="All",Benchmarks!$C$8=E112)),1,0)</f>
        <v>0</v>
      </c>
      <c r="M112" s="34" t="str">
        <f aca="false">IF(L112=1,J112,"")</f>
        <v/>
      </c>
    </row>
    <row r="113" customFormat="false" ht="15" hidden="false" customHeight="false" outlineLevel="0" collapsed="false">
      <c r="A113" s="31" t="s">
        <v>225</v>
      </c>
      <c r="B113" s="32" t="n">
        <v>45794</v>
      </c>
      <c r="C113" s="31" t="s">
        <v>113</v>
      </c>
      <c r="D113" s="31" t="n">
        <v>2</v>
      </c>
      <c r="E113" s="31" t="s">
        <v>135</v>
      </c>
      <c r="F113" s="31" t="s">
        <v>123</v>
      </c>
      <c r="G113" s="31" t="n">
        <v>0</v>
      </c>
      <c r="H113" s="31" t="n">
        <v>177</v>
      </c>
      <c r="I113" s="33" t="n">
        <v>1976000</v>
      </c>
      <c r="J113" s="34" t="n">
        <f aca="false">IF(H113&gt;0,I113/H113,0)</f>
        <v>11163.8418079096</v>
      </c>
      <c r="K113" s="35" t="n">
        <f aca="false">(Benchmarks!$C$6-B113)/30.44</f>
        <v>16.4257555847569</v>
      </c>
      <c r="L113" s="36" t="n">
        <f aca="false">IF(AND(D113&lt;=Benchmarks!$C$9,K113&lt;=Benchmarks!$C$7,OR(Benchmarks!$C$8="All",Benchmarks!$C$8=E113)),1,0)</f>
        <v>0</v>
      </c>
      <c r="M113" s="34" t="str">
        <f aca="false">IF(L113=1,J113,"")</f>
        <v/>
      </c>
    </row>
    <row r="114" customFormat="false" ht="15" hidden="false" customHeight="false" outlineLevel="0" collapsed="false">
      <c r="A114" s="31" t="s">
        <v>226</v>
      </c>
      <c r="B114" s="32" t="n">
        <v>45793</v>
      </c>
      <c r="C114" s="31" t="s">
        <v>107</v>
      </c>
      <c r="D114" s="31" t="n">
        <v>1</v>
      </c>
      <c r="E114" s="31" t="s">
        <v>135</v>
      </c>
      <c r="F114" s="31" t="s">
        <v>123</v>
      </c>
      <c r="G114" s="31" t="n">
        <v>0</v>
      </c>
      <c r="H114" s="31" t="n">
        <v>228</v>
      </c>
      <c r="I114" s="33" t="n">
        <v>2569000</v>
      </c>
      <c r="J114" s="34" t="n">
        <f aca="false">IF(H114&gt;0,I114/H114,0)</f>
        <v>11267.5438596491</v>
      </c>
      <c r="K114" s="35" t="n">
        <f aca="false">(Benchmarks!$C$6-B114)/30.44</f>
        <v>16.4586070959264</v>
      </c>
      <c r="L114" s="36" t="n">
        <f aca="false">IF(AND(D114&lt;=Benchmarks!$C$9,K114&lt;=Benchmarks!$C$7,OR(Benchmarks!$C$8="All",Benchmarks!$C$8=E114)),1,0)</f>
        <v>0</v>
      </c>
      <c r="M114" s="34" t="str">
        <f aca="false">IF(L114=1,J114,"")</f>
        <v/>
      </c>
    </row>
    <row r="115" customFormat="false" ht="15" hidden="false" customHeight="false" outlineLevel="0" collapsed="false">
      <c r="A115" s="31" t="s">
        <v>227</v>
      </c>
      <c r="B115" s="32" t="n">
        <v>45792</v>
      </c>
      <c r="C115" s="31" t="s">
        <v>107</v>
      </c>
      <c r="D115" s="31" t="n">
        <v>1</v>
      </c>
      <c r="E115" s="31" t="s">
        <v>135</v>
      </c>
      <c r="F115" s="31" t="s">
        <v>109</v>
      </c>
      <c r="G115" s="31" t="n">
        <v>0</v>
      </c>
      <c r="H115" s="31" t="n">
        <v>183</v>
      </c>
      <c r="I115" s="33" t="n">
        <v>2382000</v>
      </c>
      <c r="J115" s="34" t="n">
        <f aca="false">IF(H115&gt;0,I115/H115,0)</f>
        <v>13016.393442623</v>
      </c>
      <c r="K115" s="35" t="n">
        <f aca="false">(Benchmarks!$C$6-B115)/30.44</f>
        <v>16.4914586070959</v>
      </c>
      <c r="L115" s="36" t="n">
        <f aca="false">IF(AND(D115&lt;=Benchmarks!$C$9,K115&lt;=Benchmarks!$C$7,OR(Benchmarks!$C$8="All",Benchmarks!$C$8=E115)),1,0)</f>
        <v>0</v>
      </c>
      <c r="M115" s="34" t="str">
        <f aca="false">IF(L115=1,J115,"")</f>
        <v/>
      </c>
    </row>
    <row r="116" customFormat="false" ht="15" hidden="false" customHeight="false" outlineLevel="0" collapsed="false">
      <c r="A116" s="31" t="s">
        <v>228</v>
      </c>
      <c r="B116" s="32" t="n">
        <v>45781</v>
      </c>
      <c r="C116" s="31" t="s">
        <v>122</v>
      </c>
      <c r="D116" s="31" t="n">
        <v>2</v>
      </c>
      <c r="E116" s="31" t="s">
        <v>108</v>
      </c>
      <c r="F116" s="31" t="s">
        <v>109</v>
      </c>
      <c r="G116" s="31" t="n">
        <v>2</v>
      </c>
      <c r="H116" s="31" t="n">
        <v>102</v>
      </c>
      <c r="I116" s="33" t="n">
        <v>1184000</v>
      </c>
      <c r="J116" s="34" t="n">
        <f aca="false">IF(H116&gt;0,I116/H116,0)</f>
        <v>11607.8431372549</v>
      </c>
      <c r="K116" s="35" t="n">
        <f aca="false">(Benchmarks!$C$6-B116)/30.44</f>
        <v>16.8528252299606</v>
      </c>
      <c r="L116" s="36" t="n">
        <f aca="false">IF(AND(D116&lt;=Benchmarks!$C$9,K116&lt;=Benchmarks!$C$7,OR(Benchmarks!$C$8="All",Benchmarks!$C$8=E116)),1,0)</f>
        <v>0</v>
      </c>
      <c r="M116" s="34" t="str">
        <f aca="false">IF(L116=1,J116,"")</f>
        <v/>
      </c>
    </row>
    <row r="117" customFormat="false" ht="15" hidden="false" customHeight="false" outlineLevel="0" collapsed="false">
      <c r="A117" s="31" t="s">
        <v>229</v>
      </c>
      <c r="B117" s="32" t="n">
        <v>45776</v>
      </c>
      <c r="C117" s="31" t="s">
        <v>107</v>
      </c>
      <c r="D117" s="31" t="n">
        <v>1</v>
      </c>
      <c r="E117" s="31" t="s">
        <v>108</v>
      </c>
      <c r="F117" s="31" t="s">
        <v>109</v>
      </c>
      <c r="G117" s="31" t="n">
        <v>4</v>
      </c>
      <c r="H117" s="31" t="n">
        <v>153</v>
      </c>
      <c r="I117" s="33" t="n">
        <v>1817000</v>
      </c>
      <c r="J117" s="34" t="n">
        <f aca="false">IF(H117&gt;0,I117/H117,0)</f>
        <v>11875.8169934641</v>
      </c>
      <c r="K117" s="35" t="n">
        <f aca="false">(Benchmarks!$C$6-B117)/30.44</f>
        <v>17.0170827858081</v>
      </c>
      <c r="L117" s="36" t="n">
        <f aca="false">IF(AND(D117&lt;=Benchmarks!$C$9,K117&lt;=Benchmarks!$C$7,OR(Benchmarks!$C$8="All",Benchmarks!$C$8=E117)),1,0)</f>
        <v>0</v>
      </c>
      <c r="M117" s="34" t="str">
        <f aca="false">IF(L117=1,J117,"")</f>
        <v/>
      </c>
    </row>
    <row r="118" customFormat="false" ht="15" hidden="false" customHeight="false" outlineLevel="0" collapsed="false">
      <c r="A118" s="31" t="s">
        <v>230</v>
      </c>
      <c r="B118" s="32" t="n">
        <v>45774</v>
      </c>
      <c r="C118" s="31" t="s">
        <v>111</v>
      </c>
      <c r="D118" s="31" t="n">
        <v>3</v>
      </c>
      <c r="E118" s="31" t="s">
        <v>108</v>
      </c>
      <c r="F118" s="31" t="s">
        <v>109</v>
      </c>
      <c r="G118" s="31" t="n">
        <v>9</v>
      </c>
      <c r="H118" s="31" t="n">
        <v>115</v>
      </c>
      <c r="I118" s="33" t="n">
        <v>1259000</v>
      </c>
      <c r="J118" s="34" t="n">
        <f aca="false">IF(H118&gt;0,I118/H118,0)</f>
        <v>10947.8260869565</v>
      </c>
      <c r="K118" s="35" t="n">
        <f aca="false">(Benchmarks!$C$6-B118)/30.44</f>
        <v>17.0827858081472</v>
      </c>
      <c r="L118" s="36" t="n">
        <f aca="false">IF(AND(D118&lt;=Benchmarks!$C$9,K118&lt;=Benchmarks!$C$7,OR(Benchmarks!$C$8="All",Benchmarks!$C$8=E118)),1,0)</f>
        <v>0</v>
      </c>
      <c r="M118" s="34" t="str">
        <f aca="false">IF(L118=1,J118,"")</f>
        <v/>
      </c>
    </row>
    <row r="119" customFormat="false" ht="15" hidden="false" customHeight="false" outlineLevel="0" collapsed="false">
      <c r="A119" s="31" t="s">
        <v>231</v>
      </c>
      <c r="B119" s="32" t="n">
        <v>45773</v>
      </c>
      <c r="C119" s="31" t="s">
        <v>120</v>
      </c>
      <c r="D119" s="31" t="n">
        <v>3</v>
      </c>
      <c r="E119" s="31" t="s">
        <v>108</v>
      </c>
      <c r="F119" s="31" t="s">
        <v>123</v>
      </c>
      <c r="G119" s="31" t="n">
        <v>3</v>
      </c>
      <c r="H119" s="31" t="n">
        <v>110</v>
      </c>
      <c r="I119" s="33" t="n">
        <v>1465000</v>
      </c>
      <c r="J119" s="34" t="n">
        <f aca="false">IF(H119&gt;0,I119/H119,0)</f>
        <v>13318.1818181818</v>
      </c>
      <c r="K119" s="35" t="n">
        <f aca="false">(Benchmarks!$C$6-B119)/30.44</f>
        <v>17.1156373193167</v>
      </c>
      <c r="L119" s="36" t="n">
        <f aca="false">IF(AND(D119&lt;=Benchmarks!$C$9,K119&lt;=Benchmarks!$C$7,OR(Benchmarks!$C$8="All",Benchmarks!$C$8=E119)),1,0)</f>
        <v>0</v>
      </c>
      <c r="M119" s="34" t="str">
        <f aca="false">IF(L119=1,J119,"")</f>
        <v/>
      </c>
    </row>
    <row r="120" customFormat="false" ht="15" hidden="false" customHeight="false" outlineLevel="0" collapsed="false">
      <c r="A120" s="31" t="s">
        <v>232</v>
      </c>
      <c r="B120" s="32" t="n">
        <v>45772</v>
      </c>
      <c r="C120" s="31" t="s">
        <v>111</v>
      </c>
      <c r="D120" s="31" t="n">
        <v>3</v>
      </c>
      <c r="E120" s="31" t="s">
        <v>108</v>
      </c>
      <c r="F120" s="31" t="s">
        <v>123</v>
      </c>
      <c r="G120" s="31" t="n">
        <v>2</v>
      </c>
      <c r="H120" s="31" t="n">
        <v>162</v>
      </c>
      <c r="I120" s="33" t="n">
        <v>1885000</v>
      </c>
      <c r="J120" s="34" t="n">
        <f aca="false">IF(H120&gt;0,I120/H120,0)</f>
        <v>11635.8024691358</v>
      </c>
      <c r="K120" s="35" t="n">
        <f aca="false">(Benchmarks!$C$6-B120)/30.44</f>
        <v>17.1484888304862</v>
      </c>
      <c r="L120" s="36" t="n">
        <f aca="false">IF(AND(D120&lt;=Benchmarks!$C$9,K120&lt;=Benchmarks!$C$7,OR(Benchmarks!$C$8="All",Benchmarks!$C$8=E120)),1,0)</f>
        <v>0</v>
      </c>
      <c r="M120" s="34" t="str">
        <f aca="false">IF(L120=1,J120,"")</f>
        <v/>
      </c>
    </row>
    <row r="121" customFormat="false" ht="15" hidden="false" customHeight="false" outlineLevel="0" collapsed="false">
      <c r="A121" s="31" t="s">
        <v>233</v>
      </c>
      <c r="B121" s="32" t="n">
        <v>45763</v>
      </c>
      <c r="C121" s="31" t="s">
        <v>107</v>
      </c>
      <c r="D121" s="31" t="n">
        <v>1</v>
      </c>
      <c r="E121" s="31" t="s">
        <v>108</v>
      </c>
      <c r="F121" s="31" t="s">
        <v>123</v>
      </c>
      <c r="G121" s="31" t="n">
        <v>4</v>
      </c>
      <c r="H121" s="31" t="n">
        <v>181</v>
      </c>
      <c r="I121" s="33" t="n">
        <v>1995000</v>
      </c>
      <c r="J121" s="34" t="n">
        <f aca="false">IF(H121&gt;0,I121/H121,0)</f>
        <v>11022.0994475138</v>
      </c>
      <c r="K121" s="35" t="n">
        <f aca="false">(Benchmarks!$C$6-B121)/30.44</f>
        <v>17.4441524310118</v>
      </c>
      <c r="L121" s="36" t="n">
        <f aca="false">IF(AND(D121&lt;=Benchmarks!$C$9,K121&lt;=Benchmarks!$C$7,OR(Benchmarks!$C$8="All",Benchmarks!$C$8=E121)),1,0)</f>
        <v>0</v>
      </c>
      <c r="M121" s="34" t="str">
        <f aca="false">IF(L121=1,J121,"")</f>
        <v/>
      </c>
    </row>
    <row r="122" customFormat="false" ht="15" hidden="false" customHeight="false" outlineLevel="0" collapsed="false">
      <c r="A122" s="31" t="s">
        <v>234</v>
      </c>
      <c r="B122" s="32" t="n">
        <v>45762</v>
      </c>
      <c r="C122" s="31" t="s">
        <v>122</v>
      </c>
      <c r="D122" s="31" t="n">
        <v>2</v>
      </c>
      <c r="E122" s="31" t="s">
        <v>108</v>
      </c>
      <c r="F122" s="31" t="s">
        <v>109</v>
      </c>
      <c r="G122" s="31" t="n">
        <v>7</v>
      </c>
      <c r="H122" s="31" t="n">
        <v>171</v>
      </c>
      <c r="I122" s="33" t="n">
        <v>1813000</v>
      </c>
      <c r="J122" s="34" t="n">
        <f aca="false">IF(H122&gt;0,I122/H122,0)</f>
        <v>10602.3391812866</v>
      </c>
      <c r="K122" s="35" t="n">
        <f aca="false">(Benchmarks!$C$6-B122)/30.44</f>
        <v>17.4770039421813</v>
      </c>
      <c r="L122" s="36" t="n">
        <f aca="false">IF(AND(D122&lt;=Benchmarks!$C$9,K122&lt;=Benchmarks!$C$7,OR(Benchmarks!$C$8="All",Benchmarks!$C$8=E122)),1,0)</f>
        <v>0</v>
      </c>
      <c r="M122" s="34" t="str">
        <f aca="false">IF(L122=1,J122,"")</f>
        <v/>
      </c>
    </row>
    <row r="123" customFormat="false" ht="15" hidden="false" customHeight="false" outlineLevel="0" collapsed="false">
      <c r="A123" s="31" t="s">
        <v>235</v>
      </c>
      <c r="B123" s="32" t="n">
        <v>45749</v>
      </c>
      <c r="C123" s="31" t="s">
        <v>107</v>
      </c>
      <c r="D123" s="31" t="n">
        <v>1</v>
      </c>
      <c r="E123" s="31" t="s">
        <v>108</v>
      </c>
      <c r="F123" s="31" t="s">
        <v>123</v>
      </c>
      <c r="G123" s="31" t="n">
        <v>7</v>
      </c>
      <c r="H123" s="31" t="n">
        <v>157</v>
      </c>
      <c r="I123" s="33" t="n">
        <v>1851000</v>
      </c>
      <c r="J123" s="34" t="n">
        <f aca="false">IF(H123&gt;0,I123/H123,0)</f>
        <v>11789.8089171975</v>
      </c>
      <c r="K123" s="35" t="n">
        <f aca="false">(Benchmarks!$C$6-B123)/30.44</f>
        <v>17.904073587385</v>
      </c>
      <c r="L123" s="36" t="n">
        <f aca="false">IF(AND(D123&lt;=Benchmarks!$C$9,K123&lt;=Benchmarks!$C$7,OR(Benchmarks!$C$8="All",Benchmarks!$C$8=E123)),1,0)</f>
        <v>0</v>
      </c>
      <c r="M123" s="34" t="str">
        <f aca="false">IF(L123=1,J123,"")</f>
        <v/>
      </c>
    </row>
    <row r="124" customFormat="false" ht="15" hidden="false" customHeight="false" outlineLevel="0" collapsed="false">
      <c r="A124" s="31" t="s">
        <v>236</v>
      </c>
      <c r="B124" s="32" t="n">
        <v>45749</v>
      </c>
      <c r="C124" s="31" t="s">
        <v>120</v>
      </c>
      <c r="D124" s="31" t="n">
        <v>3</v>
      </c>
      <c r="E124" s="31" t="s">
        <v>108</v>
      </c>
      <c r="F124" s="31" t="s">
        <v>109</v>
      </c>
      <c r="G124" s="31" t="n">
        <v>7</v>
      </c>
      <c r="H124" s="31" t="n">
        <v>103</v>
      </c>
      <c r="I124" s="33" t="n">
        <v>1317000</v>
      </c>
      <c r="J124" s="34" t="n">
        <f aca="false">IF(H124&gt;0,I124/H124,0)</f>
        <v>12786.4077669903</v>
      </c>
      <c r="K124" s="35" t="n">
        <f aca="false">(Benchmarks!$C$6-B124)/30.44</f>
        <v>17.904073587385</v>
      </c>
      <c r="L124" s="36" t="n">
        <f aca="false">IF(AND(D124&lt;=Benchmarks!$C$9,K124&lt;=Benchmarks!$C$7,OR(Benchmarks!$C$8="All",Benchmarks!$C$8=E124)),1,0)</f>
        <v>0</v>
      </c>
      <c r="M124" s="34" t="str">
        <f aca="false">IF(L124=1,J124,"")</f>
        <v/>
      </c>
    </row>
    <row r="125" customFormat="false" ht="15" hidden="false" customHeight="false" outlineLevel="0" collapsed="false">
      <c r="A125" s="31" t="s">
        <v>237</v>
      </c>
      <c r="B125" s="32" t="n">
        <v>45730</v>
      </c>
      <c r="C125" s="31" t="s">
        <v>111</v>
      </c>
      <c r="D125" s="31" t="n">
        <v>3</v>
      </c>
      <c r="E125" s="31" t="s">
        <v>135</v>
      </c>
      <c r="F125" s="31" t="s">
        <v>109</v>
      </c>
      <c r="G125" s="31" t="n">
        <v>0</v>
      </c>
      <c r="H125" s="31" t="n">
        <v>179</v>
      </c>
      <c r="I125" s="33" t="n">
        <v>2015000</v>
      </c>
      <c r="J125" s="34" t="n">
        <f aca="false">IF(H125&gt;0,I125/H125,0)</f>
        <v>11256.9832402235</v>
      </c>
      <c r="K125" s="35" t="n">
        <f aca="false">(Benchmarks!$C$6-B125)/30.44</f>
        <v>18.5282522996058</v>
      </c>
      <c r="L125" s="36" t="n">
        <f aca="false">IF(AND(D125&lt;=Benchmarks!$C$9,K125&lt;=Benchmarks!$C$7,OR(Benchmarks!$C$8="All",Benchmarks!$C$8=E125)),1,0)</f>
        <v>0</v>
      </c>
      <c r="M125" s="34" t="str">
        <f aca="false">IF(L125=1,J125,"")</f>
        <v/>
      </c>
    </row>
    <row r="126" customFormat="false" ht="15" hidden="false" customHeight="false" outlineLevel="0" collapsed="false">
      <c r="A126" s="31" t="s">
        <v>238</v>
      </c>
      <c r="B126" s="32" t="n">
        <v>45728</v>
      </c>
      <c r="C126" s="31" t="s">
        <v>107</v>
      </c>
      <c r="D126" s="31" t="n">
        <v>1</v>
      </c>
      <c r="E126" s="31" t="s">
        <v>108</v>
      </c>
      <c r="F126" s="31" t="s">
        <v>123</v>
      </c>
      <c r="G126" s="31" t="n">
        <v>2</v>
      </c>
      <c r="H126" s="31" t="n">
        <v>114</v>
      </c>
      <c r="I126" s="33" t="n">
        <v>1365000</v>
      </c>
      <c r="J126" s="34" t="n">
        <f aca="false">IF(H126&gt;0,I126/H126,0)</f>
        <v>11973.6842105263</v>
      </c>
      <c r="K126" s="35" t="n">
        <f aca="false">(Benchmarks!$C$6-B126)/30.44</f>
        <v>18.5939553219448</v>
      </c>
      <c r="L126" s="36" t="n">
        <f aca="false">IF(AND(D126&lt;=Benchmarks!$C$9,K126&lt;=Benchmarks!$C$7,OR(Benchmarks!$C$8="All",Benchmarks!$C$8=E126)),1,0)</f>
        <v>0</v>
      </c>
      <c r="M126" s="34" t="str">
        <f aca="false">IF(L126=1,J126,"")</f>
        <v/>
      </c>
    </row>
    <row r="127" customFormat="false" ht="15" hidden="false" customHeight="false" outlineLevel="0" collapsed="false">
      <c r="A127" s="31" t="s">
        <v>239</v>
      </c>
      <c r="B127" s="32" t="n">
        <v>45724</v>
      </c>
      <c r="C127" s="31" t="s">
        <v>132</v>
      </c>
      <c r="D127" s="31" t="n">
        <v>2</v>
      </c>
      <c r="E127" s="31" t="s">
        <v>116</v>
      </c>
      <c r="F127" s="31" t="s">
        <v>109</v>
      </c>
      <c r="G127" s="31" t="n">
        <v>0</v>
      </c>
      <c r="H127" s="31" t="n">
        <v>276</v>
      </c>
      <c r="I127" s="33" t="n">
        <v>3534000</v>
      </c>
      <c r="J127" s="34" t="n">
        <f aca="false">IF(H127&gt;0,I127/H127,0)</f>
        <v>12804.347826087</v>
      </c>
      <c r="K127" s="35" t="n">
        <f aca="false">(Benchmarks!$C$6-B127)/30.44</f>
        <v>18.7253613666229</v>
      </c>
      <c r="L127" s="36" t="n">
        <f aca="false">IF(AND(D127&lt;=Benchmarks!$C$9,K127&lt;=Benchmarks!$C$7,OR(Benchmarks!$C$8="All",Benchmarks!$C$8=E127)),1,0)</f>
        <v>0</v>
      </c>
      <c r="M127" s="34" t="str">
        <f aca="false">IF(L127=1,J127,"")</f>
        <v/>
      </c>
    </row>
    <row r="128" customFormat="false" ht="15" hidden="false" customHeight="false" outlineLevel="0" collapsed="false">
      <c r="A128" s="31" t="s">
        <v>240</v>
      </c>
      <c r="B128" s="32" t="n">
        <v>45720</v>
      </c>
      <c r="C128" s="31" t="s">
        <v>107</v>
      </c>
      <c r="D128" s="31" t="n">
        <v>1</v>
      </c>
      <c r="E128" s="31" t="s">
        <v>108</v>
      </c>
      <c r="F128" s="31" t="s">
        <v>123</v>
      </c>
      <c r="G128" s="31" t="n">
        <v>2</v>
      </c>
      <c r="H128" s="31" t="n">
        <v>179</v>
      </c>
      <c r="I128" s="33" t="n">
        <v>2031000</v>
      </c>
      <c r="J128" s="34" t="n">
        <f aca="false">IF(H128&gt;0,I128/H128,0)</f>
        <v>11346.3687150838</v>
      </c>
      <c r="K128" s="35" t="n">
        <f aca="false">(Benchmarks!$C$6-B128)/30.44</f>
        <v>18.8567674113009</v>
      </c>
      <c r="L128" s="36" t="n">
        <f aca="false">IF(AND(D128&lt;=Benchmarks!$C$9,K128&lt;=Benchmarks!$C$7,OR(Benchmarks!$C$8="All",Benchmarks!$C$8=E128)),1,0)</f>
        <v>0</v>
      </c>
      <c r="M128" s="34" t="str">
        <f aca="false">IF(L128=1,J128,"")</f>
        <v/>
      </c>
    </row>
    <row r="129" customFormat="false" ht="15" hidden="false" customHeight="false" outlineLevel="0" collapsed="false">
      <c r="A129" s="31" t="s">
        <v>241</v>
      </c>
      <c r="B129" s="32" t="n">
        <v>45719</v>
      </c>
      <c r="C129" s="31" t="s">
        <v>107</v>
      </c>
      <c r="D129" s="31" t="n">
        <v>1</v>
      </c>
      <c r="E129" s="31" t="s">
        <v>108</v>
      </c>
      <c r="F129" s="31" t="s">
        <v>123</v>
      </c>
      <c r="G129" s="31" t="n">
        <v>8</v>
      </c>
      <c r="H129" s="31" t="n">
        <v>113</v>
      </c>
      <c r="I129" s="33" t="n">
        <v>1447000</v>
      </c>
      <c r="J129" s="34" t="n">
        <f aca="false">IF(H129&gt;0,I129/H129,0)</f>
        <v>12805.3097345133</v>
      </c>
      <c r="K129" s="35" t="n">
        <f aca="false">(Benchmarks!$C$6-B129)/30.44</f>
        <v>18.8896189224704</v>
      </c>
      <c r="L129" s="36" t="n">
        <f aca="false">IF(AND(D129&lt;=Benchmarks!$C$9,K129&lt;=Benchmarks!$C$7,OR(Benchmarks!$C$8="All",Benchmarks!$C$8=E129)),1,0)</f>
        <v>0</v>
      </c>
      <c r="M129" s="34" t="str">
        <f aca="false">IF(L129=1,J129,"")</f>
        <v/>
      </c>
    </row>
    <row r="130" customFormat="false" ht="15" hidden="false" customHeight="false" outlineLevel="0" collapsed="false">
      <c r="A130" s="31" t="s">
        <v>242</v>
      </c>
      <c r="B130" s="32" t="n">
        <v>45713</v>
      </c>
      <c r="C130" s="31" t="s">
        <v>113</v>
      </c>
      <c r="D130" s="31" t="n">
        <v>2</v>
      </c>
      <c r="E130" s="31" t="s">
        <v>108</v>
      </c>
      <c r="F130" s="31" t="s">
        <v>123</v>
      </c>
      <c r="G130" s="31" t="n">
        <v>9</v>
      </c>
      <c r="H130" s="31" t="n">
        <v>166</v>
      </c>
      <c r="I130" s="33" t="n">
        <v>1874000</v>
      </c>
      <c r="J130" s="34" t="n">
        <f aca="false">IF(H130&gt;0,I130/H130,0)</f>
        <v>11289.156626506</v>
      </c>
      <c r="K130" s="35" t="n">
        <f aca="false">(Benchmarks!$C$6-B130)/30.44</f>
        <v>19.0867279894875</v>
      </c>
      <c r="L130" s="36" t="n">
        <f aca="false">IF(AND(D130&lt;=Benchmarks!$C$9,K130&lt;=Benchmarks!$C$7,OR(Benchmarks!$C$8="All",Benchmarks!$C$8=E130)),1,0)</f>
        <v>0</v>
      </c>
      <c r="M130" s="34" t="str">
        <f aca="false">IF(L130=1,J130,"")</f>
        <v/>
      </c>
    </row>
    <row r="131" customFormat="false" ht="15" hidden="false" customHeight="false" outlineLevel="0" collapsed="false">
      <c r="A131" s="31" t="s">
        <v>243</v>
      </c>
      <c r="B131" s="32" t="n">
        <v>45711</v>
      </c>
      <c r="C131" s="31" t="s">
        <v>122</v>
      </c>
      <c r="D131" s="31" t="n">
        <v>2</v>
      </c>
      <c r="E131" s="31" t="s">
        <v>116</v>
      </c>
      <c r="F131" s="31" t="s">
        <v>109</v>
      </c>
      <c r="G131" s="31" t="n">
        <v>0</v>
      </c>
      <c r="H131" s="31" t="n">
        <v>223</v>
      </c>
      <c r="I131" s="33" t="n">
        <v>2463000</v>
      </c>
      <c r="J131" s="34" t="n">
        <f aca="false">IF(H131&gt;0,I131/H131,0)</f>
        <v>11044.8430493274</v>
      </c>
      <c r="K131" s="35" t="n">
        <f aca="false">(Benchmarks!$C$6-B131)/30.44</f>
        <v>19.1524310118265</v>
      </c>
      <c r="L131" s="36" t="n">
        <f aca="false">IF(AND(D131&lt;=Benchmarks!$C$9,K131&lt;=Benchmarks!$C$7,OR(Benchmarks!$C$8="All",Benchmarks!$C$8=E131)),1,0)</f>
        <v>0</v>
      </c>
      <c r="M131" s="34" t="str">
        <f aca="false">IF(L131=1,J131,"")</f>
        <v/>
      </c>
    </row>
    <row r="132" customFormat="false" ht="15" hidden="false" customHeight="false" outlineLevel="0" collapsed="false">
      <c r="A132" s="31" t="s">
        <v>244</v>
      </c>
      <c r="B132" s="32" t="n">
        <v>45711</v>
      </c>
      <c r="C132" s="31" t="s">
        <v>122</v>
      </c>
      <c r="D132" s="31" t="n">
        <v>2</v>
      </c>
      <c r="E132" s="31" t="s">
        <v>108</v>
      </c>
      <c r="F132" s="31" t="s">
        <v>123</v>
      </c>
      <c r="G132" s="31" t="n">
        <v>2</v>
      </c>
      <c r="H132" s="31" t="n">
        <v>177</v>
      </c>
      <c r="I132" s="33" t="n">
        <v>2041000</v>
      </c>
      <c r="J132" s="34" t="n">
        <f aca="false">IF(H132&gt;0,I132/H132,0)</f>
        <v>11531.0734463277</v>
      </c>
      <c r="K132" s="35" t="n">
        <f aca="false">(Benchmarks!$C$6-B132)/30.44</f>
        <v>19.1524310118265</v>
      </c>
      <c r="L132" s="36" t="n">
        <f aca="false">IF(AND(D132&lt;=Benchmarks!$C$9,K132&lt;=Benchmarks!$C$7,OR(Benchmarks!$C$8="All",Benchmarks!$C$8=E132)),1,0)</f>
        <v>0</v>
      </c>
      <c r="M132" s="34" t="str">
        <f aca="false">IF(L132=1,J132,"")</f>
        <v/>
      </c>
    </row>
    <row r="133" customFormat="false" ht="15" hidden="false" customHeight="false" outlineLevel="0" collapsed="false">
      <c r="A133" s="31" t="s">
        <v>245</v>
      </c>
      <c r="B133" s="32" t="n">
        <v>45708</v>
      </c>
      <c r="C133" s="31" t="s">
        <v>111</v>
      </c>
      <c r="D133" s="31" t="n">
        <v>3</v>
      </c>
      <c r="E133" s="31" t="s">
        <v>116</v>
      </c>
      <c r="F133" s="31" t="s">
        <v>123</v>
      </c>
      <c r="G133" s="31" t="n">
        <v>0</v>
      </c>
      <c r="H133" s="31" t="n">
        <v>272</v>
      </c>
      <c r="I133" s="33" t="n">
        <v>3375000</v>
      </c>
      <c r="J133" s="34" t="n">
        <f aca="false">IF(H133&gt;0,I133/H133,0)</f>
        <v>12408.0882352941</v>
      </c>
      <c r="K133" s="35" t="n">
        <f aca="false">(Benchmarks!$C$6-B133)/30.44</f>
        <v>19.2509855453351</v>
      </c>
      <c r="L133" s="36" t="n">
        <f aca="false">IF(AND(D133&lt;=Benchmarks!$C$9,K133&lt;=Benchmarks!$C$7,OR(Benchmarks!$C$8="All",Benchmarks!$C$8=E133)),1,0)</f>
        <v>0</v>
      </c>
      <c r="M133" s="34" t="str">
        <f aca="false">IF(L133=1,J133,"")</f>
        <v/>
      </c>
    </row>
    <row r="134" customFormat="false" ht="15" hidden="false" customHeight="false" outlineLevel="0" collapsed="false">
      <c r="A134" s="31" t="s">
        <v>246</v>
      </c>
      <c r="B134" s="32" t="n">
        <v>45708</v>
      </c>
      <c r="C134" s="31" t="s">
        <v>113</v>
      </c>
      <c r="D134" s="31" t="n">
        <v>2</v>
      </c>
      <c r="E134" s="31" t="s">
        <v>108</v>
      </c>
      <c r="F134" s="31" t="s">
        <v>109</v>
      </c>
      <c r="G134" s="31" t="n">
        <v>5</v>
      </c>
      <c r="H134" s="31" t="n">
        <v>117</v>
      </c>
      <c r="I134" s="33" t="n">
        <v>1264000</v>
      </c>
      <c r="J134" s="34" t="n">
        <f aca="false">IF(H134&gt;0,I134/H134,0)</f>
        <v>10803.4188034188</v>
      </c>
      <c r="K134" s="35" t="n">
        <f aca="false">(Benchmarks!$C$6-B134)/30.44</f>
        <v>19.2509855453351</v>
      </c>
      <c r="L134" s="36" t="n">
        <f aca="false">IF(AND(D134&lt;=Benchmarks!$C$9,K134&lt;=Benchmarks!$C$7,OR(Benchmarks!$C$8="All",Benchmarks!$C$8=E134)),1,0)</f>
        <v>0</v>
      </c>
      <c r="M134" s="34" t="str">
        <f aca="false">IF(L134=1,J134,"")</f>
        <v/>
      </c>
    </row>
    <row r="135" customFormat="false" ht="15" hidden="false" customHeight="false" outlineLevel="0" collapsed="false">
      <c r="A135" s="31" t="s">
        <v>247</v>
      </c>
      <c r="B135" s="32" t="n">
        <v>45707</v>
      </c>
      <c r="C135" s="31" t="s">
        <v>132</v>
      </c>
      <c r="D135" s="31" t="n">
        <v>2</v>
      </c>
      <c r="E135" s="31" t="s">
        <v>108</v>
      </c>
      <c r="F135" s="31" t="s">
        <v>109</v>
      </c>
      <c r="G135" s="31" t="n">
        <v>7</v>
      </c>
      <c r="H135" s="31" t="n">
        <v>101</v>
      </c>
      <c r="I135" s="33" t="n">
        <v>1349000</v>
      </c>
      <c r="J135" s="34" t="n">
        <f aca="false">IF(H135&gt;0,I135/H135,0)</f>
        <v>13356.4356435644</v>
      </c>
      <c r="K135" s="35" t="n">
        <f aca="false">(Benchmarks!$C$6-B135)/30.44</f>
        <v>19.2838370565046</v>
      </c>
      <c r="L135" s="36" t="n">
        <f aca="false">IF(AND(D135&lt;=Benchmarks!$C$9,K135&lt;=Benchmarks!$C$7,OR(Benchmarks!$C$8="All",Benchmarks!$C$8=E135)),1,0)</f>
        <v>0</v>
      </c>
      <c r="M135" s="34" t="str">
        <f aca="false">IF(L135=1,J135,"")</f>
        <v/>
      </c>
    </row>
    <row r="136" customFormat="false" ht="15" hidden="false" customHeight="false" outlineLevel="0" collapsed="false">
      <c r="A136" s="31" t="s">
        <v>248</v>
      </c>
      <c r="B136" s="32" t="n">
        <v>45706</v>
      </c>
      <c r="C136" s="31" t="s">
        <v>120</v>
      </c>
      <c r="D136" s="31" t="n">
        <v>3</v>
      </c>
      <c r="E136" s="31" t="s">
        <v>135</v>
      </c>
      <c r="F136" s="31" t="s">
        <v>109</v>
      </c>
      <c r="G136" s="31" t="n">
        <v>0</v>
      </c>
      <c r="H136" s="31" t="n">
        <v>205</v>
      </c>
      <c r="I136" s="33" t="n">
        <v>2862000</v>
      </c>
      <c r="J136" s="34" t="n">
        <f aca="false">IF(H136&gt;0,I136/H136,0)</f>
        <v>13960.9756097561</v>
      </c>
      <c r="K136" s="35" t="n">
        <f aca="false">(Benchmarks!$C$6-B136)/30.44</f>
        <v>19.3166885676741</v>
      </c>
      <c r="L136" s="36" t="n">
        <f aca="false">IF(AND(D136&lt;=Benchmarks!$C$9,K136&lt;=Benchmarks!$C$7,OR(Benchmarks!$C$8="All",Benchmarks!$C$8=E136)),1,0)</f>
        <v>0</v>
      </c>
      <c r="M136" s="34" t="str">
        <f aca="false">IF(L136=1,J136,"")</f>
        <v/>
      </c>
    </row>
    <row r="137" customFormat="false" ht="15" hidden="false" customHeight="false" outlineLevel="0" collapsed="false">
      <c r="A137" s="31" t="s">
        <v>249</v>
      </c>
      <c r="B137" s="32" t="n">
        <v>45703</v>
      </c>
      <c r="C137" s="31" t="s">
        <v>107</v>
      </c>
      <c r="D137" s="31" t="n">
        <v>1</v>
      </c>
      <c r="E137" s="31" t="s">
        <v>116</v>
      </c>
      <c r="F137" s="31" t="s">
        <v>109</v>
      </c>
      <c r="G137" s="31" t="n">
        <v>0</v>
      </c>
      <c r="H137" s="31" t="n">
        <v>290</v>
      </c>
      <c r="I137" s="33" t="n">
        <v>3861000</v>
      </c>
      <c r="J137" s="34" t="n">
        <f aca="false">IF(H137&gt;0,I137/H137,0)</f>
        <v>13313.7931034483</v>
      </c>
      <c r="K137" s="35" t="n">
        <f aca="false">(Benchmarks!$C$6-B137)/30.44</f>
        <v>19.4152431011827</v>
      </c>
      <c r="L137" s="36" t="n">
        <f aca="false">IF(AND(D137&lt;=Benchmarks!$C$9,K137&lt;=Benchmarks!$C$7,OR(Benchmarks!$C$8="All",Benchmarks!$C$8=E137)),1,0)</f>
        <v>0</v>
      </c>
      <c r="M137" s="34" t="str">
        <f aca="false">IF(L137=1,J137,"")</f>
        <v/>
      </c>
    </row>
    <row r="138" customFormat="false" ht="15" hidden="false" customHeight="false" outlineLevel="0" collapsed="false">
      <c r="A138" s="31" t="s">
        <v>250</v>
      </c>
      <c r="B138" s="32" t="n">
        <v>45700</v>
      </c>
      <c r="C138" s="31" t="s">
        <v>107</v>
      </c>
      <c r="D138" s="31" t="n">
        <v>1</v>
      </c>
      <c r="E138" s="31" t="s">
        <v>116</v>
      </c>
      <c r="F138" s="31" t="s">
        <v>123</v>
      </c>
      <c r="G138" s="31" t="n">
        <v>0</v>
      </c>
      <c r="H138" s="31" t="n">
        <v>258</v>
      </c>
      <c r="I138" s="33" t="n">
        <v>3383000</v>
      </c>
      <c r="J138" s="34" t="n">
        <f aca="false">IF(H138&gt;0,I138/H138,0)</f>
        <v>13112.4031007752</v>
      </c>
      <c r="K138" s="35" t="n">
        <f aca="false">(Benchmarks!$C$6-B138)/30.44</f>
        <v>19.5137976346912</v>
      </c>
      <c r="L138" s="36" t="n">
        <f aca="false">IF(AND(D138&lt;=Benchmarks!$C$9,K138&lt;=Benchmarks!$C$7,OR(Benchmarks!$C$8="All",Benchmarks!$C$8=E138)),1,0)</f>
        <v>0</v>
      </c>
      <c r="M138" s="34" t="str">
        <f aca="false">IF(L138=1,J138,"")</f>
        <v/>
      </c>
    </row>
    <row r="139" customFormat="false" ht="15" hidden="false" customHeight="false" outlineLevel="0" collapsed="false">
      <c r="A139" s="31" t="s">
        <v>251</v>
      </c>
      <c r="B139" s="32" t="n">
        <v>45700</v>
      </c>
      <c r="C139" s="31" t="s">
        <v>111</v>
      </c>
      <c r="D139" s="31" t="n">
        <v>3</v>
      </c>
      <c r="E139" s="31" t="s">
        <v>108</v>
      </c>
      <c r="F139" s="31" t="s">
        <v>109</v>
      </c>
      <c r="G139" s="31" t="n">
        <v>1</v>
      </c>
      <c r="H139" s="31" t="n">
        <v>116</v>
      </c>
      <c r="I139" s="33" t="n">
        <v>1370000</v>
      </c>
      <c r="J139" s="34" t="n">
        <f aca="false">IF(H139&gt;0,I139/H139,0)</f>
        <v>11810.3448275862</v>
      </c>
      <c r="K139" s="35" t="n">
        <f aca="false">(Benchmarks!$C$6-B139)/30.44</f>
        <v>19.5137976346912</v>
      </c>
      <c r="L139" s="36" t="n">
        <f aca="false">IF(AND(D139&lt;=Benchmarks!$C$9,K139&lt;=Benchmarks!$C$7,OR(Benchmarks!$C$8="All",Benchmarks!$C$8=E139)),1,0)</f>
        <v>0</v>
      </c>
      <c r="M139" s="34" t="str">
        <f aca="false">IF(L139=1,J139,"")</f>
        <v/>
      </c>
    </row>
    <row r="140" customFormat="false" ht="15" hidden="false" customHeight="false" outlineLevel="0" collapsed="false">
      <c r="A140" s="31" t="s">
        <v>252</v>
      </c>
      <c r="B140" s="32" t="n">
        <v>45698</v>
      </c>
      <c r="C140" s="31" t="s">
        <v>132</v>
      </c>
      <c r="D140" s="31" t="n">
        <v>2</v>
      </c>
      <c r="E140" s="31" t="s">
        <v>108</v>
      </c>
      <c r="F140" s="31" t="s">
        <v>123</v>
      </c>
      <c r="G140" s="31" t="n">
        <v>4</v>
      </c>
      <c r="H140" s="31" t="n">
        <v>158</v>
      </c>
      <c r="I140" s="33" t="n">
        <v>1852000</v>
      </c>
      <c r="J140" s="34" t="n">
        <f aca="false">IF(H140&gt;0,I140/H140,0)</f>
        <v>11721.5189873418</v>
      </c>
      <c r="K140" s="35" t="n">
        <f aca="false">(Benchmarks!$C$6-B140)/30.44</f>
        <v>19.5795006570302</v>
      </c>
      <c r="L140" s="36" t="n">
        <f aca="false">IF(AND(D140&lt;=Benchmarks!$C$9,K140&lt;=Benchmarks!$C$7,OR(Benchmarks!$C$8="All",Benchmarks!$C$8=E140)),1,0)</f>
        <v>0</v>
      </c>
      <c r="M140" s="34" t="str">
        <f aca="false">IF(L140=1,J140,"")</f>
        <v/>
      </c>
    </row>
    <row r="141" customFormat="false" ht="15" hidden="false" customHeight="false" outlineLevel="0" collapsed="false">
      <c r="A141" s="31" t="s">
        <v>253</v>
      </c>
      <c r="B141" s="32" t="n">
        <v>45698</v>
      </c>
      <c r="C141" s="31" t="s">
        <v>120</v>
      </c>
      <c r="D141" s="31" t="n">
        <v>3</v>
      </c>
      <c r="E141" s="31" t="s">
        <v>116</v>
      </c>
      <c r="F141" s="31" t="s">
        <v>109</v>
      </c>
      <c r="G141" s="31" t="n">
        <v>0</v>
      </c>
      <c r="H141" s="31" t="n">
        <v>286</v>
      </c>
      <c r="I141" s="33" t="n">
        <v>4110000</v>
      </c>
      <c r="J141" s="34" t="n">
        <f aca="false">IF(H141&gt;0,I141/H141,0)</f>
        <v>14370.6293706294</v>
      </c>
      <c r="K141" s="35" t="n">
        <f aca="false">(Benchmarks!$C$6-B141)/30.44</f>
        <v>19.5795006570302</v>
      </c>
      <c r="L141" s="36" t="n">
        <f aca="false">IF(AND(D141&lt;=Benchmarks!$C$9,K141&lt;=Benchmarks!$C$7,OR(Benchmarks!$C$8="All",Benchmarks!$C$8=E141)),1,0)</f>
        <v>0</v>
      </c>
      <c r="M141" s="34" t="str">
        <f aca="false">IF(L141=1,J141,"")</f>
        <v/>
      </c>
    </row>
    <row r="142" customFormat="false" ht="15" hidden="false" customHeight="false" outlineLevel="0" collapsed="false">
      <c r="A142" s="31" t="s">
        <v>254</v>
      </c>
      <c r="B142" s="32" t="n">
        <v>45698</v>
      </c>
      <c r="C142" s="31" t="s">
        <v>107</v>
      </c>
      <c r="D142" s="31" t="n">
        <v>1</v>
      </c>
      <c r="E142" s="31" t="s">
        <v>116</v>
      </c>
      <c r="F142" s="31" t="s">
        <v>109</v>
      </c>
      <c r="G142" s="31" t="n">
        <v>0</v>
      </c>
      <c r="H142" s="31" t="n">
        <v>214</v>
      </c>
      <c r="I142" s="33" t="n">
        <v>2753000</v>
      </c>
      <c r="J142" s="34" t="n">
        <f aca="false">IF(H142&gt;0,I142/H142,0)</f>
        <v>12864.4859813084</v>
      </c>
      <c r="K142" s="35" t="n">
        <f aca="false">(Benchmarks!$C$6-B142)/30.44</f>
        <v>19.5795006570302</v>
      </c>
      <c r="L142" s="36" t="n">
        <f aca="false">IF(AND(D142&lt;=Benchmarks!$C$9,K142&lt;=Benchmarks!$C$7,OR(Benchmarks!$C$8="All",Benchmarks!$C$8=E142)),1,0)</f>
        <v>0</v>
      </c>
      <c r="M142" s="34" t="str">
        <f aca="false">IF(L142=1,J142,"")</f>
        <v/>
      </c>
    </row>
    <row r="143" customFormat="false" ht="15" hidden="false" customHeight="false" outlineLevel="0" collapsed="false">
      <c r="A143" s="31" t="s">
        <v>255</v>
      </c>
      <c r="B143" s="32" t="n">
        <v>45692</v>
      </c>
      <c r="C143" s="31" t="s">
        <v>122</v>
      </c>
      <c r="D143" s="31" t="n">
        <v>2</v>
      </c>
      <c r="E143" s="31" t="s">
        <v>116</v>
      </c>
      <c r="F143" s="31" t="s">
        <v>109</v>
      </c>
      <c r="G143" s="31" t="n">
        <v>0</v>
      </c>
      <c r="H143" s="31" t="n">
        <v>288</v>
      </c>
      <c r="I143" s="33" t="n">
        <v>3605000</v>
      </c>
      <c r="J143" s="34" t="n">
        <f aca="false">IF(H143&gt;0,I143/H143,0)</f>
        <v>12517.3611111111</v>
      </c>
      <c r="K143" s="35" t="n">
        <f aca="false">(Benchmarks!$C$6-B143)/30.44</f>
        <v>19.7766097240473</v>
      </c>
      <c r="L143" s="36" t="n">
        <f aca="false">IF(AND(D143&lt;=Benchmarks!$C$9,K143&lt;=Benchmarks!$C$7,OR(Benchmarks!$C$8="All",Benchmarks!$C$8=E143)),1,0)</f>
        <v>0</v>
      </c>
      <c r="M143" s="34" t="str">
        <f aca="false">IF(L143=1,J143,"")</f>
        <v/>
      </c>
    </row>
    <row r="144" customFormat="false" ht="15" hidden="false" customHeight="false" outlineLevel="0" collapsed="false">
      <c r="A144" s="31" t="s">
        <v>256</v>
      </c>
      <c r="B144" s="32" t="n">
        <v>45683</v>
      </c>
      <c r="C144" s="31" t="s">
        <v>120</v>
      </c>
      <c r="D144" s="31" t="n">
        <v>3</v>
      </c>
      <c r="E144" s="31" t="s">
        <v>108</v>
      </c>
      <c r="F144" s="31" t="s">
        <v>123</v>
      </c>
      <c r="G144" s="31" t="n">
        <v>9</v>
      </c>
      <c r="H144" s="31" t="n">
        <v>141</v>
      </c>
      <c r="I144" s="33" t="n">
        <v>2009000</v>
      </c>
      <c r="J144" s="34" t="n">
        <f aca="false">IF(H144&gt;0,I144/H144,0)</f>
        <v>14248.2269503546</v>
      </c>
      <c r="K144" s="35" t="n">
        <f aca="false">(Benchmarks!$C$6-B144)/30.44</f>
        <v>20.0722733245729</v>
      </c>
      <c r="L144" s="36" t="n">
        <f aca="false">IF(AND(D144&lt;=Benchmarks!$C$9,K144&lt;=Benchmarks!$C$7,OR(Benchmarks!$C$8="All",Benchmarks!$C$8=E144)),1,0)</f>
        <v>0</v>
      </c>
      <c r="M144" s="34" t="str">
        <f aca="false">IF(L144=1,J144,"")</f>
        <v/>
      </c>
    </row>
    <row r="145" customFormat="false" ht="15" hidden="false" customHeight="false" outlineLevel="0" collapsed="false">
      <c r="A145" s="31" t="s">
        <v>257</v>
      </c>
      <c r="B145" s="32" t="n">
        <v>45681</v>
      </c>
      <c r="C145" s="31" t="s">
        <v>111</v>
      </c>
      <c r="D145" s="31" t="n">
        <v>3</v>
      </c>
      <c r="E145" s="31" t="s">
        <v>135</v>
      </c>
      <c r="F145" s="31" t="s">
        <v>123</v>
      </c>
      <c r="G145" s="31" t="n">
        <v>0</v>
      </c>
      <c r="H145" s="31" t="n">
        <v>212</v>
      </c>
      <c r="I145" s="33" t="n">
        <v>2260000</v>
      </c>
      <c r="J145" s="34" t="n">
        <f aca="false">IF(H145&gt;0,I145/H145,0)</f>
        <v>10660.3773584906</v>
      </c>
      <c r="K145" s="35" t="n">
        <f aca="false">(Benchmarks!$C$6-B145)/30.44</f>
        <v>20.137976346912</v>
      </c>
      <c r="L145" s="36" t="n">
        <f aca="false">IF(AND(D145&lt;=Benchmarks!$C$9,K145&lt;=Benchmarks!$C$7,OR(Benchmarks!$C$8="All",Benchmarks!$C$8=E145)),1,0)</f>
        <v>0</v>
      </c>
      <c r="M145" s="34" t="str">
        <f aca="false">IF(L145=1,J145,"")</f>
        <v/>
      </c>
    </row>
    <row r="146" customFormat="false" ht="15" hidden="false" customHeight="false" outlineLevel="0" collapsed="false">
      <c r="A146" s="31" t="s">
        <v>258</v>
      </c>
      <c r="B146" s="32" t="n">
        <v>45660</v>
      </c>
      <c r="C146" s="31" t="s">
        <v>132</v>
      </c>
      <c r="D146" s="31" t="n">
        <v>2</v>
      </c>
      <c r="E146" s="31" t="s">
        <v>108</v>
      </c>
      <c r="F146" s="31" t="s">
        <v>109</v>
      </c>
      <c r="G146" s="31" t="n">
        <v>5</v>
      </c>
      <c r="H146" s="31" t="n">
        <v>165</v>
      </c>
      <c r="I146" s="33" t="n">
        <v>2020000</v>
      </c>
      <c r="J146" s="34" t="n">
        <f aca="false">IF(H146&gt;0,I146/H146,0)</f>
        <v>12242.4242424242</v>
      </c>
      <c r="K146" s="35" t="n">
        <f aca="false">(Benchmarks!$C$6-B146)/30.44</f>
        <v>20.8278580814717</v>
      </c>
      <c r="L146" s="36" t="n">
        <f aca="false">IF(AND(D146&lt;=Benchmarks!$C$9,K146&lt;=Benchmarks!$C$7,OR(Benchmarks!$C$8="All",Benchmarks!$C$8=E146)),1,0)</f>
        <v>0</v>
      </c>
      <c r="M146" s="34" t="str">
        <f aca="false">IF(L146=1,J146,"")</f>
        <v/>
      </c>
    </row>
    <row r="147" customFormat="false" ht="15" hidden="false" customHeight="false" outlineLevel="0" collapsed="false">
      <c r="A147" s="31" t="s">
        <v>259</v>
      </c>
      <c r="B147" s="32" t="n">
        <v>45652</v>
      </c>
      <c r="C147" s="31" t="s">
        <v>132</v>
      </c>
      <c r="D147" s="31" t="n">
        <v>2</v>
      </c>
      <c r="E147" s="31" t="s">
        <v>108</v>
      </c>
      <c r="F147" s="31" t="s">
        <v>109</v>
      </c>
      <c r="G147" s="31" t="n">
        <v>4</v>
      </c>
      <c r="H147" s="31" t="n">
        <v>159</v>
      </c>
      <c r="I147" s="33" t="n">
        <v>2002000</v>
      </c>
      <c r="J147" s="34" t="n">
        <f aca="false">IF(H147&gt;0,I147/H147,0)</f>
        <v>12591.1949685535</v>
      </c>
      <c r="K147" s="35" t="n">
        <f aca="false">(Benchmarks!$C$6-B147)/30.44</f>
        <v>21.0906701708279</v>
      </c>
      <c r="L147" s="36" t="n">
        <f aca="false">IF(AND(D147&lt;=Benchmarks!$C$9,K147&lt;=Benchmarks!$C$7,OR(Benchmarks!$C$8="All",Benchmarks!$C$8=E147)),1,0)</f>
        <v>0</v>
      </c>
      <c r="M147" s="34" t="str">
        <f aca="false">IF(L147=1,J147,"")</f>
        <v/>
      </c>
    </row>
    <row r="148" customFormat="false" ht="15" hidden="false" customHeight="false" outlineLevel="0" collapsed="false">
      <c r="A148" s="31" t="s">
        <v>260</v>
      </c>
      <c r="B148" s="32" t="n">
        <v>45648</v>
      </c>
      <c r="C148" s="31" t="s">
        <v>122</v>
      </c>
      <c r="D148" s="31" t="n">
        <v>2</v>
      </c>
      <c r="E148" s="31" t="s">
        <v>135</v>
      </c>
      <c r="F148" s="31" t="s">
        <v>109</v>
      </c>
      <c r="G148" s="31" t="n">
        <v>0</v>
      </c>
      <c r="H148" s="31" t="n">
        <v>185</v>
      </c>
      <c r="I148" s="33" t="n">
        <v>2199000</v>
      </c>
      <c r="J148" s="34" t="n">
        <f aca="false">IF(H148&gt;0,I148/H148,0)</f>
        <v>11886.4864864865</v>
      </c>
      <c r="K148" s="35" t="n">
        <f aca="false">(Benchmarks!$C$6-B148)/30.44</f>
        <v>21.2220762155059</v>
      </c>
      <c r="L148" s="36" t="n">
        <f aca="false">IF(AND(D148&lt;=Benchmarks!$C$9,K148&lt;=Benchmarks!$C$7,OR(Benchmarks!$C$8="All",Benchmarks!$C$8=E148)),1,0)</f>
        <v>0</v>
      </c>
      <c r="M148" s="34" t="str">
        <f aca="false">IF(L148=1,J148,"")</f>
        <v/>
      </c>
    </row>
    <row r="149" customFormat="false" ht="15" hidden="false" customHeight="false" outlineLevel="0" collapsed="false">
      <c r="A149" s="31" t="s">
        <v>261</v>
      </c>
      <c r="B149" s="32" t="n">
        <v>45645</v>
      </c>
      <c r="C149" s="31" t="s">
        <v>132</v>
      </c>
      <c r="D149" s="31" t="n">
        <v>2</v>
      </c>
      <c r="E149" s="31" t="s">
        <v>108</v>
      </c>
      <c r="F149" s="31" t="s">
        <v>109</v>
      </c>
      <c r="G149" s="31" t="n">
        <v>9</v>
      </c>
      <c r="H149" s="31" t="n">
        <v>135</v>
      </c>
      <c r="I149" s="33" t="n">
        <v>1637000</v>
      </c>
      <c r="J149" s="34" t="n">
        <f aca="false">IF(H149&gt;0,I149/H149,0)</f>
        <v>12125.9259259259</v>
      </c>
      <c r="K149" s="35" t="n">
        <f aca="false">(Benchmarks!$C$6-B149)/30.44</f>
        <v>21.3206307490145</v>
      </c>
      <c r="L149" s="36" t="n">
        <f aca="false">IF(AND(D149&lt;=Benchmarks!$C$9,K149&lt;=Benchmarks!$C$7,OR(Benchmarks!$C$8="All",Benchmarks!$C$8=E149)),1,0)</f>
        <v>0</v>
      </c>
      <c r="M149" s="34" t="str">
        <f aca="false">IF(L149=1,J149,"")</f>
        <v/>
      </c>
    </row>
    <row r="150" customFormat="false" ht="15" hidden="false" customHeight="false" outlineLevel="0" collapsed="false">
      <c r="A150" s="31" t="s">
        <v>262</v>
      </c>
      <c r="B150" s="32" t="n">
        <v>45638</v>
      </c>
      <c r="C150" s="31" t="s">
        <v>120</v>
      </c>
      <c r="D150" s="31" t="n">
        <v>3</v>
      </c>
      <c r="E150" s="31" t="s">
        <v>108</v>
      </c>
      <c r="F150" s="31" t="s">
        <v>109</v>
      </c>
      <c r="G150" s="31" t="n">
        <v>7</v>
      </c>
      <c r="H150" s="31" t="n">
        <v>114</v>
      </c>
      <c r="I150" s="33" t="n">
        <v>1536000</v>
      </c>
      <c r="J150" s="34" t="n">
        <f aca="false">IF(H150&gt;0,I150/H150,0)</f>
        <v>13473.6842105263</v>
      </c>
      <c r="K150" s="35" t="n">
        <f aca="false">(Benchmarks!$C$6-B150)/30.44</f>
        <v>21.5505913272011</v>
      </c>
      <c r="L150" s="36" t="n">
        <f aca="false">IF(AND(D150&lt;=Benchmarks!$C$9,K150&lt;=Benchmarks!$C$7,OR(Benchmarks!$C$8="All",Benchmarks!$C$8=E150)),1,0)</f>
        <v>0</v>
      </c>
      <c r="M150" s="34" t="str">
        <f aca="false">IF(L150=1,J150,"")</f>
        <v/>
      </c>
    </row>
    <row r="151" customFormat="false" ht="15" hidden="false" customHeight="false" outlineLevel="0" collapsed="false">
      <c r="A151" s="31" t="s">
        <v>263</v>
      </c>
      <c r="B151" s="32" t="n">
        <v>45630</v>
      </c>
      <c r="C151" s="31" t="s">
        <v>122</v>
      </c>
      <c r="D151" s="31" t="n">
        <v>2</v>
      </c>
      <c r="E151" s="31" t="s">
        <v>108</v>
      </c>
      <c r="F151" s="31" t="s">
        <v>109</v>
      </c>
      <c r="G151" s="31" t="n">
        <v>7</v>
      </c>
      <c r="H151" s="31" t="n">
        <v>159</v>
      </c>
      <c r="I151" s="33" t="n">
        <v>1832000</v>
      </c>
      <c r="J151" s="34" t="n">
        <f aca="false">IF(H151&gt;0,I151/H151,0)</f>
        <v>11522.0125786164</v>
      </c>
      <c r="K151" s="35" t="n">
        <f aca="false">(Benchmarks!$C$6-B151)/30.44</f>
        <v>21.8134034165572</v>
      </c>
      <c r="L151" s="36" t="n">
        <f aca="false">IF(AND(D151&lt;=Benchmarks!$C$9,K151&lt;=Benchmarks!$C$7,OR(Benchmarks!$C$8="All",Benchmarks!$C$8=E151)),1,0)</f>
        <v>0</v>
      </c>
      <c r="M151" s="34" t="str">
        <f aca="false">IF(L151=1,J151,"")</f>
        <v/>
      </c>
    </row>
    <row r="152" customFormat="false" ht="15" hidden="false" customHeight="false" outlineLevel="0" collapsed="false">
      <c r="A152" s="31" t="s">
        <v>264</v>
      </c>
      <c r="B152" s="32" t="n">
        <v>45629</v>
      </c>
      <c r="C152" s="31" t="s">
        <v>113</v>
      </c>
      <c r="D152" s="31" t="n">
        <v>2</v>
      </c>
      <c r="E152" s="31" t="s">
        <v>108</v>
      </c>
      <c r="F152" s="31" t="s">
        <v>123</v>
      </c>
      <c r="G152" s="31" t="n">
        <v>3</v>
      </c>
      <c r="H152" s="31" t="n">
        <v>125</v>
      </c>
      <c r="I152" s="33" t="n">
        <v>1253000</v>
      </c>
      <c r="J152" s="34" t="n">
        <f aca="false">IF(H152&gt;0,I152/H152,0)</f>
        <v>10024</v>
      </c>
      <c r="K152" s="35" t="n">
        <f aca="false">(Benchmarks!$C$6-B152)/30.44</f>
        <v>21.8462549277267</v>
      </c>
      <c r="L152" s="36" t="n">
        <f aca="false">IF(AND(D152&lt;=Benchmarks!$C$9,K152&lt;=Benchmarks!$C$7,OR(Benchmarks!$C$8="All",Benchmarks!$C$8=E152)),1,0)</f>
        <v>0</v>
      </c>
      <c r="M152" s="34" t="str">
        <f aca="false">IF(L152=1,J152,"")</f>
        <v/>
      </c>
    </row>
    <row r="153" customFormat="false" ht="15" hidden="false" customHeight="false" outlineLevel="0" collapsed="false">
      <c r="A153" s="31" t="s">
        <v>265</v>
      </c>
      <c r="B153" s="32" t="n">
        <v>45625</v>
      </c>
      <c r="C153" s="31" t="s">
        <v>111</v>
      </c>
      <c r="D153" s="31" t="n">
        <v>3</v>
      </c>
      <c r="E153" s="31" t="s">
        <v>108</v>
      </c>
      <c r="F153" s="31" t="s">
        <v>109</v>
      </c>
      <c r="G153" s="31" t="n">
        <v>8</v>
      </c>
      <c r="H153" s="31" t="n">
        <v>106</v>
      </c>
      <c r="I153" s="33" t="n">
        <v>1172000</v>
      </c>
      <c r="J153" s="34" t="n">
        <f aca="false">IF(H153&gt;0,I153/H153,0)</f>
        <v>11056.6037735849</v>
      </c>
      <c r="K153" s="35" t="n">
        <f aca="false">(Benchmarks!$C$6-B153)/30.44</f>
        <v>21.9776609724047</v>
      </c>
      <c r="L153" s="36" t="n">
        <f aca="false">IF(AND(D153&lt;=Benchmarks!$C$9,K153&lt;=Benchmarks!$C$7,OR(Benchmarks!$C$8="All",Benchmarks!$C$8=E153)),1,0)</f>
        <v>0</v>
      </c>
      <c r="M153" s="34" t="str">
        <f aca="false">IF(L153=1,J153,"")</f>
        <v/>
      </c>
    </row>
    <row r="154" customFormat="false" ht="15" hidden="false" customHeight="false" outlineLevel="0" collapsed="false">
      <c r="A154" s="31" t="s">
        <v>266</v>
      </c>
      <c r="B154" s="32" t="n">
        <v>45621</v>
      </c>
      <c r="C154" s="31" t="s">
        <v>120</v>
      </c>
      <c r="D154" s="31" t="n">
        <v>3</v>
      </c>
      <c r="E154" s="31" t="s">
        <v>108</v>
      </c>
      <c r="F154" s="31" t="s">
        <v>109</v>
      </c>
      <c r="G154" s="31" t="n">
        <v>0</v>
      </c>
      <c r="H154" s="31" t="n">
        <v>175</v>
      </c>
      <c r="I154" s="33" t="n">
        <v>2377000</v>
      </c>
      <c r="J154" s="34" t="n">
        <f aca="false">IF(H154&gt;0,I154/H154,0)</f>
        <v>13582.8571428571</v>
      </c>
      <c r="K154" s="35" t="n">
        <f aca="false">(Benchmarks!$C$6-B154)/30.44</f>
        <v>22.1090670170828</v>
      </c>
      <c r="L154" s="36" t="n">
        <f aca="false">IF(AND(D154&lt;=Benchmarks!$C$9,K154&lt;=Benchmarks!$C$7,OR(Benchmarks!$C$8="All",Benchmarks!$C$8=E154)),1,0)</f>
        <v>0</v>
      </c>
      <c r="M154" s="34" t="str">
        <f aca="false">IF(L154=1,J154,"")</f>
        <v/>
      </c>
    </row>
    <row r="155" customFormat="false" ht="15" hidden="false" customHeight="false" outlineLevel="0" collapsed="false">
      <c r="A155" s="31" t="s">
        <v>267</v>
      </c>
      <c r="B155" s="32" t="n">
        <v>45617</v>
      </c>
      <c r="C155" s="31" t="s">
        <v>132</v>
      </c>
      <c r="D155" s="31" t="n">
        <v>2</v>
      </c>
      <c r="E155" s="31" t="s">
        <v>108</v>
      </c>
      <c r="F155" s="31" t="s">
        <v>109</v>
      </c>
      <c r="G155" s="31" t="n">
        <v>1</v>
      </c>
      <c r="H155" s="31" t="n">
        <v>182</v>
      </c>
      <c r="I155" s="33" t="n">
        <v>2182000</v>
      </c>
      <c r="J155" s="34" t="n">
        <f aca="false">IF(H155&gt;0,I155/H155,0)</f>
        <v>11989.010989011</v>
      </c>
      <c r="K155" s="35" t="n">
        <f aca="false">(Benchmarks!$C$6-B155)/30.44</f>
        <v>22.2404730617608</v>
      </c>
      <c r="L155" s="36" t="n">
        <f aca="false">IF(AND(D155&lt;=Benchmarks!$C$9,K155&lt;=Benchmarks!$C$7,OR(Benchmarks!$C$8="All",Benchmarks!$C$8=E155)),1,0)</f>
        <v>0</v>
      </c>
      <c r="M155" s="34" t="str">
        <f aca="false">IF(L155=1,J155,"")</f>
        <v/>
      </c>
    </row>
    <row r="156" customFormat="false" ht="15" hidden="false" customHeight="false" outlineLevel="0" collapsed="false">
      <c r="A156" s="31" t="s">
        <v>268</v>
      </c>
      <c r="B156" s="32" t="n">
        <v>45614</v>
      </c>
      <c r="C156" s="31" t="s">
        <v>107</v>
      </c>
      <c r="D156" s="31" t="n">
        <v>1</v>
      </c>
      <c r="E156" s="31" t="s">
        <v>108</v>
      </c>
      <c r="F156" s="31" t="s">
        <v>123</v>
      </c>
      <c r="G156" s="31" t="n">
        <v>5</v>
      </c>
      <c r="H156" s="31" t="n">
        <v>178</v>
      </c>
      <c r="I156" s="33" t="n">
        <v>2091000</v>
      </c>
      <c r="J156" s="34" t="n">
        <f aca="false">IF(H156&gt;0,I156/H156,0)</f>
        <v>11747.191011236</v>
      </c>
      <c r="K156" s="35" t="n">
        <f aca="false">(Benchmarks!$C$6-B156)/30.44</f>
        <v>22.3390275952694</v>
      </c>
      <c r="L156" s="36" t="n">
        <f aca="false">IF(AND(D156&lt;=Benchmarks!$C$9,K156&lt;=Benchmarks!$C$7,OR(Benchmarks!$C$8="All",Benchmarks!$C$8=E156)),1,0)</f>
        <v>0</v>
      </c>
      <c r="M156" s="34" t="str">
        <f aca="false">IF(L156=1,J156,"")</f>
        <v/>
      </c>
    </row>
    <row r="157" customFormat="false" ht="15" hidden="false" customHeight="false" outlineLevel="0" collapsed="false">
      <c r="A157" s="31" t="s">
        <v>269</v>
      </c>
      <c r="B157" s="32" t="n">
        <v>45613</v>
      </c>
      <c r="C157" s="31" t="s">
        <v>113</v>
      </c>
      <c r="D157" s="31" t="n">
        <v>2</v>
      </c>
      <c r="E157" s="31" t="s">
        <v>108</v>
      </c>
      <c r="F157" s="31" t="s">
        <v>123</v>
      </c>
      <c r="G157" s="31" t="n">
        <v>4</v>
      </c>
      <c r="H157" s="31" t="n">
        <v>104</v>
      </c>
      <c r="I157" s="33" t="n">
        <v>1139000</v>
      </c>
      <c r="J157" s="34" t="n">
        <f aca="false">IF(H157&gt;0,I157/H157,0)</f>
        <v>10951.9230769231</v>
      </c>
      <c r="K157" s="35" t="n">
        <f aca="false">(Benchmarks!$C$6-B157)/30.44</f>
        <v>22.3718791064389</v>
      </c>
      <c r="L157" s="36" t="n">
        <f aca="false">IF(AND(D157&lt;=Benchmarks!$C$9,K157&lt;=Benchmarks!$C$7,OR(Benchmarks!$C$8="All",Benchmarks!$C$8=E157)),1,0)</f>
        <v>0</v>
      </c>
      <c r="M157" s="34" t="str">
        <f aca="false">IF(L157=1,J157,"")</f>
        <v/>
      </c>
    </row>
    <row r="158" customFormat="false" ht="15" hidden="false" customHeight="false" outlineLevel="0" collapsed="false">
      <c r="A158" s="31" t="s">
        <v>270</v>
      </c>
      <c r="B158" s="32" t="n">
        <v>45612</v>
      </c>
      <c r="C158" s="31" t="s">
        <v>122</v>
      </c>
      <c r="D158" s="31" t="n">
        <v>2</v>
      </c>
      <c r="E158" s="31" t="s">
        <v>108</v>
      </c>
      <c r="F158" s="31" t="s">
        <v>109</v>
      </c>
      <c r="G158" s="31" t="n">
        <v>8</v>
      </c>
      <c r="H158" s="31" t="n">
        <v>152</v>
      </c>
      <c r="I158" s="33" t="n">
        <v>1629000</v>
      </c>
      <c r="J158" s="34" t="n">
        <f aca="false">IF(H158&gt;0,I158/H158,0)</f>
        <v>10717.1052631579</v>
      </c>
      <c r="K158" s="35" t="n">
        <f aca="false">(Benchmarks!$C$6-B158)/30.44</f>
        <v>22.4047306176084</v>
      </c>
      <c r="L158" s="36" t="n">
        <f aca="false">IF(AND(D158&lt;=Benchmarks!$C$9,K158&lt;=Benchmarks!$C$7,OR(Benchmarks!$C$8="All",Benchmarks!$C$8=E158)),1,0)</f>
        <v>0</v>
      </c>
      <c r="M158" s="34" t="str">
        <f aca="false">IF(L158=1,J158,"")</f>
        <v/>
      </c>
    </row>
    <row r="159" customFormat="false" ht="15" hidden="false" customHeight="false" outlineLevel="0" collapsed="false">
      <c r="A159" s="31" t="s">
        <v>271</v>
      </c>
      <c r="B159" s="32" t="n">
        <v>45610</v>
      </c>
      <c r="C159" s="31" t="s">
        <v>107</v>
      </c>
      <c r="D159" s="31" t="n">
        <v>1</v>
      </c>
      <c r="E159" s="31" t="s">
        <v>116</v>
      </c>
      <c r="F159" s="31" t="s">
        <v>123</v>
      </c>
      <c r="G159" s="31" t="n">
        <v>0</v>
      </c>
      <c r="H159" s="31" t="n">
        <v>240</v>
      </c>
      <c r="I159" s="33" t="n">
        <v>3048000</v>
      </c>
      <c r="J159" s="34" t="n">
        <f aca="false">IF(H159&gt;0,I159/H159,0)</f>
        <v>12700</v>
      </c>
      <c r="K159" s="35" t="n">
        <f aca="false">(Benchmarks!$C$6-B159)/30.44</f>
        <v>22.4704336399474</v>
      </c>
      <c r="L159" s="36" t="n">
        <f aca="false">IF(AND(D159&lt;=Benchmarks!$C$9,K159&lt;=Benchmarks!$C$7,OR(Benchmarks!$C$8="All",Benchmarks!$C$8=E159)),1,0)</f>
        <v>0</v>
      </c>
      <c r="M159" s="34" t="str">
        <f aca="false">IF(L159=1,J159,"")</f>
        <v/>
      </c>
    </row>
    <row r="160" customFormat="false" ht="15" hidden="false" customHeight="false" outlineLevel="0" collapsed="false">
      <c r="A160" s="31" t="s">
        <v>272</v>
      </c>
      <c r="B160" s="32" t="n">
        <v>45594</v>
      </c>
      <c r="C160" s="31" t="s">
        <v>107</v>
      </c>
      <c r="D160" s="31" t="n">
        <v>1</v>
      </c>
      <c r="E160" s="31" t="s">
        <v>108</v>
      </c>
      <c r="F160" s="31" t="s">
        <v>123</v>
      </c>
      <c r="G160" s="31" t="n">
        <v>6</v>
      </c>
      <c r="H160" s="31" t="n">
        <v>125</v>
      </c>
      <c r="I160" s="33" t="n">
        <v>1499000</v>
      </c>
      <c r="J160" s="34" t="n">
        <f aca="false">IF(H160&gt;0,I160/H160,0)</f>
        <v>11992</v>
      </c>
      <c r="K160" s="35" t="n">
        <f aca="false">(Benchmarks!$C$6-B160)/30.44</f>
        <v>22.9960578186597</v>
      </c>
      <c r="L160" s="36" t="n">
        <f aca="false">IF(AND(D160&lt;=Benchmarks!$C$9,K160&lt;=Benchmarks!$C$7,OR(Benchmarks!$C$8="All",Benchmarks!$C$8=E160)),1,0)</f>
        <v>0</v>
      </c>
      <c r="M160" s="34" t="str">
        <f aca="false">IF(L160=1,J160,"")</f>
        <v/>
      </c>
    </row>
    <row r="161" customFormat="false" ht="15" hidden="false" customHeight="false" outlineLevel="0" collapsed="false">
      <c r="A161" s="31" t="s">
        <v>273</v>
      </c>
      <c r="B161" s="32" t="n">
        <v>45591</v>
      </c>
      <c r="C161" s="31" t="s">
        <v>107</v>
      </c>
      <c r="D161" s="31" t="n">
        <v>1</v>
      </c>
      <c r="E161" s="31" t="s">
        <v>135</v>
      </c>
      <c r="F161" s="31" t="s">
        <v>109</v>
      </c>
      <c r="G161" s="31" t="n">
        <v>0</v>
      </c>
      <c r="H161" s="31" t="n">
        <v>257</v>
      </c>
      <c r="I161" s="33" t="n">
        <v>3032000</v>
      </c>
      <c r="J161" s="34" t="n">
        <f aca="false">IF(H161&gt;0,I161/H161,0)</f>
        <v>11797.6653696498</v>
      </c>
      <c r="K161" s="35" t="n">
        <f aca="false">(Benchmarks!$C$6-B161)/30.44</f>
        <v>23.0946123521682</v>
      </c>
      <c r="L161" s="36" t="n">
        <f aca="false">IF(AND(D161&lt;=Benchmarks!$C$9,K161&lt;=Benchmarks!$C$7,OR(Benchmarks!$C$8="All",Benchmarks!$C$8=E161)),1,0)</f>
        <v>0</v>
      </c>
      <c r="M161" s="34" t="str">
        <f aca="false">IF(L161=1,J161,"")</f>
        <v/>
      </c>
    </row>
    <row r="162" customFormat="false" ht="15" hidden="false" customHeight="false" outlineLevel="0" collapsed="false">
      <c r="A162" s="31" t="s">
        <v>274</v>
      </c>
      <c r="B162" s="32" t="n">
        <v>45588</v>
      </c>
      <c r="C162" s="31" t="s">
        <v>107</v>
      </c>
      <c r="D162" s="31" t="n">
        <v>1</v>
      </c>
      <c r="E162" s="31" t="s">
        <v>108</v>
      </c>
      <c r="F162" s="31" t="s">
        <v>109</v>
      </c>
      <c r="G162" s="31" t="n">
        <v>6</v>
      </c>
      <c r="H162" s="31" t="n">
        <v>155</v>
      </c>
      <c r="I162" s="33" t="n">
        <v>1934000</v>
      </c>
      <c r="J162" s="34" t="n">
        <f aca="false">IF(H162&gt;0,I162/H162,0)</f>
        <v>12477.4193548387</v>
      </c>
      <c r="K162" s="35" t="n">
        <f aca="false">(Benchmarks!$C$6-B162)/30.44</f>
        <v>23.1931668856767</v>
      </c>
      <c r="L162" s="36" t="n">
        <f aca="false">IF(AND(D162&lt;=Benchmarks!$C$9,K162&lt;=Benchmarks!$C$7,OR(Benchmarks!$C$8="All",Benchmarks!$C$8=E162)),1,0)</f>
        <v>0</v>
      </c>
      <c r="M162" s="34" t="str">
        <f aca="false">IF(L162=1,J162,"")</f>
        <v/>
      </c>
    </row>
    <row r="163" customFormat="false" ht="15" hidden="false" customHeight="false" outlineLevel="0" collapsed="false">
      <c r="A163" s="31" t="s">
        <v>275</v>
      </c>
      <c r="B163" s="32" t="n">
        <v>45567</v>
      </c>
      <c r="C163" s="31" t="s">
        <v>113</v>
      </c>
      <c r="D163" s="31" t="n">
        <v>2</v>
      </c>
      <c r="E163" s="31" t="s">
        <v>108</v>
      </c>
      <c r="F163" s="31" t="s">
        <v>109</v>
      </c>
      <c r="G163" s="31" t="n">
        <v>6</v>
      </c>
      <c r="H163" s="31" t="n">
        <v>177</v>
      </c>
      <c r="I163" s="33" t="n">
        <v>1978000</v>
      </c>
      <c r="J163" s="34" t="n">
        <f aca="false">IF(H163&gt;0,I163/H163,0)</f>
        <v>11175.1412429379</v>
      </c>
      <c r="K163" s="35" t="n">
        <f aca="false">(Benchmarks!$C$6-B163)/30.44</f>
        <v>23.8830486202365</v>
      </c>
      <c r="L163" s="36" t="n">
        <f aca="false">IF(AND(D163&lt;=Benchmarks!$C$9,K163&lt;=Benchmarks!$C$7,OR(Benchmarks!$C$8="All",Benchmarks!$C$8=E163)),1,0)</f>
        <v>0</v>
      </c>
      <c r="M163" s="34" t="str">
        <f aca="false">IF(L163=1,J163,"")</f>
        <v/>
      </c>
    </row>
    <row r="164" customFormat="false" ht="15" hidden="false" customHeight="false" outlineLevel="0" collapsed="false">
      <c r="A164" s="31" t="s">
        <v>276</v>
      </c>
      <c r="B164" s="32" t="n">
        <v>45567</v>
      </c>
      <c r="C164" s="31" t="s">
        <v>132</v>
      </c>
      <c r="D164" s="31" t="n">
        <v>2</v>
      </c>
      <c r="E164" s="31" t="s">
        <v>108</v>
      </c>
      <c r="F164" s="31" t="s">
        <v>123</v>
      </c>
      <c r="G164" s="31" t="n">
        <v>5</v>
      </c>
      <c r="H164" s="31" t="n">
        <v>132</v>
      </c>
      <c r="I164" s="33" t="n">
        <v>1642000</v>
      </c>
      <c r="J164" s="34" t="n">
        <f aca="false">IF(H164&gt;0,I164/H164,0)</f>
        <v>12439.3939393939</v>
      </c>
      <c r="K164" s="35" t="n">
        <f aca="false">(Benchmarks!$C$6-B164)/30.44</f>
        <v>23.8830486202365</v>
      </c>
      <c r="L164" s="36" t="n">
        <f aca="false">IF(AND(D164&lt;=Benchmarks!$C$9,K164&lt;=Benchmarks!$C$7,OR(Benchmarks!$C$8="All",Benchmarks!$C$8=E164)),1,0)</f>
        <v>0</v>
      </c>
      <c r="M164" s="34" t="str">
        <f aca="false">IF(L164=1,J164,"")</f>
        <v/>
      </c>
    </row>
  </sheetData>
  <autoFilter ref="A4:M1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6"/>
  </cols>
  <sheetData>
    <row r="1" customFormat="false" ht="19.7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4" customFormat="false" ht="30" hidden="false" customHeight="true" outlineLevel="0" collapsed="false">
      <c r="A4" s="30" t="s">
        <v>96</v>
      </c>
      <c r="B4" s="30" t="s">
        <v>279</v>
      </c>
      <c r="C4" s="30" t="s">
        <v>66</v>
      </c>
      <c r="D4" s="30" t="s">
        <v>98</v>
      </c>
      <c r="E4" s="30" t="s">
        <v>280</v>
      </c>
      <c r="F4" s="30" t="s">
        <v>281</v>
      </c>
      <c r="G4" s="30" t="s">
        <v>282</v>
      </c>
      <c r="H4" s="30" t="s">
        <v>100</v>
      </c>
      <c r="I4" s="30" t="s">
        <v>283</v>
      </c>
      <c r="J4" s="30" t="s">
        <v>284</v>
      </c>
      <c r="K4" s="30" t="s">
        <v>103</v>
      </c>
      <c r="L4" s="30" t="s">
        <v>104</v>
      </c>
      <c r="M4" s="30" t="s">
        <v>285</v>
      </c>
    </row>
    <row r="5" customFormat="false" ht="15" hidden="false" customHeight="false" outlineLevel="0" collapsed="false">
      <c r="A5" s="31" t="s">
        <v>286</v>
      </c>
      <c r="B5" s="32" t="n">
        <v>46282</v>
      </c>
      <c r="C5" s="31" t="s">
        <v>107</v>
      </c>
      <c r="D5" s="31" t="n">
        <v>1</v>
      </c>
      <c r="E5" s="31" t="s">
        <v>287</v>
      </c>
      <c r="F5" s="31" t="s">
        <v>288</v>
      </c>
      <c r="G5" s="31" t="n">
        <v>10</v>
      </c>
      <c r="H5" s="31" t="n">
        <v>320</v>
      </c>
      <c r="I5" s="33" t="n">
        <v>744900</v>
      </c>
      <c r="J5" s="34" t="n">
        <f aca="false">IF(H5&gt;0,I5/H5,0)</f>
        <v>2327.8125</v>
      </c>
      <c r="K5" s="35" t="n">
        <f aca="false">(Benchmarks!$C$6-B5)/30.44</f>
        <v>0.394218134034166</v>
      </c>
      <c r="L5" s="36" t="n">
        <f aca="false">IF(AND(E5="Retail",D5&lt;=Benchmarks!$C$9,K5&lt;=Benchmarks!$C$7),1,0)</f>
        <v>1</v>
      </c>
      <c r="M5" s="34" t="n">
        <f aca="false">IF(L5=1,J5,"")</f>
        <v>2327.8125</v>
      </c>
    </row>
    <row r="6" customFormat="false" ht="15" hidden="false" customHeight="false" outlineLevel="0" collapsed="false">
      <c r="A6" s="31" t="s">
        <v>289</v>
      </c>
      <c r="B6" s="32" t="n">
        <v>46276</v>
      </c>
      <c r="C6" s="31" t="s">
        <v>107</v>
      </c>
      <c r="D6" s="31" t="n">
        <v>1</v>
      </c>
      <c r="E6" s="31" t="s">
        <v>290</v>
      </c>
      <c r="F6" s="31" t="s">
        <v>291</v>
      </c>
      <c r="G6" s="31" t="n">
        <v>1</v>
      </c>
      <c r="H6" s="31" t="n">
        <v>127</v>
      </c>
      <c r="I6" s="33" t="n">
        <v>77000</v>
      </c>
      <c r="J6" s="34" t="n">
        <f aca="false">IF(H6&gt;0,I6/H6,0)</f>
        <v>606.299212598425</v>
      </c>
      <c r="K6" s="35" t="n">
        <f aca="false">(Benchmarks!$C$6-B6)/30.44</f>
        <v>0.591327201051248</v>
      </c>
      <c r="L6" s="36" t="n">
        <f aca="false">IF(AND(E6="Retail",D6&lt;=Benchmarks!$C$9,K6&lt;=Benchmarks!$C$7),1,0)</f>
        <v>0</v>
      </c>
      <c r="M6" s="34" t="str">
        <f aca="false">IF(L6=1,J6,"")</f>
        <v/>
      </c>
    </row>
    <row r="7" customFormat="false" ht="15" hidden="false" customHeight="false" outlineLevel="0" collapsed="false">
      <c r="A7" s="31" t="s">
        <v>292</v>
      </c>
      <c r="B7" s="32" t="n">
        <v>46250</v>
      </c>
      <c r="C7" s="31" t="s">
        <v>111</v>
      </c>
      <c r="D7" s="31" t="n">
        <v>3</v>
      </c>
      <c r="E7" s="31" t="s">
        <v>287</v>
      </c>
      <c r="F7" s="31" t="s">
        <v>293</v>
      </c>
      <c r="G7" s="31" t="n">
        <v>5</v>
      </c>
      <c r="H7" s="31" t="n">
        <v>242</v>
      </c>
      <c r="I7" s="33" t="n">
        <v>446600</v>
      </c>
      <c r="J7" s="34" t="n">
        <f aca="false">IF(H7&gt;0,I7/H7,0)</f>
        <v>1845.45454545455</v>
      </c>
      <c r="K7" s="35" t="n">
        <f aca="false">(Benchmarks!$C$6-B7)/30.44</f>
        <v>1.44546649145861</v>
      </c>
      <c r="L7" s="36" t="n">
        <f aca="false">IF(AND(E7="Retail",D7&lt;=Benchmarks!$C$9,K7&lt;=Benchmarks!$C$7),1,0)</f>
        <v>0</v>
      </c>
      <c r="M7" s="34" t="str">
        <f aca="false">IF(L7=1,J7,"")</f>
        <v/>
      </c>
    </row>
    <row r="8" customFormat="false" ht="15" hidden="false" customHeight="false" outlineLevel="0" collapsed="false">
      <c r="A8" s="31" t="s">
        <v>294</v>
      </c>
      <c r="B8" s="32" t="n">
        <v>46243</v>
      </c>
      <c r="C8" s="31" t="s">
        <v>113</v>
      </c>
      <c r="D8" s="31" t="n">
        <v>2</v>
      </c>
      <c r="E8" s="31" t="s">
        <v>287</v>
      </c>
      <c r="F8" s="31" t="s">
        <v>293</v>
      </c>
      <c r="G8" s="31" t="n">
        <v>3</v>
      </c>
      <c r="H8" s="31" t="n">
        <v>198</v>
      </c>
      <c r="I8" s="33" t="n">
        <v>414900</v>
      </c>
      <c r="J8" s="34" t="n">
        <f aca="false">IF(H8&gt;0,I8/H8,0)</f>
        <v>2095.45454545455</v>
      </c>
      <c r="K8" s="35" t="n">
        <f aca="false">(Benchmarks!$C$6-B8)/30.44</f>
        <v>1.6754270696452</v>
      </c>
      <c r="L8" s="36" t="n">
        <f aca="false">IF(AND(E8="Retail",D8&lt;=Benchmarks!$C$9,K8&lt;=Benchmarks!$C$7),1,0)</f>
        <v>1</v>
      </c>
      <c r="M8" s="34" t="n">
        <f aca="false">IF(L8=1,J8,"")</f>
        <v>2095.45454545455</v>
      </c>
    </row>
    <row r="9" customFormat="false" ht="15" hidden="false" customHeight="false" outlineLevel="0" collapsed="false">
      <c r="A9" s="31" t="s">
        <v>295</v>
      </c>
      <c r="B9" s="32" t="n">
        <v>46241</v>
      </c>
      <c r="C9" s="31" t="s">
        <v>111</v>
      </c>
      <c r="D9" s="31" t="n">
        <v>3</v>
      </c>
      <c r="E9" s="31" t="s">
        <v>287</v>
      </c>
      <c r="F9" s="31" t="s">
        <v>293</v>
      </c>
      <c r="G9" s="31" t="n">
        <v>1</v>
      </c>
      <c r="H9" s="31" t="n">
        <v>157</v>
      </c>
      <c r="I9" s="33" t="n">
        <v>324900</v>
      </c>
      <c r="J9" s="34" t="n">
        <f aca="false">IF(H9&gt;0,I9/H9,0)</f>
        <v>2069.42675159236</v>
      </c>
      <c r="K9" s="35" t="n">
        <f aca="false">(Benchmarks!$C$6-B9)/30.44</f>
        <v>1.74113009198423</v>
      </c>
      <c r="L9" s="36" t="n">
        <f aca="false">IF(AND(E9="Retail",D9&lt;=Benchmarks!$C$9,K9&lt;=Benchmarks!$C$7),1,0)</f>
        <v>0</v>
      </c>
      <c r="M9" s="34" t="str">
        <f aca="false">IF(L9=1,J9,"")</f>
        <v/>
      </c>
    </row>
    <row r="10" customFormat="false" ht="15" hidden="false" customHeight="false" outlineLevel="0" collapsed="false">
      <c r="A10" s="31" t="s">
        <v>296</v>
      </c>
      <c r="B10" s="32" t="n">
        <v>46240</v>
      </c>
      <c r="C10" s="31" t="s">
        <v>122</v>
      </c>
      <c r="D10" s="31" t="n">
        <v>2</v>
      </c>
      <c r="E10" s="31" t="s">
        <v>287</v>
      </c>
      <c r="F10" s="31" t="s">
        <v>288</v>
      </c>
      <c r="G10" s="31" t="n">
        <v>5</v>
      </c>
      <c r="H10" s="31" t="n">
        <v>214</v>
      </c>
      <c r="I10" s="33" t="n">
        <v>491400</v>
      </c>
      <c r="J10" s="34" t="n">
        <f aca="false">IF(H10&gt;0,I10/H10,0)</f>
        <v>2296.26168224299</v>
      </c>
      <c r="K10" s="35" t="n">
        <f aca="false">(Benchmarks!$C$6-B10)/30.44</f>
        <v>1.77398160315375</v>
      </c>
      <c r="L10" s="36" t="n">
        <f aca="false">IF(AND(E10="Retail",D10&lt;=Benchmarks!$C$9,K10&lt;=Benchmarks!$C$7),1,0)</f>
        <v>1</v>
      </c>
      <c r="M10" s="34" t="n">
        <f aca="false">IF(L10=1,J10,"")</f>
        <v>2296.26168224299</v>
      </c>
    </row>
    <row r="11" customFormat="false" ht="15" hidden="false" customHeight="false" outlineLevel="0" collapsed="false">
      <c r="A11" s="31" t="s">
        <v>297</v>
      </c>
      <c r="B11" s="32" t="n">
        <v>46222</v>
      </c>
      <c r="C11" s="31" t="s">
        <v>107</v>
      </c>
      <c r="D11" s="31" t="n">
        <v>1</v>
      </c>
      <c r="E11" s="31" t="s">
        <v>290</v>
      </c>
      <c r="F11" s="31" t="s">
        <v>291</v>
      </c>
      <c r="G11" s="31" t="n">
        <v>1</v>
      </c>
      <c r="H11" s="31" t="n">
        <v>154</v>
      </c>
      <c r="I11" s="33" t="n">
        <v>91500</v>
      </c>
      <c r="J11" s="34" t="n">
        <f aca="false">IF(H11&gt;0,I11/H11,0)</f>
        <v>594.155844155844</v>
      </c>
      <c r="K11" s="35" t="n">
        <f aca="false">(Benchmarks!$C$6-B11)/30.44</f>
        <v>2.36530880420499</v>
      </c>
      <c r="L11" s="36" t="n">
        <f aca="false">IF(AND(E11="Retail",D11&lt;=Benchmarks!$C$9,K11&lt;=Benchmarks!$C$7),1,0)</f>
        <v>0</v>
      </c>
      <c r="M11" s="34" t="str">
        <f aca="false">IF(L11=1,J11,"")</f>
        <v/>
      </c>
    </row>
    <row r="12" customFormat="false" ht="15" hidden="false" customHeight="false" outlineLevel="0" collapsed="false">
      <c r="A12" s="31" t="s">
        <v>298</v>
      </c>
      <c r="B12" s="32" t="n">
        <v>46219</v>
      </c>
      <c r="C12" s="31" t="s">
        <v>111</v>
      </c>
      <c r="D12" s="31" t="n">
        <v>3</v>
      </c>
      <c r="E12" s="31" t="s">
        <v>287</v>
      </c>
      <c r="F12" s="31" t="s">
        <v>293</v>
      </c>
      <c r="G12" s="31" t="n">
        <v>5</v>
      </c>
      <c r="H12" s="31" t="n">
        <v>306</v>
      </c>
      <c r="I12" s="33" t="n">
        <v>621100</v>
      </c>
      <c r="J12" s="34" t="n">
        <f aca="false">IF(H12&gt;0,I12/H12,0)</f>
        <v>2029.7385620915</v>
      </c>
      <c r="K12" s="35" t="n">
        <f aca="false">(Benchmarks!$C$6-B12)/30.44</f>
        <v>2.46386333771354</v>
      </c>
      <c r="L12" s="36" t="n">
        <f aca="false">IF(AND(E12="Retail",D12&lt;=Benchmarks!$C$9,K12&lt;=Benchmarks!$C$7),1,0)</f>
        <v>0</v>
      </c>
      <c r="M12" s="34" t="str">
        <f aca="false">IF(L12=1,J12,"")</f>
        <v/>
      </c>
    </row>
    <row r="13" customFormat="false" ht="15" hidden="false" customHeight="false" outlineLevel="0" collapsed="false">
      <c r="A13" s="31" t="s">
        <v>299</v>
      </c>
      <c r="B13" s="32" t="n">
        <v>46217</v>
      </c>
      <c r="C13" s="31" t="s">
        <v>132</v>
      </c>
      <c r="D13" s="31" t="n">
        <v>2</v>
      </c>
      <c r="E13" s="31" t="s">
        <v>287</v>
      </c>
      <c r="F13" s="31" t="s">
        <v>288</v>
      </c>
      <c r="G13" s="31" t="n">
        <v>5</v>
      </c>
      <c r="H13" s="31" t="n">
        <v>91</v>
      </c>
      <c r="I13" s="33" t="n">
        <v>228300</v>
      </c>
      <c r="J13" s="34" t="n">
        <f aca="false">IF(H13&gt;0,I13/H13,0)</f>
        <v>2508.79120879121</v>
      </c>
      <c r="K13" s="35" t="n">
        <f aca="false">(Benchmarks!$C$6-B13)/30.44</f>
        <v>2.52956636005256</v>
      </c>
      <c r="L13" s="36" t="n">
        <f aca="false">IF(AND(E13="Retail",D13&lt;=Benchmarks!$C$9,K13&lt;=Benchmarks!$C$7),1,0)</f>
        <v>1</v>
      </c>
      <c r="M13" s="34" t="n">
        <f aca="false">IF(L13=1,J13,"")</f>
        <v>2508.79120879121</v>
      </c>
    </row>
    <row r="14" customFormat="false" ht="15" hidden="false" customHeight="false" outlineLevel="0" collapsed="false">
      <c r="A14" s="31" t="s">
        <v>300</v>
      </c>
      <c r="B14" s="32" t="n">
        <v>46215</v>
      </c>
      <c r="C14" s="31" t="s">
        <v>107</v>
      </c>
      <c r="D14" s="31" t="n">
        <v>1</v>
      </c>
      <c r="E14" s="31" t="s">
        <v>290</v>
      </c>
      <c r="F14" s="31" t="s">
        <v>291</v>
      </c>
      <c r="G14" s="31" t="n">
        <v>1</v>
      </c>
      <c r="H14" s="31" t="n">
        <v>170</v>
      </c>
      <c r="I14" s="33" t="n">
        <v>100600</v>
      </c>
      <c r="J14" s="34" t="n">
        <f aca="false">IF(H14&gt;0,I14/H14,0)</f>
        <v>591.764705882353</v>
      </c>
      <c r="K14" s="35" t="n">
        <f aca="false">(Benchmarks!$C$6-B14)/30.44</f>
        <v>2.59526938239159</v>
      </c>
      <c r="L14" s="36" t="n">
        <f aca="false">IF(AND(E14="Retail",D14&lt;=Benchmarks!$C$9,K14&lt;=Benchmarks!$C$7),1,0)</f>
        <v>0</v>
      </c>
      <c r="M14" s="34" t="str">
        <f aca="false">IF(L14=1,J14,"")</f>
        <v/>
      </c>
    </row>
    <row r="15" customFormat="false" ht="15" hidden="false" customHeight="false" outlineLevel="0" collapsed="false">
      <c r="A15" s="31" t="s">
        <v>301</v>
      </c>
      <c r="B15" s="32" t="n">
        <v>46213</v>
      </c>
      <c r="C15" s="31" t="s">
        <v>122</v>
      </c>
      <c r="D15" s="31" t="n">
        <v>2</v>
      </c>
      <c r="E15" s="31" t="s">
        <v>287</v>
      </c>
      <c r="F15" s="31" t="s">
        <v>288</v>
      </c>
      <c r="G15" s="31" t="n">
        <v>5</v>
      </c>
      <c r="H15" s="31" t="n">
        <v>160</v>
      </c>
      <c r="I15" s="33" t="n">
        <v>330900</v>
      </c>
      <c r="J15" s="34" t="n">
        <f aca="false">IF(H15&gt;0,I15/H15,0)</f>
        <v>2068.125</v>
      </c>
      <c r="K15" s="35" t="n">
        <f aca="false">(Benchmarks!$C$6-B15)/30.44</f>
        <v>2.66097240473062</v>
      </c>
      <c r="L15" s="36" t="n">
        <f aca="false">IF(AND(E15="Retail",D15&lt;=Benchmarks!$C$9,K15&lt;=Benchmarks!$C$7),1,0)</f>
        <v>1</v>
      </c>
      <c r="M15" s="34" t="n">
        <f aca="false">IF(L15=1,J15,"")</f>
        <v>2068.125</v>
      </c>
    </row>
    <row r="16" customFormat="false" ht="15" hidden="false" customHeight="false" outlineLevel="0" collapsed="false">
      <c r="A16" s="31" t="s">
        <v>302</v>
      </c>
      <c r="B16" s="32" t="n">
        <v>46209</v>
      </c>
      <c r="C16" s="31" t="s">
        <v>122</v>
      </c>
      <c r="D16" s="31" t="n">
        <v>2</v>
      </c>
      <c r="E16" s="31" t="s">
        <v>287</v>
      </c>
      <c r="F16" s="31" t="s">
        <v>293</v>
      </c>
      <c r="G16" s="31" t="n">
        <v>3</v>
      </c>
      <c r="H16" s="31" t="n">
        <v>268</v>
      </c>
      <c r="I16" s="33" t="n">
        <v>606500</v>
      </c>
      <c r="J16" s="34" t="n">
        <f aca="false">IF(H16&gt;0,I16/H16,0)</f>
        <v>2263.05970149254</v>
      </c>
      <c r="K16" s="35" t="n">
        <f aca="false">(Benchmarks!$C$6-B16)/30.44</f>
        <v>2.79237844940867</v>
      </c>
      <c r="L16" s="36" t="n">
        <f aca="false">IF(AND(E16="Retail",D16&lt;=Benchmarks!$C$9,K16&lt;=Benchmarks!$C$7),1,0)</f>
        <v>1</v>
      </c>
      <c r="M16" s="34" t="n">
        <f aca="false">IF(L16=1,J16,"")</f>
        <v>2263.05970149254</v>
      </c>
    </row>
    <row r="17" customFormat="false" ht="15" hidden="false" customHeight="false" outlineLevel="0" collapsed="false">
      <c r="A17" s="31" t="s">
        <v>303</v>
      </c>
      <c r="B17" s="32" t="n">
        <v>46199</v>
      </c>
      <c r="C17" s="31" t="s">
        <v>132</v>
      </c>
      <c r="D17" s="31" t="n">
        <v>2</v>
      </c>
      <c r="E17" s="31" t="s">
        <v>290</v>
      </c>
      <c r="F17" s="31" t="s">
        <v>291</v>
      </c>
      <c r="G17" s="31" t="n">
        <v>1</v>
      </c>
      <c r="H17" s="31" t="n">
        <v>93</v>
      </c>
      <c r="I17" s="33" t="n">
        <v>59200</v>
      </c>
      <c r="J17" s="34" t="n">
        <f aca="false">IF(H17&gt;0,I17/H17,0)</f>
        <v>636.559139784946</v>
      </c>
      <c r="K17" s="35" t="n">
        <f aca="false">(Benchmarks!$C$6-B17)/30.44</f>
        <v>3.12089356110381</v>
      </c>
      <c r="L17" s="36" t="n">
        <f aca="false">IF(AND(E17="Retail",D17&lt;=Benchmarks!$C$9,K17&lt;=Benchmarks!$C$7),1,0)</f>
        <v>0</v>
      </c>
      <c r="M17" s="34" t="str">
        <f aca="false">IF(L17=1,J17,"")</f>
        <v/>
      </c>
    </row>
    <row r="18" customFormat="false" ht="15" hidden="false" customHeight="false" outlineLevel="0" collapsed="false">
      <c r="A18" s="31" t="s">
        <v>304</v>
      </c>
      <c r="B18" s="32" t="n">
        <v>46198</v>
      </c>
      <c r="C18" s="31" t="s">
        <v>107</v>
      </c>
      <c r="D18" s="31" t="n">
        <v>1</v>
      </c>
      <c r="E18" s="31" t="s">
        <v>287</v>
      </c>
      <c r="F18" s="31" t="s">
        <v>288</v>
      </c>
      <c r="G18" s="31" t="n">
        <v>3</v>
      </c>
      <c r="H18" s="31" t="n">
        <v>143</v>
      </c>
      <c r="I18" s="33" t="n">
        <v>301800</v>
      </c>
      <c r="J18" s="34" t="n">
        <f aca="false">IF(H18&gt;0,I18/H18,0)</f>
        <v>2110.48951048951</v>
      </c>
      <c r="K18" s="35" t="n">
        <f aca="false">(Benchmarks!$C$6-B18)/30.44</f>
        <v>3.15374507227332</v>
      </c>
      <c r="L18" s="36" t="n">
        <f aca="false">IF(AND(E18="Retail",D18&lt;=Benchmarks!$C$9,K18&lt;=Benchmarks!$C$7),1,0)</f>
        <v>1</v>
      </c>
      <c r="M18" s="34" t="n">
        <f aca="false">IF(L18=1,J18,"")</f>
        <v>2110.48951048951</v>
      </c>
    </row>
    <row r="19" customFormat="false" ht="15" hidden="false" customHeight="false" outlineLevel="0" collapsed="false">
      <c r="A19" s="31" t="s">
        <v>305</v>
      </c>
      <c r="B19" s="32" t="n">
        <v>46184</v>
      </c>
      <c r="C19" s="31" t="s">
        <v>132</v>
      </c>
      <c r="D19" s="31" t="n">
        <v>2</v>
      </c>
      <c r="E19" s="31" t="s">
        <v>287</v>
      </c>
      <c r="F19" s="31" t="s">
        <v>293</v>
      </c>
      <c r="G19" s="31" t="n">
        <v>10</v>
      </c>
      <c r="H19" s="31" t="n">
        <v>142</v>
      </c>
      <c r="I19" s="33" t="n">
        <v>392100</v>
      </c>
      <c r="J19" s="34" t="n">
        <f aca="false">IF(H19&gt;0,I19/H19,0)</f>
        <v>2761.2676056338</v>
      </c>
      <c r="K19" s="35" t="n">
        <f aca="false">(Benchmarks!$C$6-B19)/30.44</f>
        <v>3.61366622864652</v>
      </c>
      <c r="L19" s="36" t="n">
        <f aca="false">IF(AND(E19="Retail",D19&lt;=Benchmarks!$C$9,K19&lt;=Benchmarks!$C$7),1,0)</f>
        <v>1</v>
      </c>
      <c r="M19" s="34" t="n">
        <f aca="false">IF(L19=1,J19,"")</f>
        <v>2761.2676056338</v>
      </c>
    </row>
    <row r="20" customFormat="false" ht="15" hidden="false" customHeight="false" outlineLevel="0" collapsed="false">
      <c r="A20" s="31" t="s">
        <v>306</v>
      </c>
      <c r="B20" s="32" t="n">
        <v>46181</v>
      </c>
      <c r="C20" s="31" t="s">
        <v>107</v>
      </c>
      <c r="D20" s="31" t="n">
        <v>1</v>
      </c>
      <c r="E20" s="31" t="s">
        <v>290</v>
      </c>
      <c r="F20" s="31" t="s">
        <v>291</v>
      </c>
      <c r="G20" s="31" t="n">
        <v>1</v>
      </c>
      <c r="H20" s="31" t="n">
        <v>170</v>
      </c>
      <c r="I20" s="33" t="n">
        <v>110800</v>
      </c>
      <c r="J20" s="34" t="n">
        <f aca="false">IF(H20&gt;0,I20/H20,0)</f>
        <v>651.764705882353</v>
      </c>
      <c r="K20" s="35" t="n">
        <f aca="false">(Benchmarks!$C$6-B20)/30.44</f>
        <v>3.71222076215506</v>
      </c>
      <c r="L20" s="36" t="n">
        <f aca="false">IF(AND(E20="Retail",D20&lt;=Benchmarks!$C$9,K20&lt;=Benchmarks!$C$7),1,0)</f>
        <v>0</v>
      </c>
      <c r="M20" s="34" t="str">
        <f aca="false">IF(L20=1,J20,"")</f>
        <v/>
      </c>
    </row>
    <row r="21" customFormat="false" ht="15" hidden="false" customHeight="false" outlineLevel="0" collapsed="false">
      <c r="A21" s="31" t="s">
        <v>307</v>
      </c>
      <c r="B21" s="32" t="n">
        <v>46171</v>
      </c>
      <c r="C21" s="31" t="s">
        <v>122</v>
      </c>
      <c r="D21" s="31" t="n">
        <v>2</v>
      </c>
      <c r="E21" s="31" t="s">
        <v>287</v>
      </c>
      <c r="F21" s="31" t="s">
        <v>293</v>
      </c>
      <c r="G21" s="31" t="n">
        <v>3</v>
      </c>
      <c r="H21" s="31" t="n">
        <v>200</v>
      </c>
      <c r="I21" s="33" t="n">
        <v>468800</v>
      </c>
      <c r="J21" s="34" t="n">
        <f aca="false">IF(H21&gt;0,I21/H21,0)</f>
        <v>2344</v>
      </c>
      <c r="K21" s="35" t="n">
        <f aca="false">(Benchmarks!$C$6-B21)/30.44</f>
        <v>4.0407358738502</v>
      </c>
      <c r="L21" s="36" t="n">
        <f aca="false">IF(AND(E21="Retail",D21&lt;=Benchmarks!$C$9,K21&lt;=Benchmarks!$C$7),1,0)</f>
        <v>1</v>
      </c>
      <c r="M21" s="34" t="n">
        <f aca="false">IF(L21=1,J21,"")</f>
        <v>2344</v>
      </c>
    </row>
    <row r="22" customFormat="false" ht="15" hidden="false" customHeight="false" outlineLevel="0" collapsed="false">
      <c r="A22" s="31" t="s">
        <v>308</v>
      </c>
      <c r="B22" s="32" t="n">
        <v>46162</v>
      </c>
      <c r="C22" s="31" t="s">
        <v>122</v>
      </c>
      <c r="D22" s="31" t="n">
        <v>2</v>
      </c>
      <c r="E22" s="31" t="s">
        <v>287</v>
      </c>
      <c r="F22" s="31" t="s">
        <v>288</v>
      </c>
      <c r="G22" s="31" t="n">
        <v>1</v>
      </c>
      <c r="H22" s="31" t="n">
        <v>257</v>
      </c>
      <c r="I22" s="33" t="n">
        <v>573200</v>
      </c>
      <c r="J22" s="34" t="n">
        <f aca="false">IF(H22&gt;0,I22/H22,0)</f>
        <v>2230.35019455253</v>
      </c>
      <c r="K22" s="35" t="n">
        <f aca="false">(Benchmarks!$C$6-B22)/30.44</f>
        <v>4.33639947437582</v>
      </c>
      <c r="L22" s="36" t="n">
        <f aca="false">IF(AND(E22="Retail",D22&lt;=Benchmarks!$C$9,K22&lt;=Benchmarks!$C$7),1,0)</f>
        <v>1</v>
      </c>
      <c r="M22" s="34" t="n">
        <f aca="false">IF(L22=1,J22,"")</f>
        <v>2230.35019455253</v>
      </c>
    </row>
    <row r="23" customFormat="false" ht="15" hidden="false" customHeight="false" outlineLevel="0" collapsed="false">
      <c r="A23" s="31" t="s">
        <v>309</v>
      </c>
      <c r="B23" s="32" t="n">
        <v>46154</v>
      </c>
      <c r="C23" s="31" t="s">
        <v>122</v>
      </c>
      <c r="D23" s="31" t="n">
        <v>2</v>
      </c>
      <c r="E23" s="31" t="s">
        <v>287</v>
      </c>
      <c r="F23" s="31" t="s">
        <v>288</v>
      </c>
      <c r="G23" s="31" t="n">
        <v>10</v>
      </c>
      <c r="H23" s="31" t="n">
        <v>201</v>
      </c>
      <c r="I23" s="33" t="n">
        <v>433400</v>
      </c>
      <c r="J23" s="34" t="n">
        <f aca="false">IF(H23&gt;0,I23/H23,0)</f>
        <v>2156.21890547264</v>
      </c>
      <c r="K23" s="35" t="n">
        <f aca="false">(Benchmarks!$C$6-B23)/30.44</f>
        <v>4.59921156373193</v>
      </c>
      <c r="L23" s="36" t="n">
        <f aca="false">IF(AND(E23="Retail",D23&lt;=Benchmarks!$C$9,K23&lt;=Benchmarks!$C$7),1,0)</f>
        <v>1</v>
      </c>
      <c r="M23" s="34" t="n">
        <f aca="false">IF(L23=1,J23,"")</f>
        <v>2156.21890547264</v>
      </c>
    </row>
    <row r="24" customFormat="false" ht="15" hidden="false" customHeight="false" outlineLevel="0" collapsed="false">
      <c r="A24" s="31" t="s">
        <v>310</v>
      </c>
      <c r="B24" s="32" t="n">
        <v>46147</v>
      </c>
      <c r="C24" s="31" t="s">
        <v>113</v>
      </c>
      <c r="D24" s="31" t="n">
        <v>2</v>
      </c>
      <c r="E24" s="31" t="s">
        <v>290</v>
      </c>
      <c r="F24" s="31" t="s">
        <v>291</v>
      </c>
      <c r="G24" s="31" t="n">
        <v>1</v>
      </c>
      <c r="H24" s="31" t="n">
        <v>189</v>
      </c>
      <c r="I24" s="33" t="n">
        <v>108700</v>
      </c>
      <c r="J24" s="34" t="n">
        <f aca="false">IF(H24&gt;0,I24/H24,0)</f>
        <v>575.132275132275</v>
      </c>
      <c r="K24" s="35" t="n">
        <f aca="false">(Benchmarks!$C$6-B24)/30.44</f>
        <v>4.82917214191853</v>
      </c>
      <c r="L24" s="36" t="n">
        <f aca="false">IF(AND(E24="Retail",D24&lt;=Benchmarks!$C$9,K24&lt;=Benchmarks!$C$7),1,0)</f>
        <v>0</v>
      </c>
      <c r="M24" s="34" t="str">
        <f aca="false">IF(L24=1,J24,"")</f>
        <v/>
      </c>
    </row>
    <row r="25" customFormat="false" ht="15" hidden="false" customHeight="false" outlineLevel="0" collapsed="false">
      <c r="A25" s="31" t="s">
        <v>311</v>
      </c>
      <c r="B25" s="32" t="n">
        <v>46140</v>
      </c>
      <c r="C25" s="31" t="s">
        <v>120</v>
      </c>
      <c r="D25" s="31" t="n">
        <v>3</v>
      </c>
      <c r="E25" s="31" t="s">
        <v>287</v>
      </c>
      <c r="F25" s="31" t="s">
        <v>293</v>
      </c>
      <c r="G25" s="31" t="n">
        <v>10</v>
      </c>
      <c r="H25" s="31" t="n">
        <v>171</v>
      </c>
      <c r="I25" s="33" t="n">
        <v>464900</v>
      </c>
      <c r="J25" s="34" t="n">
        <f aca="false">IF(H25&gt;0,I25/H25,0)</f>
        <v>2718.7134502924</v>
      </c>
      <c r="K25" s="35" t="n">
        <f aca="false">(Benchmarks!$C$6-B25)/30.44</f>
        <v>5.05913272010513</v>
      </c>
      <c r="L25" s="36" t="n">
        <f aca="false">IF(AND(E25="Retail",D25&lt;=Benchmarks!$C$9,K25&lt;=Benchmarks!$C$7),1,0)</f>
        <v>0</v>
      </c>
      <c r="M25" s="34" t="str">
        <f aca="false">IF(L25=1,J25,"")</f>
        <v/>
      </c>
    </row>
    <row r="26" customFormat="false" ht="15" hidden="false" customHeight="false" outlineLevel="0" collapsed="false">
      <c r="A26" s="31" t="s">
        <v>312</v>
      </c>
      <c r="B26" s="32" t="n">
        <v>46136</v>
      </c>
      <c r="C26" s="31" t="s">
        <v>122</v>
      </c>
      <c r="D26" s="31" t="n">
        <v>2</v>
      </c>
      <c r="E26" s="31" t="s">
        <v>290</v>
      </c>
      <c r="F26" s="31" t="s">
        <v>291</v>
      </c>
      <c r="G26" s="31" t="n">
        <v>1</v>
      </c>
      <c r="H26" s="31" t="n">
        <v>152</v>
      </c>
      <c r="I26" s="33" t="n">
        <v>80500</v>
      </c>
      <c r="J26" s="34" t="n">
        <f aca="false">IF(H26&gt;0,I26/H26,0)</f>
        <v>529.605263157895</v>
      </c>
      <c r="K26" s="35" t="n">
        <f aca="false">(Benchmarks!$C$6-B26)/30.44</f>
        <v>5.19053876478318</v>
      </c>
      <c r="L26" s="36" t="n">
        <f aca="false">IF(AND(E26="Retail",D26&lt;=Benchmarks!$C$9,K26&lt;=Benchmarks!$C$7),1,0)</f>
        <v>0</v>
      </c>
      <c r="M26" s="34" t="str">
        <f aca="false">IF(L26=1,J26,"")</f>
        <v/>
      </c>
    </row>
    <row r="27" customFormat="false" ht="15" hidden="false" customHeight="false" outlineLevel="0" collapsed="false">
      <c r="A27" s="31" t="s">
        <v>313</v>
      </c>
      <c r="B27" s="32" t="n">
        <v>46122</v>
      </c>
      <c r="C27" s="31" t="s">
        <v>113</v>
      </c>
      <c r="D27" s="31" t="n">
        <v>2</v>
      </c>
      <c r="E27" s="31" t="s">
        <v>287</v>
      </c>
      <c r="F27" s="31" t="s">
        <v>288</v>
      </c>
      <c r="G27" s="31" t="n">
        <v>10</v>
      </c>
      <c r="H27" s="31" t="n">
        <v>240</v>
      </c>
      <c r="I27" s="33" t="n">
        <v>469200</v>
      </c>
      <c r="J27" s="34" t="n">
        <f aca="false">IF(H27&gt;0,I27/H27,0)</f>
        <v>1955</v>
      </c>
      <c r="K27" s="35" t="n">
        <f aca="false">(Benchmarks!$C$6-B27)/30.44</f>
        <v>5.65045992115637</v>
      </c>
      <c r="L27" s="36" t="n">
        <f aca="false">IF(AND(E27="Retail",D27&lt;=Benchmarks!$C$9,K27&lt;=Benchmarks!$C$7),1,0)</f>
        <v>1</v>
      </c>
      <c r="M27" s="34" t="n">
        <f aca="false">IF(L27=1,J27,"")</f>
        <v>1955</v>
      </c>
    </row>
    <row r="28" customFormat="false" ht="15" hidden="false" customHeight="false" outlineLevel="0" collapsed="false">
      <c r="A28" s="31" t="s">
        <v>314</v>
      </c>
      <c r="B28" s="32" t="n">
        <v>46110</v>
      </c>
      <c r="C28" s="31" t="s">
        <v>113</v>
      </c>
      <c r="D28" s="31" t="n">
        <v>2</v>
      </c>
      <c r="E28" s="31" t="s">
        <v>287</v>
      </c>
      <c r="F28" s="31" t="s">
        <v>288</v>
      </c>
      <c r="G28" s="31" t="n">
        <v>5</v>
      </c>
      <c r="H28" s="31" t="n">
        <v>234</v>
      </c>
      <c r="I28" s="33" t="n">
        <v>442100</v>
      </c>
      <c r="J28" s="34" t="n">
        <f aca="false">IF(H28&gt;0,I28/H28,0)</f>
        <v>1889.31623931624</v>
      </c>
      <c r="K28" s="35" t="n">
        <f aca="false">(Benchmarks!$C$6-B28)/30.44</f>
        <v>6.04467805519054</v>
      </c>
      <c r="L28" s="36" t="n">
        <f aca="false">IF(AND(E28="Retail",D28&lt;=Benchmarks!$C$9,K28&lt;=Benchmarks!$C$7),1,0)</f>
        <v>1</v>
      </c>
      <c r="M28" s="34" t="n">
        <f aca="false">IF(L28=1,J28,"")</f>
        <v>1889.31623931624</v>
      </c>
    </row>
    <row r="29" customFormat="false" ht="15" hidden="false" customHeight="false" outlineLevel="0" collapsed="false">
      <c r="A29" s="31" t="s">
        <v>315</v>
      </c>
      <c r="B29" s="32" t="n">
        <v>46109</v>
      </c>
      <c r="C29" s="31" t="s">
        <v>120</v>
      </c>
      <c r="D29" s="31" t="n">
        <v>3</v>
      </c>
      <c r="E29" s="31" t="s">
        <v>287</v>
      </c>
      <c r="F29" s="31" t="s">
        <v>293</v>
      </c>
      <c r="G29" s="31" t="n">
        <v>1</v>
      </c>
      <c r="H29" s="31" t="n">
        <v>142</v>
      </c>
      <c r="I29" s="33" t="n">
        <v>378200</v>
      </c>
      <c r="J29" s="34" t="n">
        <f aca="false">IF(H29&gt;0,I29/H29,0)</f>
        <v>2663.38028169014</v>
      </c>
      <c r="K29" s="35" t="n">
        <f aca="false">(Benchmarks!$C$6-B29)/30.44</f>
        <v>6.07752956636005</v>
      </c>
      <c r="L29" s="36" t="n">
        <f aca="false">IF(AND(E29="Retail",D29&lt;=Benchmarks!$C$9,K29&lt;=Benchmarks!$C$7),1,0)</f>
        <v>0</v>
      </c>
      <c r="M29" s="34" t="str">
        <f aca="false">IF(L29=1,J29,"")</f>
        <v/>
      </c>
    </row>
    <row r="30" customFormat="false" ht="15" hidden="false" customHeight="false" outlineLevel="0" collapsed="false">
      <c r="A30" s="31" t="s">
        <v>316</v>
      </c>
      <c r="B30" s="32" t="n">
        <v>46099</v>
      </c>
      <c r="C30" s="31" t="s">
        <v>111</v>
      </c>
      <c r="D30" s="31" t="n">
        <v>3</v>
      </c>
      <c r="E30" s="31" t="s">
        <v>290</v>
      </c>
      <c r="F30" s="31" t="s">
        <v>291</v>
      </c>
      <c r="G30" s="31" t="n">
        <v>1</v>
      </c>
      <c r="H30" s="31" t="n">
        <v>156</v>
      </c>
      <c r="I30" s="33" t="n">
        <v>84300</v>
      </c>
      <c r="J30" s="34" t="n">
        <f aca="false">IF(H30&gt;0,I30/H30,0)</f>
        <v>540.384615384615</v>
      </c>
      <c r="K30" s="35" t="n">
        <f aca="false">(Benchmarks!$C$6-B30)/30.44</f>
        <v>6.40604467805519</v>
      </c>
      <c r="L30" s="36" t="n">
        <f aca="false">IF(AND(E30="Retail",D30&lt;=Benchmarks!$C$9,K30&lt;=Benchmarks!$C$7),1,0)</f>
        <v>0</v>
      </c>
      <c r="M30" s="34" t="str">
        <f aca="false">IF(L30=1,J30,"")</f>
        <v/>
      </c>
    </row>
    <row r="31" customFormat="false" ht="15" hidden="false" customHeight="false" outlineLevel="0" collapsed="false">
      <c r="A31" s="31" t="s">
        <v>317</v>
      </c>
      <c r="B31" s="32" t="n">
        <v>46096</v>
      </c>
      <c r="C31" s="31" t="s">
        <v>120</v>
      </c>
      <c r="D31" s="31" t="n">
        <v>3</v>
      </c>
      <c r="E31" s="31" t="s">
        <v>287</v>
      </c>
      <c r="F31" s="31" t="s">
        <v>288</v>
      </c>
      <c r="G31" s="31" t="n">
        <v>1</v>
      </c>
      <c r="H31" s="31" t="n">
        <v>295</v>
      </c>
      <c r="I31" s="33" t="n">
        <v>805000</v>
      </c>
      <c r="J31" s="34" t="n">
        <f aca="false">IF(H31&gt;0,I31/H31,0)</f>
        <v>2728.81355932203</v>
      </c>
      <c r="K31" s="35" t="n">
        <f aca="false">(Benchmarks!$C$6-B31)/30.44</f>
        <v>6.50459921156373</v>
      </c>
      <c r="L31" s="36" t="n">
        <f aca="false">IF(AND(E31="Retail",D31&lt;=Benchmarks!$C$9,K31&lt;=Benchmarks!$C$7),1,0)</f>
        <v>0</v>
      </c>
      <c r="M31" s="34" t="str">
        <f aca="false">IF(L31=1,J31,"")</f>
        <v/>
      </c>
    </row>
    <row r="32" customFormat="false" ht="15" hidden="false" customHeight="false" outlineLevel="0" collapsed="false">
      <c r="A32" s="31" t="s">
        <v>318</v>
      </c>
      <c r="B32" s="32" t="n">
        <v>46091</v>
      </c>
      <c r="C32" s="31" t="s">
        <v>107</v>
      </c>
      <c r="D32" s="31" t="n">
        <v>1</v>
      </c>
      <c r="E32" s="31" t="s">
        <v>290</v>
      </c>
      <c r="F32" s="31" t="s">
        <v>291</v>
      </c>
      <c r="G32" s="31" t="n">
        <v>1</v>
      </c>
      <c r="H32" s="31" t="n">
        <v>175</v>
      </c>
      <c r="I32" s="33" t="n">
        <v>115900</v>
      </c>
      <c r="J32" s="34" t="n">
        <f aca="false">IF(H32&gt;0,I32/H32,0)</f>
        <v>662.285714285714</v>
      </c>
      <c r="K32" s="35" t="n">
        <f aca="false">(Benchmarks!$C$6-B32)/30.44</f>
        <v>6.6688567674113</v>
      </c>
      <c r="L32" s="36" t="n">
        <f aca="false">IF(AND(E32="Retail",D32&lt;=Benchmarks!$C$9,K32&lt;=Benchmarks!$C$7),1,0)</f>
        <v>0</v>
      </c>
      <c r="M32" s="34" t="str">
        <f aca="false">IF(L32=1,J32,"")</f>
        <v/>
      </c>
    </row>
    <row r="33" customFormat="false" ht="15" hidden="false" customHeight="false" outlineLevel="0" collapsed="false">
      <c r="A33" s="31" t="s">
        <v>319</v>
      </c>
      <c r="B33" s="32" t="n">
        <v>46079</v>
      </c>
      <c r="C33" s="31" t="s">
        <v>107</v>
      </c>
      <c r="D33" s="31" t="n">
        <v>1</v>
      </c>
      <c r="E33" s="31" t="s">
        <v>290</v>
      </c>
      <c r="F33" s="31" t="s">
        <v>291</v>
      </c>
      <c r="G33" s="31" t="n">
        <v>1</v>
      </c>
      <c r="H33" s="31" t="n">
        <v>170</v>
      </c>
      <c r="I33" s="33" t="n">
        <v>96800</v>
      </c>
      <c r="J33" s="34" t="n">
        <f aca="false">IF(H33&gt;0,I33/H33,0)</f>
        <v>569.411764705882</v>
      </c>
      <c r="K33" s="35" t="n">
        <f aca="false">(Benchmarks!$C$6-B33)/30.44</f>
        <v>7.06307490144547</v>
      </c>
      <c r="L33" s="36" t="n">
        <f aca="false">IF(AND(E33="Retail",D33&lt;=Benchmarks!$C$9,K33&lt;=Benchmarks!$C$7),1,0)</f>
        <v>0</v>
      </c>
      <c r="M33" s="34" t="str">
        <f aca="false">IF(L33=1,J33,"")</f>
        <v/>
      </c>
    </row>
    <row r="34" customFormat="false" ht="15" hidden="false" customHeight="false" outlineLevel="0" collapsed="false">
      <c r="A34" s="31" t="s">
        <v>320</v>
      </c>
      <c r="B34" s="32" t="n">
        <v>46073</v>
      </c>
      <c r="C34" s="31" t="s">
        <v>132</v>
      </c>
      <c r="D34" s="31" t="n">
        <v>2</v>
      </c>
      <c r="E34" s="31" t="s">
        <v>287</v>
      </c>
      <c r="F34" s="31" t="s">
        <v>288</v>
      </c>
      <c r="G34" s="31" t="n">
        <v>3</v>
      </c>
      <c r="H34" s="31" t="n">
        <v>115</v>
      </c>
      <c r="I34" s="33" t="n">
        <v>288500</v>
      </c>
      <c r="J34" s="34" t="n">
        <f aca="false">IF(H34&gt;0,I34/H34,0)</f>
        <v>2508.69565217391</v>
      </c>
      <c r="K34" s="35" t="n">
        <f aca="false">(Benchmarks!$C$6-B34)/30.44</f>
        <v>7.26018396846255</v>
      </c>
      <c r="L34" s="36" t="n">
        <f aca="false">IF(AND(E34="Retail",D34&lt;=Benchmarks!$C$9,K34&lt;=Benchmarks!$C$7),1,0)</f>
        <v>1</v>
      </c>
      <c r="M34" s="34" t="n">
        <f aca="false">IF(L34=1,J34,"")</f>
        <v>2508.69565217391</v>
      </c>
    </row>
    <row r="35" customFormat="false" ht="15" hidden="false" customHeight="false" outlineLevel="0" collapsed="false">
      <c r="A35" s="31" t="s">
        <v>321</v>
      </c>
      <c r="B35" s="32" t="n">
        <v>46072</v>
      </c>
      <c r="C35" s="31" t="s">
        <v>113</v>
      </c>
      <c r="D35" s="31" t="n">
        <v>2</v>
      </c>
      <c r="E35" s="31" t="s">
        <v>290</v>
      </c>
      <c r="F35" s="31" t="s">
        <v>291</v>
      </c>
      <c r="G35" s="31" t="n">
        <v>1</v>
      </c>
      <c r="H35" s="31" t="n">
        <v>155</v>
      </c>
      <c r="I35" s="33" t="n">
        <v>79900</v>
      </c>
      <c r="J35" s="34" t="n">
        <f aca="false">IF(H35&gt;0,I35/H35,0)</f>
        <v>515.483870967742</v>
      </c>
      <c r="K35" s="35" t="n">
        <f aca="false">(Benchmarks!$C$6-B35)/30.44</f>
        <v>7.29303547963206</v>
      </c>
      <c r="L35" s="36" t="n">
        <f aca="false">IF(AND(E35="Retail",D35&lt;=Benchmarks!$C$9,K35&lt;=Benchmarks!$C$7),1,0)</f>
        <v>0</v>
      </c>
      <c r="M35" s="34" t="str">
        <f aca="false">IF(L35=1,J35,"")</f>
        <v/>
      </c>
    </row>
    <row r="36" customFormat="false" ht="15" hidden="false" customHeight="false" outlineLevel="0" collapsed="false">
      <c r="A36" s="31" t="s">
        <v>322</v>
      </c>
      <c r="B36" s="32" t="n">
        <v>46062</v>
      </c>
      <c r="C36" s="31" t="s">
        <v>132</v>
      </c>
      <c r="D36" s="31" t="n">
        <v>2</v>
      </c>
      <c r="E36" s="31" t="s">
        <v>287</v>
      </c>
      <c r="F36" s="31" t="s">
        <v>288</v>
      </c>
      <c r="G36" s="31" t="n">
        <v>1</v>
      </c>
      <c r="H36" s="31" t="n">
        <v>134</v>
      </c>
      <c r="I36" s="33" t="n">
        <v>317300</v>
      </c>
      <c r="J36" s="34" t="n">
        <f aca="false">IF(H36&gt;0,I36/H36,0)</f>
        <v>2367.91044776119</v>
      </c>
      <c r="K36" s="35" t="n">
        <f aca="false">(Benchmarks!$C$6-B36)/30.44</f>
        <v>7.6215505913272</v>
      </c>
      <c r="L36" s="36" t="n">
        <f aca="false">IF(AND(E36="Retail",D36&lt;=Benchmarks!$C$9,K36&lt;=Benchmarks!$C$7),1,0)</f>
        <v>1</v>
      </c>
      <c r="M36" s="34" t="n">
        <f aca="false">IF(L36=1,J36,"")</f>
        <v>2367.91044776119</v>
      </c>
    </row>
    <row r="37" customFormat="false" ht="15" hidden="false" customHeight="false" outlineLevel="0" collapsed="false">
      <c r="A37" s="31" t="s">
        <v>323</v>
      </c>
      <c r="B37" s="32" t="n">
        <v>46058</v>
      </c>
      <c r="C37" s="31" t="s">
        <v>122</v>
      </c>
      <c r="D37" s="31" t="n">
        <v>2</v>
      </c>
      <c r="E37" s="31" t="s">
        <v>287</v>
      </c>
      <c r="F37" s="31" t="s">
        <v>293</v>
      </c>
      <c r="G37" s="31" t="n">
        <v>1</v>
      </c>
      <c r="H37" s="31" t="n">
        <v>286</v>
      </c>
      <c r="I37" s="33" t="n">
        <v>653500</v>
      </c>
      <c r="J37" s="34" t="n">
        <f aca="false">IF(H37&gt;0,I37/H37,0)</f>
        <v>2284.96503496504</v>
      </c>
      <c r="K37" s="35" t="n">
        <f aca="false">(Benchmarks!$C$6-B37)/30.44</f>
        <v>7.75295663600526</v>
      </c>
      <c r="L37" s="36" t="n">
        <f aca="false">IF(AND(E37="Retail",D37&lt;=Benchmarks!$C$9,K37&lt;=Benchmarks!$C$7),1,0)</f>
        <v>1</v>
      </c>
      <c r="M37" s="34" t="n">
        <f aca="false">IF(L37=1,J37,"")</f>
        <v>2284.96503496504</v>
      </c>
    </row>
    <row r="38" customFormat="false" ht="15" hidden="false" customHeight="false" outlineLevel="0" collapsed="false">
      <c r="A38" s="31" t="s">
        <v>324</v>
      </c>
      <c r="B38" s="32" t="n">
        <v>46052</v>
      </c>
      <c r="C38" s="31" t="s">
        <v>120</v>
      </c>
      <c r="D38" s="31" t="n">
        <v>3</v>
      </c>
      <c r="E38" s="31" t="s">
        <v>287</v>
      </c>
      <c r="F38" s="31" t="s">
        <v>288</v>
      </c>
      <c r="G38" s="31" t="n">
        <v>10</v>
      </c>
      <c r="H38" s="31" t="n">
        <v>101</v>
      </c>
      <c r="I38" s="33" t="n">
        <v>248100</v>
      </c>
      <c r="J38" s="34" t="n">
        <f aca="false">IF(H38&gt;0,I38/H38,0)</f>
        <v>2456.43564356436</v>
      </c>
      <c r="K38" s="35" t="n">
        <f aca="false">(Benchmarks!$C$6-B38)/30.44</f>
        <v>7.95006570302234</v>
      </c>
      <c r="L38" s="36" t="n">
        <f aca="false">IF(AND(E38="Retail",D38&lt;=Benchmarks!$C$9,K38&lt;=Benchmarks!$C$7),1,0)</f>
        <v>0</v>
      </c>
      <c r="M38" s="34" t="str">
        <f aca="false">IF(L38=1,J38,"")</f>
        <v/>
      </c>
    </row>
    <row r="39" customFormat="false" ht="15" hidden="false" customHeight="false" outlineLevel="0" collapsed="false">
      <c r="A39" s="31" t="s">
        <v>325</v>
      </c>
      <c r="B39" s="32" t="n">
        <v>46049</v>
      </c>
      <c r="C39" s="31" t="s">
        <v>120</v>
      </c>
      <c r="D39" s="31" t="n">
        <v>3</v>
      </c>
      <c r="E39" s="31" t="s">
        <v>287</v>
      </c>
      <c r="F39" s="31" t="s">
        <v>293</v>
      </c>
      <c r="G39" s="31" t="n">
        <v>5</v>
      </c>
      <c r="H39" s="31" t="n">
        <v>299</v>
      </c>
      <c r="I39" s="33" t="n">
        <v>801300</v>
      </c>
      <c r="J39" s="34" t="n">
        <f aca="false">IF(H39&gt;0,I39/H39,0)</f>
        <v>2679.93311036789</v>
      </c>
      <c r="K39" s="35" t="n">
        <f aca="false">(Benchmarks!$C$6-B39)/30.44</f>
        <v>8.04862023653088</v>
      </c>
      <c r="L39" s="36" t="n">
        <f aca="false">IF(AND(E39="Retail",D39&lt;=Benchmarks!$C$9,K39&lt;=Benchmarks!$C$7),1,0)</f>
        <v>0</v>
      </c>
      <c r="M39" s="34" t="str">
        <f aca="false">IF(L39=1,J39,"")</f>
        <v/>
      </c>
    </row>
    <row r="40" customFormat="false" ht="15" hidden="false" customHeight="false" outlineLevel="0" collapsed="false">
      <c r="A40" s="31" t="s">
        <v>326</v>
      </c>
      <c r="B40" s="32" t="n">
        <v>46033</v>
      </c>
      <c r="C40" s="31" t="s">
        <v>107</v>
      </c>
      <c r="D40" s="31" t="n">
        <v>1</v>
      </c>
      <c r="E40" s="31" t="s">
        <v>287</v>
      </c>
      <c r="F40" s="31" t="s">
        <v>288</v>
      </c>
      <c r="G40" s="31" t="n">
        <v>5</v>
      </c>
      <c r="H40" s="31" t="n">
        <v>180</v>
      </c>
      <c r="I40" s="33" t="n">
        <v>401100</v>
      </c>
      <c r="J40" s="34" t="n">
        <f aca="false">IF(H40&gt;0,I40/H40,0)</f>
        <v>2228.33333333333</v>
      </c>
      <c r="K40" s="35" t="n">
        <f aca="false">(Benchmarks!$C$6-B40)/30.44</f>
        <v>8.5742444152431</v>
      </c>
      <c r="L40" s="36" t="n">
        <f aca="false">IF(AND(E40="Retail",D40&lt;=Benchmarks!$C$9,K40&lt;=Benchmarks!$C$7),1,0)</f>
        <v>1</v>
      </c>
      <c r="M40" s="34" t="n">
        <f aca="false">IF(L40=1,J40,"")</f>
        <v>2228.33333333333</v>
      </c>
    </row>
    <row r="41" customFormat="false" ht="15" hidden="false" customHeight="false" outlineLevel="0" collapsed="false">
      <c r="A41" s="31" t="s">
        <v>327</v>
      </c>
      <c r="B41" s="32" t="n">
        <v>46015</v>
      </c>
      <c r="C41" s="31" t="s">
        <v>122</v>
      </c>
      <c r="D41" s="31" t="n">
        <v>2</v>
      </c>
      <c r="E41" s="31" t="s">
        <v>287</v>
      </c>
      <c r="F41" s="31" t="s">
        <v>293</v>
      </c>
      <c r="G41" s="31" t="n">
        <v>10</v>
      </c>
      <c r="H41" s="31" t="n">
        <v>284</v>
      </c>
      <c r="I41" s="33" t="n">
        <v>645400</v>
      </c>
      <c r="J41" s="34" t="n">
        <f aca="false">IF(H41&gt;0,I41/H41,0)</f>
        <v>2272.53521126761</v>
      </c>
      <c r="K41" s="35" t="n">
        <f aca="false">(Benchmarks!$C$6-B41)/30.44</f>
        <v>9.16557161629435</v>
      </c>
      <c r="L41" s="36" t="n">
        <f aca="false">IF(AND(E41="Retail",D41&lt;=Benchmarks!$C$9,K41&lt;=Benchmarks!$C$7),1,0)</f>
        <v>1</v>
      </c>
      <c r="M41" s="34" t="n">
        <f aca="false">IF(L41=1,J41,"")</f>
        <v>2272.53521126761</v>
      </c>
    </row>
    <row r="42" customFormat="false" ht="15" hidden="false" customHeight="false" outlineLevel="0" collapsed="false">
      <c r="A42" s="31" t="s">
        <v>328</v>
      </c>
      <c r="B42" s="32" t="n">
        <v>46015</v>
      </c>
      <c r="C42" s="31" t="s">
        <v>120</v>
      </c>
      <c r="D42" s="31" t="n">
        <v>3</v>
      </c>
      <c r="E42" s="31" t="s">
        <v>287</v>
      </c>
      <c r="F42" s="31" t="s">
        <v>293</v>
      </c>
      <c r="G42" s="31" t="n">
        <v>3</v>
      </c>
      <c r="H42" s="31" t="n">
        <v>185</v>
      </c>
      <c r="I42" s="33" t="n">
        <v>482100</v>
      </c>
      <c r="J42" s="34" t="n">
        <f aca="false">IF(H42&gt;0,I42/H42,0)</f>
        <v>2605.94594594595</v>
      </c>
      <c r="K42" s="35" t="n">
        <f aca="false">(Benchmarks!$C$6-B42)/30.44</f>
        <v>9.16557161629435</v>
      </c>
      <c r="L42" s="36" t="n">
        <f aca="false">IF(AND(E42="Retail",D42&lt;=Benchmarks!$C$9,K42&lt;=Benchmarks!$C$7),1,0)</f>
        <v>0</v>
      </c>
      <c r="M42" s="34" t="str">
        <f aca="false">IF(L42=1,J42,"")</f>
        <v/>
      </c>
    </row>
    <row r="43" customFormat="false" ht="15" hidden="false" customHeight="false" outlineLevel="0" collapsed="false">
      <c r="A43" s="31" t="s">
        <v>329</v>
      </c>
      <c r="B43" s="32" t="n">
        <v>45997</v>
      </c>
      <c r="C43" s="31" t="s">
        <v>120</v>
      </c>
      <c r="D43" s="31" t="n">
        <v>3</v>
      </c>
      <c r="E43" s="31" t="s">
        <v>287</v>
      </c>
      <c r="F43" s="31" t="s">
        <v>288</v>
      </c>
      <c r="G43" s="31" t="n">
        <v>10</v>
      </c>
      <c r="H43" s="31" t="n">
        <v>247</v>
      </c>
      <c r="I43" s="33" t="n">
        <v>713700</v>
      </c>
      <c r="J43" s="34" t="n">
        <f aca="false">IF(H43&gt;0,I43/H43,0)</f>
        <v>2889.47368421053</v>
      </c>
      <c r="K43" s="35" t="n">
        <f aca="false">(Benchmarks!$C$6-B43)/30.44</f>
        <v>9.7568988173456</v>
      </c>
      <c r="L43" s="36" t="n">
        <f aca="false">IF(AND(E43="Retail",D43&lt;=Benchmarks!$C$9,K43&lt;=Benchmarks!$C$7),1,0)</f>
        <v>0</v>
      </c>
      <c r="M43" s="34" t="str">
        <f aca="false">IF(L43=1,J43,"")</f>
        <v/>
      </c>
    </row>
    <row r="44" customFormat="false" ht="15" hidden="false" customHeight="false" outlineLevel="0" collapsed="false">
      <c r="A44" s="31" t="s">
        <v>330</v>
      </c>
      <c r="B44" s="32" t="n">
        <v>45993</v>
      </c>
      <c r="C44" s="31" t="s">
        <v>113</v>
      </c>
      <c r="D44" s="31" t="n">
        <v>2</v>
      </c>
      <c r="E44" s="31" t="s">
        <v>290</v>
      </c>
      <c r="F44" s="31" t="s">
        <v>291</v>
      </c>
      <c r="G44" s="31" t="n">
        <v>1</v>
      </c>
      <c r="H44" s="31" t="n">
        <v>147</v>
      </c>
      <c r="I44" s="33" t="n">
        <v>78200</v>
      </c>
      <c r="J44" s="34" t="n">
        <f aca="false">IF(H44&gt;0,I44/H44,0)</f>
        <v>531.972789115646</v>
      </c>
      <c r="K44" s="35" t="n">
        <f aca="false">(Benchmarks!$C$6-B44)/30.44</f>
        <v>9.88830486202365</v>
      </c>
      <c r="L44" s="36" t="n">
        <f aca="false">IF(AND(E44="Retail",D44&lt;=Benchmarks!$C$9,K44&lt;=Benchmarks!$C$7),1,0)</f>
        <v>0</v>
      </c>
      <c r="M44" s="34" t="str">
        <f aca="false">IF(L44=1,J44,"")</f>
        <v/>
      </c>
    </row>
    <row r="45" customFormat="false" ht="15" hidden="false" customHeight="false" outlineLevel="0" collapsed="false">
      <c r="A45" s="31" t="s">
        <v>331</v>
      </c>
      <c r="B45" s="32" t="n">
        <v>45985</v>
      </c>
      <c r="C45" s="31" t="s">
        <v>113</v>
      </c>
      <c r="D45" s="31" t="n">
        <v>2</v>
      </c>
      <c r="E45" s="31" t="s">
        <v>287</v>
      </c>
      <c r="F45" s="31" t="s">
        <v>293</v>
      </c>
      <c r="G45" s="31" t="n">
        <v>1</v>
      </c>
      <c r="H45" s="31" t="n">
        <v>303</v>
      </c>
      <c r="I45" s="33" t="n">
        <v>643100</v>
      </c>
      <c r="J45" s="34" t="n">
        <f aca="false">IF(H45&gt;0,I45/H45,0)</f>
        <v>2122.44224422442</v>
      </c>
      <c r="K45" s="35" t="n">
        <f aca="false">(Benchmarks!$C$6-B45)/30.44</f>
        <v>10.1511169513798</v>
      </c>
      <c r="L45" s="36" t="n">
        <f aca="false">IF(AND(E45="Retail",D45&lt;=Benchmarks!$C$9,K45&lt;=Benchmarks!$C$7),1,0)</f>
        <v>1</v>
      </c>
      <c r="M45" s="34" t="n">
        <f aca="false">IF(L45=1,J45,"")</f>
        <v>2122.44224422442</v>
      </c>
    </row>
    <row r="46" customFormat="false" ht="15" hidden="false" customHeight="false" outlineLevel="0" collapsed="false">
      <c r="A46" s="31" t="s">
        <v>332</v>
      </c>
      <c r="B46" s="32" t="n">
        <v>45985</v>
      </c>
      <c r="C46" s="31" t="s">
        <v>111</v>
      </c>
      <c r="D46" s="31" t="n">
        <v>3</v>
      </c>
      <c r="E46" s="31" t="s">
        <v>287</v>
      </c>
      <c r="F46" s="31" t="s">
        <v>288</v>
      </c>
      <c r="G46" s="31" t="n">
        <v>3</v>
      </c>
      <c r="H46" s="31" t="n">
        <v>303</v>
      </c>
      <c r="I46" s="33" t="n">
        <v>540700</v>
      </c>
      <c r="J46" s="34" t="n">
        <f aca="false">IF(H46&gt;0,I46/H46,0)</f>
        <v>1784.48844884488</v>
      </c>
      <c r="K46" s="35" t="n">
        <f aca="false">(Benchmarks!$C$6-B46)/30.44</f>
        <v>10.1511169513798</v>
      </c>
      <c r="L46" s="36" t="n">
        <f aca="false">IF(AND(E46="Retail",D46&lt;=Benchmarks!$C$9,K46&lt;=Benchmarks!$C$7),1,0)</f>
        <v>0</v>
      </c>
      <c r="M46" s="34" t="str">
        <f aca="false">IF(L46=1,J46,"")</f>
        <v/>
      </c>
    </row>
    <row r="47" customFormat="false" ht="15" hidden="false" customHeight="false" outlineLevel="0" collapsed="false">
      <c r="A47" s="31" t="s">
        <v>333</v>
      </c>
      <c r="B47" s="32" t="n">
        <v>45980</v>
      </c>
      <c r="C47" s="31" t="s">
        <v>122</v>
      </c>
      <c r="D47" s="31" t="n">
        <v>2</v>
      </c>
      <c r="E47" s="31" t="s">
        <v>287</v>
      </c>
      <c r="F47" s="31" t="s">
        <v>288</v>
      </c>
      <c r="G47" s="31" t="n">
        <v>3</v>
      </c>
      <c r="H47" s="31" t="n">
        <v>179</v>
      </c>
      <c r="I47" s="33" t="n">
        <v>452000</v>
      </c>
      <c r="J47" s="34" t="n">
        <f aca="false">IF(H47&gt;0,I47/H47,0)</f>
        <v>2525.13966480447</v>
      </c>
      <c r="K47" s="35" t="n">
        <f aca="false">(Benchmarks!$C$6-B47)/30.44</f>
        <v>10.3153745072273</v>
      </c>
      <c r="L47" s="36" t="n">
        <f aca="false">IF(AND(E47="Retail",D47&lt;=Benchmarks!$C$9,K47&lt;=Benchmarks!$C$7),1,0)</f>
        <v>1</v>
      </c>
      <c r="M47" s="34" t="n">
        <f aca="false">IF(L47=1,J47,"")</f>
        <v>2525.13966480447</v>
      </c>
    </row>
    <row r="48" customFormat="false" ht="15" hidden="false" customHeight="false" outlineLevel="0" collapsed="false">
      <c r="A48" s="31" t="s">
        <v>334</v>
      </c>
      <c r="B48" s="32" t="n">
        <v>45978</v>
      </c>
      <c r="C48" s="31" t="s">
        <v>120</v>
      </c>
      <c r="D48" s="31" t="n">
        <v>3</v>
      </c>
      <c r="E48" s="31" t="s">
        <v>290</v>
      </c>
      <c r="F48" s="31" t="s">
        <v>291</v>
      </c>
      <c r="G48" s="31" t="n">
        <v>1</v>
      </c>
      <c r="H48" s="31" t="n">
        <v>121</v>
      </c>
      <c r="I48" s="33" t="n">
        <v>83600</v>
      </c>
      <c r="J48" s="34" t="n">
        <f aca="false">IF(H48&gt;0,I48/H48,0)</f>
        <v>690.909090909091</v>
      </c>
      <c r="K48" s="35" t="n">
        <f aca="false">(Benchmarks!$C$6-B48)/30.44</f>
        <v>10.3810775295664</v>
      </c>
      <c r="L48" s="36" t="n">
        <f aca="false">IF(AND(E48="Retail",D48&lt;=Benchmarks!$C$9,K48&lt;=Benchmarks!$C$7),1,0)</f>
        <v>0</v>
      </c>
      <c r="M48" s="34" t="str">
        <f aca="false">IF(L48=1,J48,"")</f>
        <v/>
      </c>
    </row>
    <row r="49" customFormat="false" ht="15" hidden="false" customHeight="false" outlineLevel="0" collapsed="false">
      <c r="A49" s="31" t="s">
        <v>335</v>
      </c>
      <c r="B49" s="32" t="n">
        <v>45972</v>
      </c>
      <c r="C49" s="31" t="s">
        <v>111</v>
      </c>
      <c r="D49" s="31" t="n">
        <v>3</v>
      </c>
      <c r="E49" s="31" t="s">
        <v>290</v>
      </c>
      <c r="F49" s="31" t="s">
        <v>291</v>
      </c>
      <c r="G49" s="31" t="n">
        <v>1</v>
      </c>
      <c r="H49" s="31" t="n">
        <v>101</v>
      </c>
      <c r="I49" s="33" t="n">
        <v>52900</v>
      </c>
      <c r="J49" s="34" t="n">
        <f aca="false">IF(H49&gt;0,I49/H49,0)</f>
        <v>523.762376237624</v>
      </c>
      <c r="K49" s="35" t="n">
        <f aca="false">(Benchmarks!$C$6-B49)/30.44</f>
        <v>10.5781865965834</v>
      </c>
      <c r="L49" s="36" t="n">
        <f aca="false">IF(AND(E49="Retail",D49&lt;=Benchmarks!$C$9,K49&lt;=Benchmarks!$C$7),1,0)</f>
        <v>0</v>
      </c>
      <c r="M49" s="34" t="str">
        <f aca="false">IF(L49=1,J49,"")</f>
        <v/>
      </c>
    </row>
    <row r="50" customFormat="false" ht="15" hidden="false" customHeight="false" outlineLevel="0" collapsed="false">
      <c r="A50" s="31" t="s">
        <v>336</v>
      </c>
      <c r="B50" s="32" t="n">
        <v>45964</v>
      </c>
      <c r="C50" s="31" t="s">
        <v>120</v>
      </c>
      <c r="D50" s="31" t="n">
        <v>3</v>
      </c>
      <c r="E50" s="31" t="s">
        <v>290</v>
      </c>
      <c r="F50" s="31" t="s">
        <v>291</v>
      </c>
      <c r="G50" s="31" t="n">
        <v>1</v>
      </c>
      <c r="H50" s="31" t="n">
        <v>103</v>
      </c>
      <c r="I50" s="33" t="n">
        <v>65000</v>
      </c>
      <c r="J50" s="34" t="n">
        <f aca="false">IF(H50&gt;0,I50/H50,0)</f>
        <v>631.067961165049</v>
      </c>
      <c r="K50" s="35" t="n">
        <f aca="false">(Benchmarks!$C$6-B50)/30.44</f>
        <v>10.8409986859396</v>
      </c>
      <c r="L50" s="36" t="n">
        <f aca="false">IF(AND(E50="Retail",D50&lt;=Benchmarks!$C$9,K50&lt;=Benchmarks!$C$7),1,0)</f>
        <v>0</v>
      </c>
      <c r="M50" s="34" t="str">
        <f aca="false">IF(L50=1,J50,"")</f>
        <v/>
      </c>
    </row>
    <row r="51" customFormat="false" ht="15" hidden="false" customHeight="false" outlineLevel="0" collapsed="false">
      <c r="A51" s="31" t="s">
        <v>337</v>
      </c>
      <c r="B51" s="32" t="n">
        <v>45960</v>
      </c>
      <c r="C51" s="31" t="s">
        <v>122</v>
      </c>
      <c r="D51" s="31" t="n">
        <v>2</v>
      </c>
      <c r="E51" s="31" t="s">
        <v>287</v>
      </c>
      <c r="F51" s="31" t="s">
        <v>293</v>
      </c>
      <c r="G51" s="31" t="n">
        <v>5</v>
      </c>
      <c r="H51" s="31" t="n">
        <v>286</v>
      </c>
      <c r="I51" s="33" t="n">
        <v>698200</v>
      </c>
      <c r="J51" s="34" t="n">
        <f aca="false">IF(H51&gt;0,I51/H51,0)</f>
        <v>2441.25874125874</v>
      </c>
      <c r="K51" s="35" t="n">
        <f aca="false">(Benchmarks!$C$6-B51)/30.44</f>
        <v>10.9724047306176</v>
      </c>
      <c r="L51" s="36" t="n">
        <f aca="false">IF(AND(E51="Retail",D51&lt;=Benchmarks!$C$9,K51&lt;=Benchmarks!$C$7),1,0)</f>
        <v>1</v>
      </c>
      <c r="M51" s="34" t="n">
        <f aca="false">IF(L51=1,J51,"")</f>
        <v>2441.25874125874</v>
      </c>
    </row>
    <row r="52" customFormat="false" ht="15" hidden="false" customHeight="false" outlineLevel="0" collapsed="false">
      <c r="A52" s="31" t="s">
        <v>338</v>
      </c>
      <c r="B52" s="32" t="n">
        <v>45960</v>
      </c>
      <c r="C52" s="31" t="s">
        <v>120</v>
      </c>
      <c r="D52" s="31" t="n">
        <v>3</v>
      </c>
      <c r="E52" s="31" t="s">
        <v>287</v>
      </c>
      <c r="F52" s="31" t="s">
        <v>293</v>
      </c>
      <c r="G52" s="31" t="n">
        <v>1</v>
      </c>
      <c r="H52" s="31" t="n">
        <v>195</v>
      </c>
      <c r="I52" s="33" t="n">
        <v>518500</v>
      </c>
      <c r="J52" s="34" t="n">
        <f aca="false">IF(H52&gt;0,I52/H52,0)</f>
        <v>2658.97435897436</v>
      </c>
      <c r="K52" s="35" t="n">
        <f aca="false">(Benchmarks!$C$6-B52)/30.44</f>
        <v>10.9724047306176</v>
      </c>
      <c r="L52" s="36" t="n">
        <f aca="false">IF(AND(E52="Retail",D52&lt;=Benchmarks!$C$9,K52&lt;=Benchmarks!$C$7),1,0)</f>
        <v>0</v>
      </c>
      <c r="M52" s="34" t="str">
        <f aca="false">IF(L52=1,J52,"")</f>
        <v/>
      </c>
    </row>
    <row r="53" customFormat="false" ht="15" hidden="false" customHeight="false" outlineLevel="0" collapsed="false">
      <c r="A53" s="31" t="s">
        <v>339</v>
      </c>
      <c r="B53" s="32" t="n">
        <v>45959</v>
      </c>
      <c r="C53" s="31" t="s">
        <v>107</v>
      </c>
      <c r="D53" s="31" t="n">
        <v>1</v>
      </c>
      <c r="E53" s="31" t="s">
        <v>287</v>
      </c>
      <c r="F53" s="31" t="s">
        <v>288</v>
      </c>
      <c r="G53" s="31" t="n">
        <v>1</v>
      </c>
      <c r="H53" s="31" t="n">
        <v>157</v>
      </c>
      <c r="I53" s="33" t="n">
        <v>327600</v>
      </c>
      <c r="J53" s="34" t="n">
        <f aca="false">IF(H53&gt;0,I53/H53,0)</f>
        <v>2086.62420382166</v>
      </c>
      <c r="K53" s="35" t="n">
        <f aca="false">(Benchmarks!$C$6-B53)/30.44</f>
        <v>11.0052562417871</v>
      </c>
      <c r="L53" s="36" t="n">
        <f aca="false">IF(AND(E53="Retail",D53&lt;=Benchmarks!$C$9,K53&lt;=Benchmarks!$C$7),1,0)</f>
        <v>1</v>
      </c>
      <c r="M53" s="34" t="n">
        <f aca="false">IF(L53=1,J53,"")</f>
        <v>2086.62420382166</v>
      </c>
    </row>
    <row r="54" customFormat="false" ht="15" hidden="false" customHeight="false" outlineLevel="0" collapsed="false">
      <c r="A54" s="31" t="s">
        <v>340</v>
      </c>
      <c r="B54" s="32" t="n">
        <v>45956</v>
      </c>
      <c r="C54" s="31" t="s">
        <v>113</v>
      </c>
      <c r="D54" s="31" t="n">
        <v>2</v>
      </c>
      <c r="E54" s="31" t="s">
        <v>290</v>
      </c>
      <c r="F54" s="31" t="s">
        <v>291</v>
      </c>
      <c r="G54" s="31" t="n">
        <v>1</v>
      </c>
      <c r="H54" s="31" t="n">
        <v>127</v>
      </c>
      <c r="I54" s="33" t="n">
        <v>66600</v>
      </c>
      <c r="J54" s="34" t="n">
        <f aca="false">IF(H54&gt;0,I54/H54,0)</f>
        <v>524.409448818898</v>
      </c>
      <c r="K54" s="35" t="n">
        <f aca="false">(Benchmarks!$C$6-B54)/30.44</f>
        <v>11.1038107752957</v>
      </c>
      <c r="L54" s="36" t="n">
        <f aca="false">IF(AND(E54="Retail",D54&lt;=Benchmarks!$C$9,K54&lt;=Benchmarks!$C$7),1,0)</f>
        <v>0</v>
      </c>
      <c r="M54" s="34" t="str">
        <f aca="false">IF(L54=1,J54,"")</f>
        <v/>
      </c>
    </row>
    <row r="55" customFormat="false" ht="15" hidden="false" customHeight="false" outlineLevel="0" collapsed="false">
      <c r="A55" s="31" t="s">
        <v>341</v>
      </c>
      <c r="B55" s="32" t="n">
        <v>45949</v>
      </c>
      <c r="C55" s="31" t="s">
        <v>122</v>
      </c>
      <c r="D55" s="31" t="n">
        <v>2</v>
      </c>
      <c r="E55" s="31" t="s">
        <v>290</v>
      </c>
      <c r="F55" s="31" t="s">
        <v>291</v>
      </c>
      <c r="G55" s="31" t="n">
        <v>1</v>
      </c>
      <c r="H55" s="31" t="n">
        <v>176</v>
      </c>
      <c r="I55" s="33" t="n">
        <v>91000</v>
      </c>
      <c r="J55" s="34" t="n">
        <f aca="false">IF(H55&gt;0,I55/H55,0)</f>
        <v>517.045454545455</v>
      </c>
      <c r="K55" s="35" t="n">
        <f aca="false">(Benchmarks!$C$6-B55)/30.44</f>
        <v>11.3337713534823</v>
      </c>
      <c r="L55" s="36" t="n">
        <f aca="false">IF(AND(E55="Retail",D55&lt;=Benchmarks!$C$9,K55&lt;=Benchmarks!$C$7),1,0)</f>
        <v>0</v>
      </c>
      <c r="M55" s="34" t="str">
        <f aca="false">IF(L55=1,J55,"")</f>
        <v/>
      </c>
    </row>
    <row r="56" customFormat="false" ht="15" hidden="false" customHeight="false" outlineLevel="0" collapsed="false">
      <c r="A56" s="31" t="s">
        <v>342</v>
      </c>
      <c r="B56" s="32" t="n">
        <v>45930</v>
      </c>
      <c r="C56" s="31" t="s">
        <v>132</v>
      </c>
      <c r="D56" s="31" t="n">
        <v>2</v>
      </c>
      <c r="E56" s="31" t="s">
        <v>287</v>
      </c>
      <c r="F56" s="31" t="s">
        <v>293</v>
      </c>
      <c r="G56" s="31" t="n">
        <v>10</v>
      </c>
      <c r="H56" s="31" t="n">
        <v>177</v>
      </c>
      <c r="I56" s="33" t="n">
        <v>510500</v>
      </c>
      <c r="J56" s="34" t="n">
        <f aca="false">IF(H56&gt;0,I56/H56,0)</f>
        <v>2884.18079096045</v>
      </c>
      <c r="K56" s="35" t="n">
        <f aca="false">(Benchmarks!$C$6-B56)/30.44</f>
        <v>11.957950065703</v>
      </c>
      <c r="L56" s="36" t="n">
        <f aca="false">IF(AND(E56="Retail",D56&lt;=Benchmarks!$C$9,K56&lt;=Benchmarks!$C$7),1,0)</f>
        <v>1</v>
      </c>
      <c r="M56" s="34" t="n">
        <f aca="false">IF(L56=1,J56,"")</f>
        <v>2884.18079096045</v>
      </c>
    </row>
    <row r="57" customFormat="false" ht="15" hidden="false" customHeight="false" outlineLevel="0" collapsed="false">
      <c r="A57" s="31" t="s">
        <v>343</v>
      </c>
      <c r="B57" s="32" t="n">
        <v>45929</v>
      </c>
      <c r="C57" s="31" t="s">
        <v>120</v>
      </c>
      <c r="D57" s="31" t="n">
        <v>3</v>
      </c>
      <c r="E57" s="31" t="s">
        <v>287</v>
      </c>
      <c r="F57" s="31" t="s">
        <v>293</v>
      </c>
      <c r="G57" s="31" t="n">
        <v>10</v>
      </c>
      <c r="H57" s="31" t="n">
        <v>260</v>
      </c>
      <c r="I57" s="33" t="n">
        <v>731700</v>
      </c>
      <c r="J57" s="34" t="n">
        <f aca="false">IF(H57&gt;0,I57/H57,0)</f>
        <v>2814.23076923077</v>
      </c>
      <c r="K57" s="35" t="n">
        <f aca="false">(Benchmarks!$C$6-B57)/30.44</f>
        <v>11.9908015768725</v>
      </c>
      <c r="L57" s="36" t="n">
        <f aca="false">IF(AND(E57="Retail",D57&lt;=Benchmarks!$C$9,K57&lt;=Benchmarks!$C$7),1,0)</f>
        <v>0</v>
      </c>
      <c r="M57" s="34" t="str">
        <f aca="false">IF(L57=1,J57,"")</f>
        <v/>
      </c>
    </row>
    <row r="58" customFormat="false" ht="15" hidden="false" customHeight="false" outlineLevel="0" collapsed="false">
      <c r="A58" s="31" t="s">
        <v>344</v>
      </c>
      <c r="B58" s="32" t="n">
        <v>45926</v>
      </c>
      <c r="C58" s="31" t="s">
        <v>113</v>
      </c>
      <c r="D58" s="31" t="n">
        <v>2</v>
      </c>
      <c r="E58" s="31" t="s">
        <v>287</v>
      </c>
      <c r="F58" s="31" t="s">
        <v>288</v>
      </c>
      <c r="G58" s="31" t="n">
        <v>3</v>
      </c>
      <c r="H58" s="31" t="n">
        <v>157</v>
      </c>
      <c r="I58" s="33" t="n">
        <v>313600</v>
      </c>
      <c r="J58" s="34" t="n">
        <f aca="false">IF(H58&gt;0,I58/H58,0)</f>
        <v>1997.45222929936</v>
      </c>
      <c r="K58" s="35" t="n">
        <f aca="false">(Benchmarks!$C$6-B58)/30.44</f>
        <v>12.0893561103811</v>
      </c>
      <c r="L58" s="36" t="n">
        <f aca="false">IF(AND(E58="Retail",D58&lt;=Benchmarks!$C$9,K58&lt;=Benchmarks!$C$7),1,0)</f>
        <v>0</v>
      </c>
      <c r="M58" s="34" t="str">
        <f aca="false">IF(L58=1,J58,"")</f>
        <v/>
      </c>
    </row>
    <row r="59" customFormat="false" ht="15" hidden="false" customHeight="false" outlineLevel="0" collapsed="false">
      <c r="A59" s="31" t="s">
        <v>345</v>
      </c>
      <c r="B59" s="32" t="n">
        <v>45921</v>
      </c>
      <c r="C59" s="31" t="s">
        <v>122</v>
      </c>
      <c r="D59" s="31" t="n">
        <v>2</v>
      </c>
      <c r="E59" s="31" t="s">
        <v>287</v>
      </c>
      <c r="F59" s="31" t="s">
        <v>293</v>
      </c>
      <c r="G59" s="31" t="n">
        <v>5</v>
      </c>
      <c r="H59" s="31" t="n">
        <v>224</v>
      </c>
      <c r="I59" s="33" t="n">
        <v>597300</v>
      </c>
      <c r="J59" s="34" t="n">
        <f aca="false">IF(H59&gt;0,I59/H59,0)</f>
        <v>2666.51785714286</v>
      </c>
      <c r="K59" s="35" t="n">
        <f aca="false">(Benchmarks!$C$6-B59)/30.44</f>
        <v>12.2536136662286</v>
      </c>
      <c r="L59" s="36" t="n">
        <f aca="false">IF(AND(E59="Retail",D59&lt;=Benchmarks!$C$9,K59&lt;=Benchmarks!$C$7),1,0)</f>
        <v>0</v>
      </c>
      <c r="M59" s="34" t="str">
        <f aca="false">IF(L59=1,J59,"")</f>
        <v/>
      </c>
    </row>
    <row r="60" customFormat="false" ht="15" hidden="false" customHeight="false" outlineLevel="0" collapsed="false">
      <c r="A60" s="31" t="s">
        <v>346</v>
      </c>
      <c r="B60" s="32" t="n">
        <v>45921</v>
      </c>
      <c r="C60" s="31" t="s">
        <v>113</v>
      </c>
      <c r="D60" s="31" t="n">
        <v>2</v>
      </c>
      <c r="E60" s="31" t="s">
        <v>287</v>
      </c>
      <c r="F60" s="31" t="s">
        <v>293</v>
      </c>
      <c r="G60" s="31" t="n">
        <v>3</v>
      </c>
      <c r="H60" s="31" t="n">
        <v>204</v>
      </c>
      <c r="I60" s="33" t="n">
        <v>358300</v>
      </c>
      <c r="J60" s="34" t="n">
        <f aca="false">IF(H60&gt;0,I60/H60,0)</f>
        <v>1756.37254901961</v>
      </c>
      <c r="K60" s="35" t="n">
        <f aca="false">(Benchmarks!$C$6-B60)/30.44</f>
        <v>12.2536136662286</v>
      </c>
      <c r="L60" s="36" t="n">
        <f aca="false">IF(AND(E60="Retail",D60&lt;=Benchmarks!$C$9,K60&lt;=Benchmarks!$C$7),1,0)</f>
        <v>0</v>
      </c>
      <c r="M60" s="34" t="str">
        <f aca="false">IF(L60=1,J60,"")</f>
        <v/>
      </c>
    </row>
    <row r="61" customFormat="false" ht="15" hidden="false" customHeight="false" outlineLevel="0" collapsed="false">
      <c r="A61" s="31" t="s">
        <v>347</v>
      </c>
      <c r="B61" s="32" t="n">
        <v>45916</v>
      </c>
      <c r="C61" s="31" t="s">
        <v>122</v>
      </c>
      <c r="D61" s="31" t="n">
        <v>2</v>
      </c>
      <c r="E61" s="31" t="s">
        <v>287</v>
      </c>
      <c r="F61" s="31" t="s">
        <v>293</v>
      </c>
      <c r="G61" s="31" t="n">
        <v>5</v>
      </c>
      <c r="H61" s="31" t="n">
        <v>291</v>
      </c>
      <c r="I61" s="33" t="n">
        <v>602900</v>
      </c>
      <c r="J61" s="34" t="n">
        <f aca="false">IF(H61&gt;0,I61/H61,0)</f>
        <v>2071.82130584192</v>
      </c>
      <c r="K61" s="35" t="n">
        <f aca="false">(Benchmarks!$C$6-B61)/30.44</f>
        <v>12.4178712220762</v>
      </c>
      <c r="L61" s="36" t="n">
        <f aca="false">IF(AND(E61="Retail",D61&lt;=Benchmarks!$C$9,K61&lt;=Benchmarks!$C$7),1,0)</f>
        <v>0</v>
      </c>
      <c r="M61" s="34" t="str">
        <f aca="false">IF(L61=1,J61,"")</f>
        <v/>
      </c>
    </row>
    <row r="62" customFormat="false" ht="15" hidden="false" customHeight="false" outlineLevel="0" collapsed="false">
      <c r="A62" s="31" t="s">
        <v>348</v>
      </c>
      <c r="B62" s="32" t="n">
        <v>45908</v>
      </c>
      <c r="C62" s="31" t="s">
        <v>120</v>
      </c>
      <c r="D62" s="31" t="n">
        <v>3</v>
      </c>
      <c r="E62" s="31" t="s">
        <v>287</v>
      </c>
      <c r="F62" s="31" t="s">
        <v>293</v>
      </c>
      <c r="G62" s="31" t="n">
        <v>3</v>
      </c>
      <c r="H62" s="31" t="n">
        <v>107</v>
      </c>
      <c r="I62" s="33" t="n">
        <v>287600</v>
      </c>
      <c r="J62" s="34" t="n">
        <f aca="false">IF(H62&gt;0,I62/H62,0)</f>
        <v>2687.85046728972</v>
      </c>
      <c r="K62" s="35" t="n">
        <f aca="false">(Benchmarks!$C$6-B62)/30.44</f>
        <v>12.6806833114323</v>
      </c>
      <c r="L62" s="36" t="n">
        <f aca="false">IF(AND(E62="Retail",D62&lt;=Benchmarks!$C$9,K62&lt;=Benchmarks!$C$7),1,0)</f>
        <v>0</v>
      </c>
      <c r="M62" s="34" t="str">
        <f aca="false">IF(L62=1,J62,"")</f>
        <v/>
      </c>
    </row>
    <row r="63" customFormat="false" ht="15" hidden="false" customHeight="false" outlineLevel="0" collapsed="false">
      <c r="A63" s="31" t="s">
        <v>349</v>
      </c>
      <c r="B63" s="32" t="n">
        <v>45907</v>
      </c>
      <c r="C63" s="31" t="s">
        <v>113</v>
      </c>
      <c r="D63" s="31" t="n">
        <v>2</v>
      </c>
      <c r="E63" s="31" t="s">
        <v>287</v>
      </c>
      <c r="F63" s="31" t="s">
        <v>293</v>
      </c>
      <c r="G63" s="31" t="n">
        <v>3</v>
      </c>
      <c r="H63" s="31" t="n">
        <v>209</v>
      </c>
      <c r="I63" s="33" t="n">
        <v>433900</v>
      </c>
      <c r="J63" s="34" t="n">
        <f aca="false">IF(H63&gt;0,I63/H63,0)</f>
        <v>2076.07655502392</v>
      </c>
      <c r="K63" s="35" t="n">
        <f aca="false">(Benchmarks!$C$6-B63)/30.44</f>
        <v>12.7135348226018</v>
      </c>
      <c r="L63" s="36" t="n">
        <f aca="false">IF(AND(E63="Retail",D63&lt;=Benchmarks!$C$9,K63&lt;=Benchmarks!$C$7),1,0)</f>
        <v>0</v>
      </c>
      <c r="M63" s="34" t="str">
        <f aca="false">IF(L63=1,J63,"")</f>
        <v/>
      </c>
    </row>
    <row r="64" customFormat="false" ht="15" hidden="false" customHeight="false" outlineLevel="0" collapsed="false">
      <c r="A64" s="31" t="s">
        <v>350</v>
      </c>
      <c r="B64" s="32" t="n">
        <v>45884</v>
      </c>
      <c r="C64" s="31" t="s">
        <v>122</v>
      </c>
      <c r="D64" s="31" t="n">
        <v>2</v>
      </c>
      <c r="E64" s="31" t="s">
        <v>287</v>
      </c>
      <c r="F64" s="31" t="s">
        <v>293</v>
      </c>
      <c r="G64" s="31" t="n">
        <v>5</v>
      </c>
      <c r="H64" s="31" t="n">
        <v>300</v>
      </c>
      <c r="I64" s="33" t="n">
        <v>713200</v>
      </c>
      <c r="J64" s="34" t="n">
        <f aca="false">IF(H64&gt;0,I64/H64,0)</f>
        <v>2377.33333333333</v>
      </c>
      <c r="K64" s="35" t="n">
        <f aca="false">(Benchmarks!$C$6-B64)/30.44</f>
        <v>13.4691195795007</v>
      </c>
      <c r="L64" s="36" t="n">
        <f aca="false">IF(AND(E64="Retail",D64&lt;=Benchmarks!$C$9,K64&lt;=Benchmarks!$C$7),1,0)</f>
        <v>0</v>
      </c>
      <c r="M64" s="34" t="str">
        <f aca="false">IF(L64=1,J64,"")</f>
        <v/>
      </c>
    </row>
    <row r="65" customFormat="false" ht="15" hidden="false" customHeight="false" outlineLevel="0" collapsed="false">
      <c r="A65" s="31" t="s">
        <v>351</v>
      </c>
      <c r="B65" s="32" t="n">
        <v>45882</v>
      </c>
      <c r="C65" s="31" t="s">
        <v>113</v>
      </c>
      <c r="D65" s="31" t="n">
        <v>2</v>
      </c>
      <c r="E65" s="31" t="s">
        <v>287</v>
      </c>
      <c r="F65" s="31" t="s">
        <v>288</v>
      </c>
      <c r="G65" s="31" t="n">
        <v>1</v>
      </c>
      <c r="H65" s="31" t="n">
        <v>199</v>
      </c>
      <c r="I65" s="33" t="n">
        <v>348200</v>
      </c>
      <c r="J65" s="34" t="n">
        <f aca="false">IF(H65&gt;0,I65/H65,0)</f>
        <v>1749.74874371859</v>
      </c>
      <c r="K65" s="35" t="n">
        <f aca="false">(Benchmarks!$C$6-B65)/30.44</f>
        <v>13.5348226018397</v>
      </c>
      <c r="L65" s="36" t="n">
        <f aca="false">IF(AND(E65="Retail",D65&lt;=Benchmarks!$C$9,K65&lt;=Benchmarks!$C$7),1,0)</f>
        <v>0</v>
      </c>
      <c r="M65" s="34" t="str">
        <f aca="false">IF(L65=1,J65,"")</f>
        <v/>
      </c>
    </row>
    <row r="66" customFormat="false" ht="15" hidden="false" customHeight="false" outlineLevel="0" collapsed="false">
      <c r="A66" s="31" t="s">
        <v>352</v>
      </c>
      <c r="B66" s="32" t="n">
        <v>45881</v>
      </c>
      <c r="C66" s="31" t="s">
        <v>120</v>
      </c>
      <c r="D66" s="31" t="n">
        <v>3</v>
      </c>
      <c r="E66" s="31" t="s">
        <v>287</v>
      </c>
      <c r="F66" s="31" t="s">
        <v>293</v>
      </c>
      <c r="G66" s="31" t="n">
        <v>1</v>
      </c>
      <c r="H66" s="31" t="n">
        <v>229</v>
      </c>
      <c r="I66" s="33" t="n">
        <v>624500</v>
      </c>
      <c r="J66" s="34" t="n">
        <f aca="false">IF(H66&gt;0,I66/H66,0)</f>
        <v>2727.07423580786</v>
      </c>
      <c r="K66" s="35" t="n">
        <f aca="false">(Benchmarks!$C$6-B66)/30.44</f>
        <v>13.5676741130092</v>
      </c>
      <c r="L66" s="36" t="n">
        <f aca="false">IF(AND(E66="Retail",D66&lt;=Benchmarks!$C$9,K66&lt;=Benchmarks!$C$7),1,0)</f>
        <v>0</v>
      </c>
      <c r="M66" s="34" t="str">
        <f aca="false">IF(L66=1,J66,"")</f>
        <v/>
      </c>
    </row>
    <row r="67" customFormat="false" ht="15" hidden="false" customHeight="false" outlineLevel="0" collapsed="false">
      <c r="A67" s="31" t="s">
        <v>353</v>
      </c>
      <c r="B67" s="32" t="n">
        <v>45873</v>
      </c>
      <c r="C67" s="31" t="s">
        <v>107</v>
      </c>
      <c r="D67" s="31" t="n">
        <v>1</v>
      </c>
      <c r="E67" s="31" t="s">
        <v>287</v>
      </c>
      <c r="F67" s="31" t="s">
        <v>293</v>
      </c>
      <c r="G67" s="31" t="n">
        <v>5</v>
      </c>
      <c r="H67" s="31" t="n">
        <v>290</v>
      </c>
      <c r="I67" s="33" t="n">
        <v>694300</v>
      </c>
      <c r="J67" s="34" t="n">
        <f aca="false">IF(H67&gt;0,I67/H67,0)</f>
        <v>2394.13793103448</v>
      </c>
      <c r="K67" s="35" t="n">
        <f aca="false">(Benchmarks!$C$6-B67)/30.44</f>
        <v>13.8304862023653</v>
      </c>
      <c r="L67" s="36" t="n">
        <f aca="false">IF(AND(E67="Retail",D67&lt;=Benchmarks!$C$9,K67&lt;=Benchmarks!$C$7),1,0)</f>
        <v>0</v>
      </c>
      <c r="M67" s="34" t="str">
        <f aca="false">IF(L67=1,J67,"")</f>
        <v/>
      </c>
    </row>
    <row r="68" customFormat="false" ht="15" hidden="false" customHeight="false" outlineLevel="0" collapsed="false">
      <c r="A68" s="31" t="s">
        <v>354</v>
      </c>
      <c r="B68" s="32" t="n">
        <v>45872</v>
      </c>
      <c r="C68" s="31" t="s">
        <v>107</v>
      </c>
      <c r="D68" s="31" t="n">
        <v>1</v>
      </c>
      <c r="E68" s="31" t="s">
        <v>290</v>
      </c>
      <c r="F68" s="31" t="s">
        <v>291</v>
      </c>
      <c r="G68" s="31" t="n">
        <v>1</v>
      </c>
      <c r="H68" s="31" t="n">
        <v>101</v>
      </c>
      <c r="I68" s="33" t="n">
        <v>59800</v>
      </c>
      <c r="J68" s="34" t="n">
        <f aca="false">IF(H68&gt;0,I68/H68,0)</f>
        <v>592.079207920792</v>
      </c>
      <c r="K68" s="35" t="n">
        <f aca="false">(Benchmarks!$C$6-B68)/30.44</f>
        <v>13.8633377135348</v>
      </c>
      <c r="L68" s="36" t="n">
        <f aca="false">IF(AND(E68="Retail",D68&lt;=Benchmarks!$C$9,K68&lt;=Benchmarks!$C$7),1,0)</f>
        <v>0</v>
      </c>
      <c r="M68" s="34" t="str">
        <f aca="false">IF(L68=1,J68,"")</f>
        <v/>
      </c>
    </row>
    <row r="69" customFormat="false" ht="15" hidden="false" customHeight="false" outlineLevel="0" collapsed="false">
      <c r="A69" s="31" t="s">
        <v>355</v>
      </c>
      <c r="B69" s="32" t="n">
        <v>45868</v>
      </c>
      <c r="C69" s="31" t="s">
        <v>132</v>
      </c>
      <c r="D69" s="31" t="n">
        <v>2</v>
      </c>
      <c r="E69" s="31" t="s">
        <v>290</v>
      </c>
      <c r="F69" s="31" t="s">
        <v>291</v>
      </c>
      <c r="G69" s="31" t="n">
        <v>1</v>
      </c>
      <c r="H69" s="31" t="n">
        <v>117</v>
      </c>
      <c r="I69" s="33" t="n">
        <v>68300</v>
      </c>
      <c r="J69" s="34" t="n">
        <f aca="false">IF(H69&gt;0,I69/H69,0)</f>
        <v>583.760683760684</v>
      </c>
      <c r="K69" s="35" t="n">
        <f aca="false">(Benchmarks!$C$6-B69)/30.44</f>
        <v>13.9947437582129</v>
      </c>
      <c r="L69" s="36" t="n">
        <f aca="false">IF(AND(E69="Retail",D69&lt;=Benchmarks!$C$9,K69&lt;=Benchmarks!$C$7),1,0)</f>
        <v>0</v>
      </c>
      <c r="M69" s="34" t="str">
        <f aca="false">IF(L69=1,J69,"")</f>
        <v/>
      </c>
    </row>
    <row r="70" customFormat="false" ht="15" hidden="false" customHeight="false" outlineLevel="0" collapsed="false">
      <c r="A70" s="31" t="s">
        <v>356</v>
      </c>
      <c r="B70" s="32" t="n">
        <v>45860</v>
      </c>
      <c r="C70" s="31" t="s">
        <v>107</v>
      </c>
      <c r="D70" s="31" t="n">
        <v>1</v>
      </c>
      <c r="E70" s="31" t="s">
        <v>287</v>
      </c>
      <c r="F70" s="31" t="s">
        <v>293</v>
      </c>
      <c r="G70" s="31" t="n">
        <v>3</v>
      </c>
      <c r="H70" s="31" t="n">
        <v>131</v>
      </c>
      <c r="I70" s="33" t="n">
        <v>301900</v>
      </c>
      <c r="J70" s="34" t="n">
        <f aca="false">IF(H70&gt;0,I70/H70,0)</f>
        <v>2304.58015267176</v>
      </c>
      <c r="K70" s="35" t="n">
        <f aca="false">(Benchmarks!$C$6-B70)/30.44</f>
        <v>14.257555847569</v>
      </c>
      <c r="L70" s="36" t="n">
        <f aca="false">IF(AND(E70="Retail",D70&lt;=Benchmarks!$C$9,K70&lt;=Benchmarks!$C$7),1,0)</f>
        <v>0</v>
      </c>
      <c r="M70" s="34" t="str">
        <f aca="false">IF(L70=1,J70,"")</f>
        <v/>
      </c>
    </row>
    <row r="71" customFormat="false" ht="15" hidden="false" customHeight="false" outlineLevel="0" collapsed="false">
      <c r="A71" s="31" t="s">
        <v>357</v>
      </c>
      <c r="B71" s="32" t="n">
        <v>45859</v>
      </c>
      <c r="C71" s="31" t="s">
        <v>107</v>
      </c>
      <c r="D71" s="31" t="n">
        <v>1</v>
      </c>
      <c r="E71" s="31" t="s">
        <v>290</v>
      </c>
      <c r="F71" s="31" t="s">
        <v>291</v>
      </c>
      <c r="G71" s="31" t="n">
        <v>1</v>
      </c>
      <c r="H71" s="31" t="n">
        <v>136</v>
      </c>
      <c r="I71" s="33" t="n">
        <v>79200</v>
      </c>
      <c r="J71" s="34" t="n">
        <f aca="false">IF(H71&gt;0,I71/H71,0)</f>
        <v>582.352941176471</v>
      </c>
      <c r="K71" s="35" t="n">
        <f aca="false">(Benchmarks!$C$6-B71)/30.44</f>
        <v>14.2904073587385</v>
      </c>
      <c r="L71" s="36" t="n">
        <f aca="false">IF(AND(E71="Retail",D71&lt;=Benchmarks!$C$9,K71&lt;=Benchmarks!$C$7),1,0)</f>
        <v>0</v>
      </c>
      <c r="M71" s="34" t="str">
        <f aca="false">IF(L71=1,J71,"")</f>
        <v/>
      </c>
    </row>
    <row r="72" customFormat="false" ht="15" hidden="false" customHeight="false" outlineLevel="0" collapsed="false">
      <c r="A72" s="31" t="s">
        <v>358</v>
      </c>
      <c r="B72" s="32" t="n">
        <v>45859</v>
      </c>
      <c r="C72" s="31" t="s">
        <v>107</v>
      </c>
      <c r="D72" s="31" t="n">
        <v>1</v>
      </c>
      <c r="E72" s="31" t="s">
        <v>287</v>
      </c>
      <c r="F72" s="31" t="s">
        <v>293</v>
      </c>
      <c r="G72" s="31" t="n">
        <v>3</v>
      </c>
      <c r="H72" s="31" t="n">
        <v>313</v>
      </c>
      <c r="I72" s="33" t="n">
        <v>677000</v>
      </c>
      <c r="J72" s="34" t="n">
        <f aca="false">IF(H72&gt;0,I72/H72,0)</f>
        <v>2162.9392971246</v>
      </c>
      <c r="K72" s="35" t="n">
        <f aca="false">(Benchmarks!$C$6-B72)/30.44</f>
        <v>14.2904073587385</v>
      </c>
      <c r="L72" s="36" t="n">
        <f aca="false">IF(AND(E72="Retail",D72&lt;=Benchmarks!$C$9,K72&lt;=Benchmarks!$C$7),1,0)</f>
        <v>0</v>
      </c>
      <c r="M72" s="34" t="str">
        <f aca="false">IF(L72=1,J72,"")</f>
        <v/>
      </c>
    </row>
    <row r="73" customFormat="false" ht="15" hidden="false" customHeight="false" outlineLevel="0" collapsed="false">
      <c r="A73" s="31" t="s">
        <v>359</v>
      </c>
      <c r="B73" s="32" t="n">
        <v>45853</v>
      </c>
      <c r="C73" s="31" t="s">
        <v>122</v>
      </c>
      <c r="D73" s="31" t="n">
        <v>2</v>
      </c>
      <c r="E73" s="31" t="s">
        <v>287</v>
      </c>
      <c r="F73" s="31" t="s">
        <v>293</v>
      </c>
      <c r="G73" s="31" t="n">
        <v>1</v>
      </c>
      <c r="H73" s="31" t="n">
        <v>162</v>
      </c>
      <c r="I73" s="33" t="n">
        <v>376300</v>
      </c>
      <c r="J73" s="34" t="n">
        <f aca="false">IF(H73&gt;0,I73/H73,0)</f>
        <v>2322.83950617284</v>
      </c>
      <c r="K73" s="35" t="n">
        <f aca="false">(Benchmarks!$C$6-B73)/30.44</f>
        <v>14.4875164257556</v>
      </c>
      <c r="L73" s="36" t="n">
        <f aca="false">IF(AND(E73="Retail",D73&lt;=Benchmarks!$C$9,K73&lt;=Benchmarks!$C$7),1,0)</f>
        <v>0</v>
      </c>
      <c r="M73" s="34" t="str">
        <f aca="false">IF(L73=1,J73,"")</f>
        <v/>
      </c>
    </row>
    <row r="74" customFormat="false" ht="15" hidden="false" customHeight="false" outlineLevel="0" collapsed="false">
      <c r="A74" s="31" t="s">
        <v>360</v>
      </c>
      <c r="B74" s="32" t="n">
        <v>45852</v>
      </c>
      <c r="C74" s="31" t="s">
        <v>122</v>
      </c>
      <c r="D74" s="31" t="n">
        <v>2</v>
      </c>
      <c r="E74" s="31" t="s">
        <v>290</v>
      </c>
      <c r="F74" s="31" t="s">
        <v>291</v>
      </c>
      <c r="G74" s="31" t="n">
        <v>1</v>
      </c>
      <c r="H74" s="31" t="n">
        <v>188</v>
      </c>
      <c r="I74" s="33" t="n">
        <v>111400</v>
      </c>
      <c r="J74" s="34" t="n">
        <f aca="false">IF(H74&gt;0,I74/H74,0)</f>
        <v>592.553191489362</v>
      </c>
      <c r="K74" s="35" t="n">
        <f aca="false">(Benchmarks!$C$6-B74)/30.44</f>
        <v>14.5203679369251</v>
      </c>
      <c r="L74" s="36" t="n">
        <f aca="false">IF(AND(E74="Retail",D74&lt;=Benchmarks!$C$9,K74&lt;=Benchmarks!$C$7),1,0)</f>
        <v>0</v>
      </c>
      <c r="M74" s="34" t="str">
        <f aca="false">IF(L74=1,J74,"")</f>
        <v/>
      </c>
    </row>
    <row r="75" customFormat="false" ht="15" hidden="false" customHeight="false" outlineLevel="0" collapsed="false">
      <c r="A75" s="31" t="s">
        <v>361</v>
      </c>
      <c r="B75" s="32" t="n">
        <v>45830</v>
      </c>
      <c r="C75" s="31" t="s">
        <v>120</v>
      </c>
      <c r="D75" s="31" t="n">
        <v>3</v>
      </c>
      <c r="E75" s="31" t="s">
        <v>287</v>
      </c>
      <c r="F75" s="31" t="s">
        <v>293</v>
      </c>
      <c r="G75" s="31" t="n">
        <v>5</v>
      </c>
      <c r="H75" s="31" t="n">
        <v>88</v>
      </c>
      <c r="I75" s="33" t="n">
        <v>260200</v>
      </c>
      <c r="J75" s="34" t="n">
        <f aca="false">IF(H75&gt;0,I75/H75,0)</f>
        <v>2956.81818181818</v>
      </c>
      <c r="K75" s="35" t="n">
        <f aca="false">(Benchmarks!$C$6-B75)/30.44</f>
        <v>15.2431011826544</v>
      </c>
      <c r="L75" s="36" t="n">
        <f aca="false">IF(AND(E75="Retail",D75&lt;=Benchmarks!$C$9,K75&lt;=Benchmarks!$C$7),1,0)</f>
        <v>0</v>
      </c>
      <c r="M75" s="34" t="str">
        <f aca="false">IF(L75=1,J75,"")</f>
        <v/>
      </c>
    </row>
    <row r="76" customFormat="false" ht="15" hidden="false" customHeight="false" outlineLevel="0" collapsed="false">
      <c r="A76" s="31" t="s">
        <v>362</v>
      </c>
      <c r="B76" s="32" t="n">
        <v>45830</v>
      </c>
      <c r="C76" s="31" t="s">
        <v>120</v>
      </c>
      <c r="D76" s="31" t="n">
        <v>3</v>
      </c>
      <c r="E76" s="31" t="s">
        <v>290</v>
      </c>
      <c r="F76" s="31" t="s">
        <v>291</v>
      </c>
      <c r="G76" s="31" t="n">
        <v>1</v>
      </c>
      <c r="H76" s="31" t="n">
        <v>172</v>
      </c>
      <c r="I76" s="33" t="n">
        <v>125500</v>
      </c>
      <c r="J76" s="34" t="n">
        <f aca="false">IF(H76&gt;0,I76/H76,0)</f>
        <v>729.651162790698</v>
      </c>
      <c r="K76" s="35" t="n">
        <f aca="false">(Benchmarks!$C$6-B76)/30.44</f>
        <v>15.2431011826544</v>
      </c>
      <c r="L76" s="36" t="n">
        <f aca="false">IF(AND(E76="Retail",D76&lt;=Benchmarks!$C$9,K76&lt;=Benchmarks!$C$7),1,0)</f>
        <v>0</v>
      </c>
      <c r="M76" s="34" t="str">
        <f aca="false">IF(L76=1,J76,"")</f>
        <v/>
      </c>
    </row>
    <row r="77" customFormat="false" ht="15" hidden="false" customHeight="false" outlineLevel="0" collapsed="false">
      <c r="A77" s="31" t="s">
        <v>363</v>
      </c>
      <c r="B77" s="32" t="n">
        <v>45828</v>
      </c>
      <c r="C77" s="31" t="s">
        <v>111</v>
      </c>
      <c r="D77" s="31" t="n">
        <v>3</v>
      </c>
      <c r="E77" s="31" t="s">
        <v>287</v>
      </c>
      <c r="F77" s="31" t="s">
        <v>293</v>
      </c>
      <c r="G77" s="31" t="n">
        <v>3</v>
      </c>
      <c r="H77" s="31" t="n">
        <v>274</v>
      </c>
      <c r="I77" s="33" t="n">
        <v>551100</v>
      </c>
      <c r="J77" s="34" t="n">
        <f aca="false">IF(H77&gt;0,I77/H77,0)</f>
        <v>2011.31386861314</v>
      </c>
      <c r="K77" s="35" t="n">
        <f aca="false">(Benchmarks!$C$6-B77)/30.44</f>
        <v>15.3088042049934</v>
      </c>
      <c r="L77" s="36" t="n">
        <f aca="false">IF(AND(E77="Retail",D77&lt;=Benchmarks!$C$9,K77&lt;=Benchmarks!$C$7),1,0)</f>
        <v>0</v>
      </c>
      <c r="M77" s="34" t="str">
        <f aca="false">IF(L77=1,J77,"")</f>
        <v/>
      </c>
    </row>
    <row r="78" customFormat="false" ht="15" hidden="false" customHeight="false" outlineLevel="0" collapsed="false">
      <c r="A78" s="31" t="s">
        <v>364</v>
      </c>
      <c r="B78" s="32" t="n">
        <v>45814</v>
      </c>
      <c r="C78" s="31" t="s">
        <v>120</v>
      </c>
      <c r="D78" s="31" t="n">
        <v>3</v>
      </c>
      <c r="E78" s="31" t="s">
        <v>290</v>
      </c>
      <c r="F78" s="31" t="s">
        <v>291</v>
      </c>
      <c r="G78" s="31" t="n">
        <v>1</v>
      </c>
      <c r="H78" s="31" t="n">
        <v>170</v>
      </c>
      <c r="I78" s="33" t="n">
        <v>117400</v>
      </c>
      <c r="J78" s="34" t="n">
        <f aca="false">IF(H78&gt;0,I78/H78,0)</f>
        <v>690.588235294118</v>
      </c>
      <c r="K78" s="35" t="n">
        <f aca="false">(Benchmarks!$C$6-B78)/30.44</f>
        <v>15.7687253613666</v>
      </c>
      <c r="L78" s="36" t="n">
        <f aca="false">IF(AND(E78="Retail",D78&lt;=Benchmarks!$C$9,K78&lt;=Benchmarks!$C$7),1,0)</f>
        <v>0</v>
      </c>
      <c r="M78" s="34" t="str">
        <f aca="false">IF(L78=1,J78,"")</f>
        <v/>
      </c>
    </row>
    <row r="79" customFormat="false" ht="15" hidden="false" customHeight="false" outlineLevel="0" collapsed="false">
      <c r="A79" s="31" t="s">
        <v>365</v>
      </c>
      <c r="B79" s="32" t="n">
        <v>45810</v>
      </c>
      <c r="C79" s="31" t="s">
        <v>111</v>
      </c>
      <c r="D79" s="31" t="n">
        <v>3</v>
      </c>
      <c r="E79" s="31" t="s">
        <v>287</v>
      </c>
      <c r="F79" s="31" t="s">
        <v>293</v>
      </c>
      <c r="G79" s="31" t="n">
        <v>10</v>
      </c>
      <c r="H79" s="31" t="n">
        <v>154</v>
      </c>
      <c r="I79" s="33" t="n">
        <v>313300</v>
      </c>
      <c r="J79" s="34" t="n">
        <f aca="false">IF(H79&gt;0,I79/H79,0)</f>
        <v>2034.41558441558</v>
      </c>
      <c r="K79" s="35" t="n">
        <f aca="false">(Benchmarks!$C$6-B79)/30.44</f>
        <v>15.9001314060447</v>
      </c>
      <c r="L79" s="36" t="n">
        <f aca="false">IF(AND(E79="Retail",D79&lt;=Benchmarks!$C$9,K79&lt;=Benchmarks!$C$7),1,0)</f>
        <v>0</v>
      </c>
      <c r="M79" s="34" t="str">
        <f aca="false">IF(L79=1,J79,"")</f>
        <v/>
      </c>
    </row>
    <row r="80" customFormat="false" ht="15" hidden="false" customHeight="false" outlineLevel="0" collapsed="false">
      <c r="A80" s="31" t="s">
        <v>366</v>
      </c>
      <c r="B80" s="32" t="n">
        <v>45807</v>
      </c>
      <c r="C80" s="31" t="s">
        <v>122</v>
      </c>
      <c r="D80" s="31" t="n">
        <v>2</v>
      </c>
      <c r="E80" s="31" t="s">
        <v>287</v>
      </c>
      <c r="F80" s="31" t="s">
        <v>293</v>
      </c>
      <c r="G80" s="31" t="n">
        <v>3</v>
      </c>
      <c r="H80" s="31" t="n">
        <v>266</v>
      </c>
      <c r="I80" s="33" t="n">
        <v>558700</v>
      </c>
      <c r="J80" s="34" t="n">
        <f aca="false">IF(H80&gt;0,I80/H80,0)</f>
        <v>2100.37593984962</v>
      </c>
      <c r="K80" s="35" t="n">
        <f aca="false">(Benchmarks!$C$6-B80)/30.44</f>
        <v>15.9986859395532</v>
      </c>
      <c r="L80" s="36" t="n">
        <f aca="false">IF(AND(E80="Retail",D80&lt;=Benchmarks!$C$9,K80&lt;=Benchmarks!$C$7),1,0)</f>
        <v>0</v>
      </c>
      <c r="M80" s="34" t="str">
        <f aca="false">IF(L80=1,J80,"")</f>
        <v/>
      </c>
    </row>
    <row r="81" customFormat="false" ht="15" hidden="false" customHeight="false" outlineLevel="0" collapsed="false">
      <c r="A81" s="31" t="s">
        <v>367</v>
      </c>
      <c r="B81" s="32" t="n">
        <v>45805</v>
      </c>
      <c r="C81" s="31" t="s">
        <v>120</v>
      </c>
      <c r="D81" s="31" t="n">
        <v>3</v>
      </c>
      <c r="E81" s="31" t="s">
        <v>287</v>
      </c>
      <c r="F81" s="31" t="s">
        <v>293</v>
      </c>
      <c r="G81" s="31" t="n">
        <v>5</v>
      </c>
      <c r="H81" s="31" t="n">
        <v>80</v>
      </c>
      <c r="I81" s="33" t="n">
        <v>206100</v>
      </c>
      <c r="J81" s="34" t="n">
        <f aca="false">IF(H81&gt;0,I81/H81,0)</f>
        <v>2576.25</v>
      </c>
      <c r="K81" s="35" t="n">
        <f aca="false">(Benchmarks!$C$6-B81)/30.44</f>
        <v>16.0643889618922</v>
      </c>
      <c r="L81" s="36" t="n">
        <f aca="false">IF(AND(E81="Retail",D81&lt;=Benchmarks!$C$9,K81&lt;=Benchmarks!$C$7),1,0)</f>
        <v>0</v>
      </c>
      <c r="M81" s="34" t="str">
        <f aca="false">IF(L81=1,J81,"")</f>
        <v/>
      </c>
    </row>
    <row r="82" customFormat="false" ht="15" hidden="false" customHeight="false" outlineLevel="0" collapsed="false">
      <c r="A82" s="31" t="s">
        <v>368</v>
      </c>
      <c r="B82" s="32" t="n">
        <v>45797</v>
      </c>
      <c r="C82" s="31" t="s">
        <v>120</v>
      </c>
      <c r="D82" s="31" t="n">
        <v>3</v>
      </c>
      <c r="E82" s="31" t="s">
        <v>287</v>
      </c>
      <c r="F82" s="31" t="s">
        <v>288</v>
      </c>
      <c r="G82" s="31" t="n">
        <v>5</v>
      </c>
      <c r="H82" s="31" t="n">
        <v>250</v>
      </c>
      <c r="I82" s="33" t="n">
        <v>666700</v>
      </c>
      <c r="J82" s="34" t="n">
        <f aca="false">IF(H82&gt;0,I82/H82,0)</f>
        <v>2666.8</v>
      </c>
      <c r="K82" s="35" t="n">
        <f aca="false">(Benchmarks!$C$6-B82)/30.44</f>
        <v>16.3272010512484</v>
      </c>
      <c r="L82" s="36" t="n">
        <f aca="false">IF(AND(E82="Retail",D82&lt;=Benchmarks!$C$9,K82&lt;=Benchmarks!$C$7),1,0)</f>
        <v>0</v>
      </c>
      <c r="M82" s="34" t="str">
        <f aca="false">IF(L82=1,J82,"")</f>
        <v/>
      </c>
    </row>
    <row r="83" customFormat="false" ht="15" hidden="false" customHeight="false" outlineLevel="0" collapsed="false">
      <c r="A83" s="31" t="s">
        <v>369</v>
      </c>
      <c r="B83" s="32" t="n">
        <v>45780</v>
      </c>
      <c r="C83" s="31" t="s">
        <v>111</v>
      </c>
      <c r="D83" s="31" t="n">
        <v>3</v>
      </c>
      <c r="E83" s="31" t="s">
        <v>287</v>
      </c>
      <c r="F83" s="31" t="s">
        <v>288</v>
      </c>
      <c r="G83" s="31" t="n">
        <v>3</v>
      </c>
      <c r="H83" s="31" t="n">
        <v>144</v>
      </c>
      <c r="I83" s="33" t="n">
        <v>230100</v>
      </c>
      <c r="J83" s="34" t="n">
        <f aca="false">IF(H83&gt;0,I83/H83,0)</f>
        <v>1597.91666666667</v>
      </c>
      <c r="K83" s="35" t="n">
        <f aca="false">(Benchmarks!$C$6-B83)/30.44</f>
        <v>16.8856767411301</v>
      </c>
      <c r="L83" s="36" t="n">
        <f aca="false">IF(AND(E83="Retail",D83&lt;=Benchmarks!$C$9,K83&lt;=Benchmarks!$C$7),1,0)</f>
        <v>0</v>
      </c>
      <c r="M83" s="34" t="str">
        <f aca="false">IF(L83=1,J83,"")</f>
        <v/>
      </c>
    </row>
    <row r="84" customFormat="false" ht="15" hidden="false" customHeight="false" outlineLevel="0" collapsed="false">
      <c r="A84" s="31" t="s">
        <v>370</v>
      </c>
      <c r="B84" s="32" t="n">
        <v>45772</v>
      </c>
      <c r="C84" s="31" t="s">
        <v>107</v>
      </c>
      <c r="D84" s="31" t="n">
        <v>1</v>
      </c>
      <c r="E84" s="31" t="s">
        <v>287</v>
      </c>
      <c r="F84" s="31" t="s">
        <v>288</v>
      </c>
      <c r="G84" s="31" t="n">
        <v>3</v>
      </c>
      <c r="H84" s="31" t="n">
        <v>126</v>
      </c>
      <c r="I84" s="33" t="n">
        <v>253000</v>
      </c>
      <c r="J84" s="34" t="n">
        <f aca="false">IF(H84&gt;0,I84/H84,0)</f>
        <v>2007.93650793651</v>
      </c>
      <c r="K84" s="35" t="n">
        <f aca="false">(Benchmarks!$C$6-B84)/30.44</f>
        <v>17.1484888304862</v>
      </c>
      <c r="L84" s="36" t="n">
        <f aca="false">IF(AND(E84="Retail",D84&lt;=Benchmarks!$C$9,K84&lt;=Benchmarks!$C$7),1,0)</f>
        <v>0</v>
      </c>
      <c r="M84" s="34" t="str">
        <f aca="false">IF(L84=1,J84,"")</f>
        <v/>
      </c>
    </row>
    <row r="85" customFormat="false" ht="15" hidden="false" customHeight="false" outlineLevel="0" collapsed="false">
      <c r="A85" s="31" t="s">
        <v>371</v>
      </c>
      <c r="B85" s="32" t="n">
        <v>45751</v>
      </c>
      <c r="C85" s="31" t="s">
        <v>132</v>
      </c>
      <c r="D85" s="31" t="n">
        <v>2</v>
      </c>
      <c r="E85" s="31" t="s">
        <v>287</v>
      </c>
      <c r="F85" s="31" t="s">
        <v>293</v>
      </c>
      <c r="G85" s="31" t="n">
        <v>5</v>
      </c>
      <c r="H85" s="31" t="n">
        <v>160</v>
      </c>
      <c r="I85" s="33" t="n">
        <v>411100</v>
      </c>
      <c r="J85" s="34" t="n">
        <f aca="false">IF(H85&gt;0,I85/H85,0)</f>
        <v>2569.375</v>
      </c>
      <c r="K85" s="35" t="n">
        <f aca="false">(Benchmarks!$C$6-B85)/30.44</f>
        <v>17.838370565046</v>
      </c>
      <c r="L85" s="36" t="n">
        <f aca="false">IF(AND(E85="Retail",D85&lt;=Benchmarks!$C$9,K85&lt;=Benchmarks!$C$7),1,0)</f>
        <v>0</v>
      </c>
      <c r="M85" s="34" t="str">
        <f aca="false">IF(L85=1,J85,"")</f>
        <v/>
      </c>
    </row>
    <row r="86" customFormat="false" ht="15" hidden="false" customHeight="false" outlineLevel="0" collapsed="false">
      <c r="A86" s="31" t="s">
        <v>372</v>
      </c>
      <c r="B86" s="32" t="n">
        <v>45750</v>
      </c>
      <c r="C86" s="31" t="s">
        <v>113</v>
      </c>
      <c r="D86" s="31" t="n">
        <v>2</v>
      </c>
      <c r="E86" s="31" t="s">
        <v>287</v>
      </c>
      <c r="F86" s="31" t="s">
        <v>293</v>
      </c>
      <c r="G86" s="31" t="n">
        <v>5</v>
      </c>
      <c r="H86" s="31" t="n">
        <v>124</v>
      </c>
      <c r="I86" s="33" t="n">
        <v>258000</v>
      </c>
      <c r="J86" s="34" t="n">
        <f aca="false">IF(H86&gt;0,I86/H86,0)</f>
        <v>2080.64516129032</v>
      </c>
      <c r="K86" s="35" t="n">
        <f aca="false">(Benchmarks!$C$6-B86)/30.44</f>
        <v>17.8712220762155</v>
      </c>
      <c r="L86" s="36" t="n">
        <f aca="false">IF(AND(E86="Retail",D86&lt;=Benchmarks!$C$9,K86&lt;=Benchmarks!$C$7),1,0)</f>
        <v>0</v>
      </c>
      <c r="M86" s="34" t="str">
        <f aca="false">IF(L86=1,J86,"")</f>
        <v/>
      </c>
    </row>
    <row r="87" customFormat="false" ht="15" hidden="false" customHeight="false" outlineLevel="0" collapsed="false">
      <c r="A87" s="31" t="s">
        <v>373</v>
      </c>
      <c r="B87" s="32" t="n">
        <v>45739</v>
      </c>
      <c r="C87" s="31" t="s">
        <v>107</v>
      </c>
      <c r="D87" s="31" t="n">
        <v>1</v>
      </c>
      <c r="E87" s="31" t="s">
        <v>287</v>
      </c>
      <c r="F87" s="31" t="s">
        <v>293</v>
      </c>
      <c r="G87" s="31" t="n">
        <v>3</v>
      </c>
      <c r="H87" s="31" t="n">
        <v>270</v>
      </c>
      <c r="I87" s="33" t="n">
        <v>533000</v>
      </c>
      <c r="J87" s="34" t="n">
        <f aca="false">IF(H87&gt;0,I87/H87,0)</f>
        <v>1974.07407407407</v>
      </c>
      <c r="K87" s="35" t="n">
        <f aca="false">(Benchmarks!$C$6-B87)/30.44</f>
        <v>18.2325886990802</v>
      </c>
      <c r="L87" s="36" t="n">
        <f aca="false">IF(AND(E87="Retail",D87&lt;=Benchmarks!$C$9,K87&lt;=Benchmarks!$C$7),1,0)</f>
        <v>0</v>
      </c>
      <c r="M87" s="34" t="str">
        <f aca="false">IF(L87=1,J87,"")</f>
        <v/>
      </c>
    </row>
    <row r="88" customFormat="false" ht="15" hidden="false" customHeight="false" outlineLevel="0" collapsed="false">
      <c r="A88" s="31" t="s">
        <v>374</v>
      </c>
      <c r="B88" s="32" t="n">
        <v>45730</v>
      </c>
      <c r="C88" s="31" t="s">
        <v>132</v>
      </c>
      <c r="D88" s="31" t="n">
        <v>2</v>
      </c>
      <c r="E88" s="31" t="s">
        <v>290</v>
      </c>
      <c r="F88" s="31" t="s">
        <v>291</v>
      </c>
      <c r="G88" s="31" t="n">
        <v>1</v>
      </c>
      <c r="H88" s="31" t="n">
        <v>115</v>
      </c>
      <c r="I88" s="33" t="n">
        <v>72500</v>
      </c>
      <c r="J88" s="34" t="n">
        <f aca="false">IF(H88&gt;0,I88/H88,0)</f>
        <v>630.434782608696</v>
      </c>
      <c r="K88" s="35" t="n">
        <f aca="false">(Benchmarks!$C$6-B88)/30.44</f>
        <v>18.5282522996058</v>
      </c>
      <c r="L88" s="36" t="n">
        <f aca="false">IF(AND(E88="Retail",D88&lt;=Benchmarks!$C$9,K88&lt;=Benchmarks!$C$7),1,0)</f>
        <v>0</v>
      </c>
      <c r="M88" s="34" t="str">
        <f aca="false">IF(L88=1,J88,"")</f>
        <v/>
      </c>
    </row>
    <row r="89" customFormat="false" ht="15" hidden="false" customHeight="false" outlineLevel="0" collapsed="false">
      <c r="A89" s="31" t="s">
        <v>375</v>
      </c>
      <c r="B89" s="32" t="n">
        <v>45729</v>
      </c>
      <c r="C89" s="31" t="s">
        <v>122</v>
      </c>
      <c r="D89" s="31" t="n">
        <v>2</v>
      </c>
      <c r="E89" s="31" t="s">
        <v>287</v>
      </c>
      <c r="F89" s="31" t="s">
        <v>293</v>
      </c>
      <c r="G89" s="31" t="n">
        <v>1</v>
      </c>
      <c r="H89" s="31" t="n">
        <v>264</v>
      </c>
      <c r="I89" s="33" t="n">
        <v>612700</v>
      </c>
      <c r="J89" s="34" t="n">
        <f aca="false">IF(H89&gt;0,I89/H89,0)</f>
        <v>2320.83333333333</v>
      </c>
      <c r="K89" s="35" t="n">
        <f aca="false">(Benchmarks!$C$6-B89)/30.44</f>
        <v>18.5611038107753</v>
      </c>
      <c r="L89" s="36" t="n">
        <f aca="false">IF(AND(E89="Retail",D89&lt;=Benchmarks!$C$9,K89&lt;=Benchmarks!$C$7),1,0)</f>
        <v>0</v>
      </c>
      <c r="M89" s="34" t="str">
        <f aca="false">IF(L89=1,J89,"")</f>
        <v/>
      </c>
    </row>
    <row r="90" customFormat="false" ht="15" hidden="false" customHeight="false" outlineLevel="0" collapsed="false">
      <c r="A90" s="31" t="s">
        <v>376</v>
      </c>
      <c r="B90" s="32" t="n">
        <v>45726</v>
      </c>
      <c r="C90" s="31" t="s">
        <v>111</v>
      </c>
      <c r="D90" s="31" t="n">
        <v>3</v>
      </c>
      <c r="E90" s="31" t="s">
        <v>287</v>
      </c>
      <c r="F90" s="31" t="s">
        <v>288</v>
      </c>
      <c r="G90" s="31" t="n">
        <v>1</v>
      </c>
      <c r="H90" s="31" t="n">
        <v>319</v>
      </c>
      <c r="I90" s="33" t="n">
        <v>536400</v>
      </c>
      <c r="J90" s="34" t="n">
        <f aca="false">IF(H90&gt;0,I90/H90,0)</f>
        <v>1681.50470219436</v>
      </c>
      <c r="K90" s="35" t="n">
        <f aca="false">(Benchmarks!$C$6-B90)/30.44</f>
        <v>18.6596583442838</v>
      </c>
      <c r="L90" s="36" t="n">
        <f aca="false">IF(AND(E90="Retail",D90&lt;=Benchmarks!$C$9,K90&lt;=Benchmarks!$C$7),1,0)</f>
        <v>0</v>
      </c>
      <c r="M90" s="34" t="str">
        <f aca="false">IF(L90=1,J90,"")</f>
        <v/>
      </c>
    </row>
    <row r="91" customFormat="false" ht="15" hidden="false" customHeight="false" outlineLevel="0" collapsed="false">
      <c r="A91" s="31" t="s">
        <v>377</v>
      </c>
      <c r="B91" s="32" t="n">
        <v>45722</v>
      </c>
      <c r="C91" s="31" t="s">
        <v>107</v>
      </c>
      <c r="D91" s="31" t="n">
        <v>1</v>
      </c>
      <c r="E91" s="31" t="s">
        <v>287</v>
      </c>
      <c r="F91" s="31" t="s">
        <v>293</v>
      </c>
      <c r="G91" s="31" t="n">
        <v>1</v>
      </c>
      <c r="H91" s="31" t="n">
        <v>216</v>
      </c>
      <c r="I91" s="33" t="n">
        <v>512200</v>
      </c>
      <c r="J91" s="34" t="n">
        <f aca="false">IF(H91&gt;0,I91/H91,0)</f>
        <v>2371.2962962963</v>
      </c>
      <c r="K91" s="35" t="n">
        <f aca="false">(Benchmarks!$C$6-B91)/30.44</f>
        <v>18.7910643889619</v>
      </c>
      <c r="L91" s="36" t="n">
        <f aca="false">IF(AND(E91="Retail",D91&lt;=Benchmarks!$C$9,K91&lt;=Benchmarks!$C$7),1,0)</f>
        <v>0</v>
      </c>
      <c r="M91" s="34" t="str">
        <f aca="false">IF(L91=1,J91,"")</f>
        <v/>
      </c>
    </row>
    <row r="92" customFormat="false" ht="15" hidden="false" customHeight="false" outlineLevel="0" collapsed="false">
      <c r="A92" s="31" t="s">
        <v>378</v>
      </c>
      <c r="B92" s="32" t="n">
        <v>45720</v>
      </c>
      <c r="C92" s="31" t="s">
        <v>113</v>
      </c>
      <c r="D92" s="31" t="n">
        <v>2</v>
      </c>
      <c r="E92" s="31" t="s">
        <v>287</v>
      </c>
      <c r="F92" s="31" t="s">
        <v>293</v>
      </c>
      <c r="G92" s="31" t="n">
        <v>5</v>
      </c>
      <c r="H92" s="31" t="n">
        <v>189</v>
      </c>
      <c r="I92" s="33" t="n">
        <v>354600</v>
      </c>
      <c r="J92" s="34" t="n">
        <f aca="false">IF(H92&gt;0,I92/H92,0)</f>
        <v>1876.19047619048</v>
      </c>
      <c r="K92" s="35" t="n">
        <f aca="false">(Benchmarks!$C$6-B92)/30.44</f>
        <v>18.8567674113009</v>
      </c>
      <c r="L92" s="36" t="n">
        <f aca="false">IF(AND(E92="Retail",D92&lt;=Benchmarks!$C$9,K92&lt;=Benchmarks!$C$7),1,0)</f>
        <v>0</v>
      </c>
      <c r="M92" s="34" t="str">
        <f aca="false">IF(L92=1,J92,"")</f>
        <v/>
      </c>
    </row>
    <row r="93" customFormat="false" ht="15" hidden="false" customHeight="false" outlineLevel="0" collapsed="false">
      <c r="A93" s="31" t="s">
        <v>379</v>
      </c>
      <c r="B93" s="32" t="n">
        <v>45714</v>
      </c>
      <c r="C93" s="31" t="s">
        <v>132</v>
      </c>
      <c r="D93" s="31" t="n">
        <v>2</v>
      </c>
      <c r="E93" s="31" t="s">
        <v>287</v>
      </c>
      <c r="F93" s="31" t="s">
        <v>288</v>
      </c>
      <c r="G93" s="31" t="n">
        <v>3</v>
      </c>
      <c r="H93" s="31" t="n">
        <v>240</v>
      </c>
      <c r="I93" s="33" t="n">
        <v>579900</v>
      </c>
      <c r="J93" s="34" t="n">
        <f aca="false">IF(H93&gt;0,I93/H93,0)</f>
        <v>2416.25</v>
      </c>
      <c r="K93" s="35" t="n">
        <f aca="false">(Benchmarks!$C$6-B93)/30.44</f>
        <v>19.053876478318</v>
      </c>
      <c r="L93" s="36" t="n">
        <f aca="false">IF(AND(E93="Retail",D93&lt;=Benchmarks!$C$9,K93&lt;=Benchmarks!$C$7),1,0)</f>
        <v>0</v>
      </c>
      <c r="M93" s="34" t="str">
        <f aca="false">IF(L93=1,J93,"")</f>
        <v/>
      </c>
    </row>
    <row r="94" customFormat="false" ht="15" hidden="false" customHeight="false" outlineLevel="0" collapsed="false">
      <c r="A94" s="31" t="s">
        <v>380</v>
      </c>
      <c r="B94" s="32" t="n">
        <v>45708</v>
      </c>
      <c r="C94" s="31" t="s">
        <v>113</v>
      </c>
      <c r="D94" s="31" t="n">
        <v>2</v>
      </c>
      <c r="E94" s="31" t="s">
        <v>287</v>
      </c>
      <c r="F94" s="31" t="s">
        <v>293</v>
      </c>
      <c r="G94" s="31" t="n">
        <v>5</v>
      </c>
      <c r="H94" s="31" t="n">
        <v>203</v>
      </c>
      <c r="I94" s="33" t="n">
        <v>383900</v>
      </c>
      <c r="J94" s="34" t="n">
        <f aca="false">IF(H94&gt;0,I94/H94,0)</f>
        <v>1891.13300492611</v>
      </c>
      <c r="K94" s="35" t="n">
        <f aca="false">(Benchmarks!$C$6-B94)/30.44</f>
        <v>19.2509855453351</v>
      </c>
      <c r="L94" s="36" t="n">
        <f aca="false">IF(AND(E94="Retail",D94&lt;=Benchmarks!$C$9,K94&lt;=Benchmarks!$C$7),1,0)</f>
        <v>0</v>
      </c>
      <c r="M94" s="34" t="str">
        <f aca="false">IF(L94=1,J94,"")</f>
        <v/>
      </c>
    </row>
    <row r="95" customFormat="false" ht="15" hidden="false" customHeight="false" outlineLevel="0" collapsed="false">
      <c r="A95" s="31" t="s">
        <v>381</v>
      </c>
      <c r="B95" s="32" t="n">
        <v>45700</v>
      </c>
      <c r="C95" s="31" t="s">
        <v>107</v>
      </c>
      <c r="D95" s="31" t="n">
        <v>1</v>
      </c>
      <c r="E95" s="31" t="s">
        <v>287</v>
      </c>
      <c r="F95" s="31" t="s">
        <v>293</v>
      </c>
      <c r="G95" s="31" t="n">
        <v>1</v>
      </c>
      <c r="H95" s="31" t="n">
        <v>131</v>
      </c>
      <c r="I95" s="33" t="n">
        <v>295200</v>
      </c>
      <c r="J95" s="34" t="n">
        <f aca="false">IF(H95&gt;0,I95/H95,0)</f>
        <v>2253.43511450382</v>
      </c>
      <c r="K95" s="35" t="n">
        <f aca="false">(Benchmarks!$C$6-B95)/30.44</f>
        <v>19.5137976346912</v>
      </c>
      <c r="L95" s="36" t="n">
        <f aca="false">IF(AND(E95="Retail",D95&lt;=Benchmarks!$C$9,K95&lt;=Benchmarks!$C$7),1,0)</f>
        <v>0</v>
      </c>
      <c r="M95" s="34" t="str">
        <f aca="false">IF(L95=1,J95,"")</f>
        <v/>
      </c>
    </row>
    <row r="96" customFormat="false" ht="15" hidden="false" customHeight="false" outlineLevel="0" collapsed="false">
      <c r="A96" s="31" t="s">
        <v>382</v>
      </c>
      <c r="B96" s="32" t="n">
        <v>45698</v>
      </c>
      <c r="C96" s="31" t="s">
        <v>111</v>
      </c>
      <c r="D96" s="31" t="n">
        <v>3</v>
      </c>
      <c r="E96" s="31" t="s">
        <v>287</v>
      </c>
      <c r="F96" s="31" t="s">
        <v>288</v>
      </c>
      <c r="G96" s="31" t="n">
        <v>10</v>
      </c>
      <c r="H96" s="31" t="n">
        <v>284</v>
      </c>
      <c r="I96" s="33" t="n">
        <v>466400</v>
      </c>
      <c r="J96" s="34" t="n">
        <f aca="false">IF(H96&gt;0,I96/H96,0)</f>
        <v>1642.25352112676</v>
      </c>
      <c r="K96" s="35" t="n">
        <f aca="false">(Benchmarks!$C$6-B96)/30.44</f>
        <v>19.5795006570302</v>
      </c>
      <c r="L96" s="36" t="n">
        <f aca="false">IF(AND(E96="Retail",D96&lt;=Benchmarks!$C$9,K96&lt;=Benchmarks!$C$7),1,0)</f>
        <v>0</v>
      </c>
      <c r="M96" s="34" t="str">
        <f aca="false">IF(L96=1,J96,"")</f>
        <v/>
      </c>
    </row>
    <row r="97" customFormat="false" ht="15" hidden="false" customHeight="false" outlineLevel="0" collapsed="false">
      <c r="A97" s="31" t="s">
        <v>383</v>
      </c>
      <c r="B97" s="32" t="n">
        <v>45695</v>
      </c>
      <c r="C97" s="31" t="s">
        <v>122</v>
      </c>
      <c r="D97" s="31" t="n">
        <v>2</v>
      </c>
      <c r="E97" s="31" t="s">
        <v>287</v>
      </c>
      <c r="F97" s="31" t="s">
        <v>293</v>
      </c>
      <c r="G97" s="31" t="n">
        <v>10</v>
      </c>
      <c r="H97" s="31" t="n">
        <v>258</v>
      </c>
      <c r="I97" s="33" t="n">
        <v>594300</v>
      </c>
      <c r="J97" s="34" t="n">
        <f aca="false">IF(H97&gt;0,I97/H97,0)</f>
        <v>2303.48837209302</v>
      </c>
      <c r="K97" s="35" t="n">
        <f aca="false">(Benchmarks!$C$6-B97)/30.44</f>
        <v>19.6780551905388</v>
      </c>
      <c r="L97" s="36" t="n">
        <f aca="false">IF(AND(E97="Retail",D97&lt;=Benchmarks!$C$9,K97&lt;=Benchmarks!$C$7),1,0)</f>
        <v>0</v>
      </c>
      <c r="M97" s="34" t="str">
        <f aca="false">IF(L97=1,J97,"")</f>
        <v/>
      </c>
    </row>
    <row r="98" customFormat="false" ht="15" hidden="false" customHeight="false" outlineLevel="0" collapsed="false">
      <c r="A98" s="31" t="s">
        <v>384</v>
      </c>
      <c r="B98" s="32" t="n">
        <v>45669</v>
      </c>
      <c r="C98" s="31" t="s">
        <v>107</v>
      </c>
      <c r="D98" s="31" t="n">
        <v>1</v>
      </c>
      <c r="E98" s="31" t="s">
        <v>290</v>
      </c>
      <c r="F98" s="31" t="s">
        <v>291</v>
      </c>
      <c r="G98" s="31" t="n">
        <v>1</v>
      </c>
      <c r="H98" s="31" t="n">
        <v>115</v>
      </c>
      <c r="I98" s="33" t="n">
        <v>68300</v>
      </c>
      <c r="J98" s="34" t="n">
        <f aca="false">IF(H98&gt;0,I98/H98,0)</f>
        <v>593.913043478261</v>
      </c>
      <c r="K98" s="35" t="n">
        <f aca="false">(Benchmarks!$C$6-B98)/30.44</f>
        <v>20.5321944809461</v>
      </c>
      <c r="L98" s="36" t="n">
        <f aca="false">IF(AND(E98="Retail",D98&lt;=Benchmarks!$C$9,K98&lt;=Benchmarks!$C$7),1,0)</f>
        <v>0</v>
      </c>
      <c r="M98" s="34" t="str">
        <f aca="false">IF(L98=1,J98,"")</f>
        <v/>
      </c>
    </row>
    <row r="99" customFormat="false" ht="15" hidden="false" customHeight="false" outlineLevel="0" collapsed="false">
      <c r="A99" s="31" t="s">
        <v>385</v>
      </c>
      <c r="B99" s="32" t="n">
        <v>45666</v>
      </c>
      <c r="C99" s="31" t="s">
        <v>120</v>
      </c>
      <c r="D99" s="31" t="n">
        <v>3</v>
      </c>
      <c r="E99" s="31" t="s">
        <v>287</v>
      </c>
      <c r="F99" s="31" t="s">
        <v>293</v>
      </c>
      <c r="G99" s="31" t="n">
        <v>3</v>
      </c>
      <c r="H99" s="31" t="n">
        <v>155</v>
      </c>
      <c r="I99" s="33" t="n">
        <v>402300</v>
      </c>
      <c r="J99" s="34" t="n">
        <f aca="false">IF(H99&gt;0,I99/H99,0)</f>
        <v>2595.48387096774</v>
      </c>
      <c r="K99" s="35" t="n">
        <f aca="false">(Benchmarks!$C$6-B99)/30.44</f>
        <v>20.6307490144547</v>
      </c>
      <c r="L99" s="36" t="n">
        <f aca="false">IF(AND(E99="Retail",D99&lt;=Benchmarks!$C$9,K99&lt;=Benchmarks!$C$7),1,0)</f>
        <v>0</v>
      </c>
      <c r="M99" s="34" t="str">
        <f aca="false">IF(L99=1,J99,"")</f>
        <v/>
      </c>
    </row>
    <row r="100" customFormat="false" ht="15" hidden="false" customHeight="false" outlineLevel="0" collapsed="false">
      <c r="A100" s="31" t="s">
        <v>386</v>
      </c>
      <c r="B100" s="32" t="n">
        <v>45654</v>
      </c>
      <c r="C100" s="31" t="s">
        <v>122</v>
      </c>
      <c r="D100" s="31" t="n">
        <v>2</v>
      </c>
      <c r="E100" s="31" t="s">
        <v>287</v>
      </c>
      <c r="F100" s="31" t="s">
        <v>293</v>
      </c>
      <c r="G100" s="31" t="n">
        <v>5</v>
      </c>
      <c r="H100" s="31" t="n">
        <v>175</v>
      </c>
      <c r="I100" s="33" t="n">
        <v>387300</v>
      </c>
      <c r="J100" s="34" t="n">
        <f aca="false">IF(H100&gt;0,I100/H100,0)</f>
        <v>2213.14285714286</v>
      </c>
      <c r="K100" s="35" t="n">
        <f aca="false">(Benchmarks!$C$6-B100)/30.44</f>
        <v>21.0249671484888</v>
      </c>
      <c r="L100" s="36" t="n">
        <f aca="false">IF(AND(E100="Retail",D100&lt;=Benchmarks!$C$9,K100&lt;=Benchmarks!$C$7),1,0)</f>
        <v>0</v>
      </c>
      <c r="M100" s="34" t="str">
        <f aca="false">IF(L100=1,J100,"")</f>
        <v/>
      </c>
    </row>
    <row r="101" customFormat="false" ht="15" hidden="false" customHeight="false" outlineLevel="0" collapsed="false">
      <c r="A101" s="31" t="s">
        <v>387</v>
      </c>
      <c r="B101" s="32" t="n">
        <v>45650</v>
      </c>
      <c r="C101" s="31" t="s">
        <v>107</v>
      </c>
      <c r="D101" s="31" t="n">
        <v>1</v>
      </c>
      <c r="E101" s="31" t="s">
        <v>287</v>
      </c>
      <c r="F101" s="31" t="s">
        <v>288</v>
      </c>
      <c r="G101" s="31" t="n">
        <v>3</v>
      </c>
      <c r="H101" s="31" t="n">
        <v>197</v>
      </c>
      <c r="I101" s="33" t="n">
        <v>424600</v>
      </c>
      <c r="J101" s="34" t="n">
        <f aca="false">IF(H101&gt;0,I101/H101,0)</f>
        <v>2155.32994923858</v>
      </c>
      <c r="K101" s="35" t="n">
        <f aca="false">(Benchmarks!$C$6-B101)/30.44</f>
        <v>21.1563731931669</v>
      </c>
      <c r="L101" s="36" t="n">
        <f aca="false">IF(AND(E101="Retail",D101&lt;=Benchmarks!$C$9,K101&lt;=Benchmarks!$C$7),1,0)</f>
        <v>0</v>
      </c>
      <c r="M101" s="34" t="str">
        <f aca="false">IF(L101=1,J101,"")</f>
        <v/>
      </c>
    </row>
    <row r="102" customFormat="false" ht="15" hidden="false" customHeight="false" outlineLevel="0" collapsed="false">
      <c r="A102" s="31" t="s">
        <v>388</v>
      </c>
      <c r="B102" s="32" t="n">
        <v>45646</v>
      </c>
      <c r="C102" s="31" t="s">
        <v>132</v>
      </c>
      <c r="D102" s="31" t="n">
        <v>2</v>
      </c>
      <c r="E102" s="31" t="s">
        <v>287</v>
      </c>
      <c r="F102" s="31" t="s">
        <v>293</v>
      </c>
      <c r="G102" s="31" t="n">
        <v>3</v>
      </c>
      <c r="H102" s="31" t="n">
        <v>305</v>
      </c>
      <c r="I102" s="33" t="n">
        <v>771200</v>
      </c>
      <c r="J102" s="34" t="n">
        <f aca="false">IF(H102&gt;0,I102/H102,0)</f>
        <v>2528.52459016393</v>
      </c>
      <c r="K102" s="35" t="n">
        <f aca="false">(Benchmarks!$C$6-B102)/30.44</f>
        <v>21.2877792378449</v>
      </c>
      <c r="L102" s="36" t="n">
        <f aca="false">IF(AND(E102="Retail",D102&lt;=Benchmarks!$C$9,K102&lt;=Benchmarks!$C$7),1,0)</f>
        <v>0</v>
      </c>
      <c r="M102" s="34" t="str">
        <f aca="false">IF(L102=1,J102,"")</f>
        <v/>
      </c>
    </row>
    <row r="103" customFormat="false" ht="15" hidden="false" customHeight="false" outlineLevel="0" collapsed="false">
      <c r="A103" s="31" t="s">
        <v>389</v>
      </c>
      <c r="B103" s="32" t="n">
        <v>45628</v>
      </c>
      <c r="C103" s="31" t="s">
        <v>132</v>
      </c>
      <c r="D103" s="31" t="n">
        <v>2</v>
      </c>
      <c r="E103" s="31" t="s">
        <v>287</v>
      </c>
      <c r="F103" s="31" t="s">
        <v>288</v>
      </c>
      <c r="G103" s="31" t="n">
        <v>1</v>
      </c>
      <c r="H103" s="31" t="n">
        <v>285</v>
      </c>
      <c r="I103" s="33" t="n">
        <v>628600</v>
      </c>
      <c r="J103" s="34" t="n">
        <f aca="false">IF(H103&gt;0,I103/H103,0)</f>
        <v>2205.61403508772</v>
      </c>
      <c r="K103" s="35" t="n">
        <f aca="false">(Benchmarks!$C$6-B103)/30.44</f>
        <v>21.8791064388962</v>
      </c>
      <c r="L103" s="36" t="n">
        <f aca="false">IF(AND(E103="Retail",D103&lt;=Benchmarks!$C$9,K103&lt;=Benchmarks!$C$7),1,0)</f>
        <v>0</v>
      </c>
      <c r="M103" s="34" t="str">
        <f aca="false">IF(L103=1,J103,"")</f>
        <v/>
      </c>
    </row>
    <row r="104" customFormat="false" ht="15" hidden="false" customHeight="false" outlineLevel="0" collapsed="false">
      <c r="A104" s="31" t="s">
        <v>390</v>
      </c>
      <c r="B104" s="32" t="n">
        <v>45619</v>
      </c>
      <c r="C104" s="31" t="s">
        <v>132</v>
      </c>
      <c r="D104" s="31" t="n">
        <v>2</v>
      </c>
      <c r="E104" s="31" t="s">
        <v>287</v>
      </c>
      <c r="F104" s="31" t="s">
        <v>288</v>
      </c>
      <c r="G104" s="31" t="n">
        <v>5</v>
      </c>
      <c r="H104" s="31" t="n">
        <v>83</v>
      </c>
      <c r="I104" s="33" t="n">
        <v>201000</v>
      </c>
      <c r="J104" s="34" t="n">
        <f aca="false">IF(H104&gt;0,I104/H104,0)</f>
        <v>2421.68674698795</v>
      </c>
      <c r="K104" s="35" t="n">
        <f aca="false">(Benchmarks!$C$6-B104)/30.44</f>
        <v>22.1747700394218</v>
      </c>
      <c r="L104" s="36" t="n">
        <f aca="false">IF(AND(E104="Retail",D104&lt;=Benchmarks!$C$9,K104&lt;=Benchmarks!$C$7),1,0)</f>
        <v>0</v>
      </c>
      <c r="M104" s="34" t="str">
        <f aca="false">IF(L104=1,J104,"")</f>
        <v/>
      </c>
    </row>
    <row r="105" customFormat="false" ht="15" hidden="false" customHeight="false" outlineLevel="0" collapsed="false">
      <c r="A105" s="31" t="s">
        <v>391</v>
      </c>
      <c r="B105" s="32" t="n">
        <v>45613</v>
      </c>
      <c r="C105" s="31" t="s">
        <v>107</v>
      </c>
      <c r="D105" s="31" t="n">
        <v>1</v>
      </c>
      <c r="E105" s="31" t="s">
        <v>287</v>
      </c>
      <c r="F105" s="31" t="s">
        <v>293</v>
      </c>
      <c r="G105" s="31" t="n">
        <v>1</v>
      </c>
      <c r="H105" s="31" t="n">
        <v>173</v>
      </c>
      <c r="I105" s="33" t="n">
        <v>378800</v>
      </c>
      <c r="J105" s="34" t="n">
        <f aca="false">IF(H105&gt;0,I105/H105,0)</f>
        <v>2189.59537572254</v>
      </c>
      <c r="K105" s="35" t="n">
        <f aca="false">(Benchmarks!$C$6-B105)/30.44</f>
        <v>22.3718791064389</v>
      </c>
      <c r="L105" s="36" t="n">
        <f aca="false">IF(AND(E105="Retail",D105&lt;=Benchmarks!$C$9,K105&lt;=Benchmarks!$C$7),1,0)</f>
        <v>0</v>
      </c>
      <c r="M105" s="34" t="str">
        <f aca="false">IF(L105=1,J105,"")</f>
        <v/>
      </c>
    </row>
    <row r="106" customFormat="false" ht="15" hidden="false" customHeight="false" outlineLevel="0" collapsed="false">
      <c r="A106" s="31" t="s">
        <v>392</v>
      </c>
      <c r="B106" s="32" t="n">
        <v>45609</v>
      </c>
      <c r="C106" s="31" t="s">
        <v>107</v>
      </c>
      <c r="D106" s="31" t="n">
        <v>1</v>
      </c>
      <c r="E106" s="31" t="s">
        <v>287</v>
      </c>
      <c r="F106" s="31" t="s">
        <v>288</v>
      </c>
      <c r="G106" s="31" t="n">
        <v>5</v>
      </c>
      <c r="H106" s="31" t="n">
        <v>307</v>
      </c>
      <c r="I106" s="33" t="n">
        <v>684500</v>
      </c>
      <c r="J106" s="34" t="n">
        <f aca="false">IF(H106&gt;0,I106/H106,0)</f>
        <v>2229.64169381108</v>
      </c>
      <c r="K106" s="35" t="n">
        <f aca="false">(Benchmarks!$C$6-B106)/30.44</f>
        <v>22.503285151117</v>
      </c>
      <c r="L106" s="36" t="n">
        <f aca="false">IF(AND(E106="Retail",D106&lt;=Benchmarks!$C$9,K106&lt;=Benchmarks!$C$7),1,0)</f>
        <v>0</v>
      </c>
      <c r="M106" s="34" t="str">
        <f aca="false">IF(L106=1,J106,"")</f>
        <v/>
      </c>
    </row>
    <row r="107" customFormat="false" ht="15" hidden="false" customHeight="false" outlineLevel="0" collapsed="false">
      <c r="A107" s="31" t="s">
        <v>393</v>
      </c>
      <c r="B107" s="32" t="n">
        <v>45603</v>
      </c>
      <c r="C107" s="31" t="s">
        <v>122</v>
      </c>
      <c r="D107" s="31" t="n">
        <v>2</v>
      </c>
      <c r="E107" s="31" t="s">
        <v>287</v>
      </c>
      <c r="F107" s="31" t="s">
        <v>288</v>
      </c>
      <c r="G107" s="31" t="n">
        <v>10</v>
      </c>
      <c r="H107" s="31" t="n">
        <v>318</v>
      </c>
      <c r="I107" s="33" t="n">
        <v>632800</v>
      </c>
      <c r="J107" s="34" t="n">
        <f aca="false">IF(H107&gt;0,I107/H107,0)</f>
        <v>1989.93710691824</v>
      </c>
      <c r="K107" s="35" t="n">
        <f aca="false">(Benchmarks!$C$6-B107)/30.44</f>
        <v>22.700394218134</v>
      </c>
      <c r="L107" s="36" t="n">
        <f aca="false">IF(AND(E107="Retail",D107&lt;=Benchmarks!$C$9,K107&lt;=Benchmarks!$C$7),1,0)</f>
        <v>0</v>
      </c>
      <c r="M107" s="34" t="str">
        <f aca="false">IF(L107=1,J107,"")</f>
        <v/>
      </c>
    </row>
    <row r="108" customFormat="false" ht="15" hidden="false" customHeight="false" outlineLevel="0" collapsed="false">
      <c r="A108" s="31" t="s">
        <v>394</v>
      </c>
      <c r="B108" s="32" t="n">
        <v>45603</v>
      </c>
      <c r="C108" s="31" t="s">
        <v>107</v>
      </c>
      <c r="D108" s="31" t="n">
        <v>1</v>
      </c>
      <c r="E108" s="31" t="s">
        <v>287</v>
      </c>
      <c r="F108" s="31" t="s">
        <v>293</v>
      </c>
      <c r="G108" s="31" t="n">
        <v>3</v>
      </c>
      <c r="H108" s="31" t="n">
        <v>232</v>
      </c>
      <c r="I108" s="33" t="n">
        <v>515000</v>
      </c>
      <c r="J108" s="34" t="n">
        <f aca="false">IF(H108&gt;0,I108/H108,0)</f>
        <v>2219.8275862069</v>
      </c>
      <c r="K108" s="35" t="n">
        <f aca="false">(Benchmarks!$C$6-B108)/30.44</f>
        <v>22.700394218134</v>
      </c>
      <c r="L108" s="36" t="n">
        <f aca="false">IF(AND(E108="Retail",D108&lt;=Benchmarks!$C$9,K108&lt;=Benchmarks!$C$7),1,0)</f>
        <v>0</v>
      </c>
      <c r="M108" s="34" t="str">
        <f aca="false">IF(L108=1,J108,"")</f>
        <v/>
      </c>
    </row>
    <row r="109" customFormat="false" ht="15" hidden="false" customHeight="false" outlineLevel="0" collapsed="false">
      <c r="A109" s="31" t="s">
        <v>395</v>
      </c>
      <c r="B109" s="32" t="n">
        <v>45593</v>
      </c>
      <c r="C109" s="31" t="s">
        <v>107</v>
      </c>
      <c r="D109" s="31" t="n">
        <v>1</v>
      </c>
      <c r="E109" s="31" t="s">
        <v>287</v>
      </c>
      <c r="F109" s="31" t="s">
        <v>293</v>
      </c>
      <c r="G109" s="31" t="n">
        <v>1</v>
      </c>
      <c r="H109" s="31" t="n">
        <v>121</v>
      </c>
      <c r="I109" s="33" t="n">
        <v>277900</v>
      </c>
      <c r="J109" s="34" t="n">
        <f aca="false">IF(H109&gt;0,I109/H109,0)</f>
        <v>2296.69421487603</v>
      </c>
      <c r="K109" s="35" t="n">
        <f aca="false">(Benchmarks!$C$6-B109)/30.44</f>
        <v>23.0289093298292</v>
      </c>
      <c r="L109" s="36" t="n">
        <f aca="false">IF(AND(E109="Retail",D109&lt;=Benchmarks!$C$9,K109&lt;=Benchmarks!$C$7),1,0)</f>
        <v>0</v>
      </c>
      <c r="M109" s="34" t="str">
        <f aca="false">IF(L109=1,J109,"")</f>
        <v/>
      </c>
    </row>
    <row r="110" customFormat="false" ht="15" hidden="false" customHeight="false" outlineLevel="0" collapsed="false">
      <c r="A110" s="31" t="s">
        <v>396</v>
      </c>
      <c r="B110" s="32" t="n">
        <v>45587</v>
      </c>
      <c r="C110" s="31" t="s">
        <v>107</v>
      </c>
      <c r="D110" s="31" t="n">
        <v>1</v>
      </c>
      <c r="E110" s="31" t="s">
        <v>287</v>
      </c>
      <c r="F110" s="31" t="s">
        <v>288</v>
      </c>
      <c r="G110" s="31" t="n">
        <v>3</v>
      </c>
      <c r="H110" s="31" t="n">
        <v>302</v>
      </c>
      <c r="I110" s="33" t="n">
        <v>626100</v>
      </c>
      <c r="J110" s="34" t="n">
        <f aca="false">IF(H110&gt;0,I110/H110,0)</f>
        <v>2073.17880794702</v>
      </c>
      <c r="K110" s="35" t="n">
        <f aca="false">(Benchmarks!$C$6-B110)/30.44</f>
        <v>23.2260183968463</v>
      </c>
      <c r="L110" s="36" t="n">
        <f aca="false">IF(AND(E110="Retail",D110&lt;=Benchmarks!$C$9,K110&lt;=Benchmarks!$C$7),1,0)</f>
        <v>0</v>
      </c>
      <c r="M110" s="34" t="str">
        <f aca="false">IF(L110=1,J110,"")</f>
        <v/>
      </c>
    </row>
    <row r="111" customFormat="false" ht="15" hidden="false" customHeight="false" outlineLevel="0" collapsed="false">
      <c r="A111" s="31" t="s">
        <v>397</v>
      </c>
      <c r="B111" s="32" t="n">
        <v>45584</v>
      </c>
      <c r="C111" s="31" t="s">
        <v>107</v>
      </c>
      <c r="D111" s="31" t="n">
        <v>1</v>
      </c>
      <c r="E111" s="31" t="s">
        <v>287</v>
      </c>
      <c r="F111" s="31" t="s">
        <v>288</v>
      </c>
      <c r="G111" s="31" t="n">
        <v>10</v>
      </c>
      <c r="H111" s="31" t="n">
        <v>195</v>
      </c>
      <c r="I111" s="33" t="n">
        <v>383900</v>
      </c>
      <c r="J111" s="34" t="n">
        <f aca="false">IF(H111&gt;0,I111/H111,0)</f>
        <v>1968.71794871795</v>
      </c>
      <c r="K111" s="35" t="n">
        <f aca="false">(Benchmarks!$C$6-B111)/30.44</f>
        <v>23.3245729303548</v>
      </c>
      <c r="L111" s="36" t="n">
        <f aca="false">IF(AND(E111="Retail",D111&lt;=Benchmarks!$C$9,K111&lt;=Benchmarks!$C$7),1,0)</f>
        <v>0</v>
      </c>
      <c r="M111" s="34" t="str">
        <f aca="false">IF(L111=1,J111,"")</f>
        <v/>
      </c>
    </row>
    <row r="112" customFormat="false" ht="15" hidden="false" customHeight="false" outlineLevel="0" collapsed="false">
      <c r="A112" s="31" t="s">
        <v>398</v>
      </c>
      <c r="B112" s="32" t="n">
        <v>45582</v>
      </c>
      <c r="C112" s="31" t="s">
        <v>122</v>
      </c>
      <c r="D112" s="31" t="n">
        <v>2</v>
      </c>
      <c r="E112" s="31" t="s">
        <v>287</v>
      </c>
      <c r="F112" s="31" t="s">
        <v>293</v>
      </c>
      <c r="G112" s="31" t="n">
        <v>5</v>
      </c>
      <c r="H112" s="31" t="n">
        <v>210</v>
      </c>
      <c r="I112" s="33" t="n">
        <v>465300</v>
      </c>
      <c r="J112" s="34" t="n">
        <f aca="false">IF(H112&gt;0,I112/H112,0)</f>
        <v>2215.71428571429</v>
      </c>
      <c r="K112" s="35" t="n">
        <f aca="false">(Benchmarks!$C$6-B112)/30.44</f>
        <v>23.3902759526938</v>
      </c>
      <c r="L112" s="36" t="n">
        <f aca="false">IF(AND(E112="Retail",D112&lt;=Benchmarks!$C$9,K112&lt;=Benchmarks!$C$7),1,0)</f>
        <v>0</v>
      </c>
      <c r="M112" s="34" t="str">
        <f aca="false">IF(L112=1,J112,"")</f>
        <v/>
      </c>
    </row>
    <row r="113" customFormat="false" ht="15" hidden="false" customHeight="false" outlineLevel="0" collapsed="false">
      <c r="A113" s="31" t="s">
        <v>399</v>
      </c>
      <c r="B113" s="32" t="n">
        <v>45581</v>
      </c>
      <c r="C113" s="31" t="s">
        <v>122</v>
      </c>
      <c r="D113" s="31" t="n">
        <v>2</v>
      </c>
      <c r="E113" s="31" t="s">
        <v>287</v>
      </c>
      <c r="F113" s="31" t="s">
        <v>293</v>
      </c>
      <c r="G113" s="31" t="n">
        <v>5</v>
      </c>
      <c r="H113" s="31" t="n">
        <v>251</v>
      </c>
      <c r="I113" s="33" t="n">
        <v>553300</v>
      </c>
      <c r="J113" s="34" t="n">
        <f aca="false">IF(H113&gt;0,I113/H113,0)</f>
        <v>2204.38247011952</v>
      </c>
      <c r="K113" s="35" t="n">
        <f aca="false">(Benchmarks!$C$6-B113)/30.44</f>
        <v>23.4231274638633</v>
      </c>
      <c r="L113" s="36" t="n">
        <f aca="false">IF(AND(E113="Retail",D113&lt;=Benchmarks!$C$9,K113&lt;=Benchmarks!$C$7),1,0)</f>
        <v>0</v>
      </c>
      <c r="M113" s="34" t="str">
        <f aca="false">IF(L113=1,J113,"")</f>
        <v/>
      </c>
    </row>
    <row r="114" customFormat="false" ht="15" hidden="false" customHeight="false" outlineLevel="0" collapsed="false">
      <c r="A114" s="31" t="s">
        <v>400</v>
      </c>
      <c r="B114" s="32" t="n">
        <v>45572</v>
      </c>
      <c r="C114" s="31" t="s">
        <v>107</v>
      </c>
      <c r="D114" s="31" t="n">
        <v>1</v>
      </c>
      <c r="E114" s="31" t="s">
        <v>287</v>
      </c>
      <c r="F114" s="31" t="s">
        <v>288</v>
      </c>
      <c r="G114" s="31" t="n">
        <v>5</v>
      </c>
      <c r="H114" s="31" t="n">
        <v>258</v>
      </c>
      <c r="I114" s="33" t="n">
        <v>535700</v>
      </c>
      <c r="J114" s="34" t="n">
        <f aca="false">IF(H114&gt;0,I114/H114,0)</f>
        <v>2076.35658914729</v>
      </c>
      <c r="K114" s="35" t="n">
        <f aca="false">(Benchmarks!$C$6-B114)/30.44</f>
        <v>23.718791064389</v>
      </c>
      <c r="L114" s="36" t="n">
        <f aca="false">IF(AND(E114="Retail",D114&lt;=Benchmarks!$C$9,K114&lt;=Benchmarks!$C$7),1,0)</f>
        <v>0</v>
      </c>
      <c r="M114" s="34" t="str">
        <f aca="false">IF(L114=1,J114,"")</f>
        <v/>
      </c>
    </row>
  </sheetData>
  <autoFilter ref="A4:M1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7" min="4" style="0" width="12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1" min="11" style="0" width="36"/>
  </cols>
  <sheetData>
    <row r="1" customFormat="false" ht="19.7" hidden="false" customHeight="false" outlineLevel="0" collapsed="false">
      <c r="A1" s="1" t="s">
        <v>401</v>
      </c>
    </row>
    <row r="2" customFormat="false" ht="15" hidden="false" customHeight="false" outlineLevel="0" collapsed="false">
      <c r="A2" s="2" t="s">
        <v>402</v>
      </c>
    </row>
    <row r="4" customFormat="false" ht="30" hidden="false" customHeight="true" outlineLevel="0" collapsed="false">
      <c r="A4" s="30" t="s">
        <v>67</v>
      </c>
      <c r="B4" s="30" t="s">
        <v>403</v>
      </c>
      <c r="C4" s="30" t="s">
        <v>404</v>
      </c>
      <c r="D4" s="30" t="s">
        <v>405</v>
      </c>
      <c r="E4" s="30" t="s">
        <v>88</v>
      </c>
      <c r="F4" s="30" t="s">
        <v>89</v>
      </c>
      <c r="G4" s="30" t="s">
        <v>90</v>
      </c>
      <c r="H4" s="30" t="s">
        <v>91</v>
      </c>
      <c r="I4" s="30" t="s">
        <v>406</v>
      </c>
      <c r="J4" s="30" t="s">
        <v>407</v>
      </c>
      <c r="K4" s="30" t="s">
        <v>408</v>
      </c>
    </row>
    <row r="5" customFormat="false" ht="15" hidden="false" customHeight="false" outlineLevel="0" collapsed="false">
      <c r="A5" s="31" t="s">
        <v>409</v>
      </c>
      <c r="B5" s="31" t="s">
        <v>410</v>
      </c>
      <c r="C5" s="37" t="n">
        <v>3</v>
      </c>
      <c r="D5" s="38" t="n">
        <v>0.6</v>
      </c>
      <c r="E5" s="31" t="n">
        <v>6</v>
      </c>
      <c r="F5" s="31" t="n">
        <v>3</v>
      </c>
      <c r="G5" s="31" t="n">
        <v>3</v>
      </c>
      <c r="H5" s="31" t="n">
        <v>12</v>
      </c>
      <c r="I5" s="31" t="n">
        <v>1.5</v>
      </c>
      <c r="J5" s="31" t="n">
        <v>50</v>
      </c>
      <c r="K5" s="31" t="s">
        <v>411</v>
      </c>
    </row>
    <row r="6" customFormat="false" ht="15" hidden="false" customHeight="false" outlineLevel="0" collapsed="false">
      <c r="A6" s="31" t="s">
        <v>412</v>
      </c>
      <c r="B6" s="31" t="s">
        <v>413</v>
      </c>
      <c r="C6" s="37" t="n">
        <v>4.5</v>
      </c>
      <c r="D6" s="38" t="n">
        <v>0.55</v>
      </c>
      <c r="E6" s="31" t="n">
        <v>8</v>
      </c>
      <c r="F6" s="31" t="n">
        <v>4</v>
      </c>
      <c r="G6" s="31" t="n">
        <v>4</v>
      </c>
      <c r="H6" s="31" t="n">
        <v>20</v>
      </c>
      <c r="I6" s="31" t="n">
        <v>1.5</v>
      </c>
      <c r="J6" s="31" t="n">
        <v>45</v>
      </c>
      <c r="K6" s="31" t="s">
        <v>414</v>
      </c>
    </row>
    <row r="7" customFormat="false" ht="15" hidden="false" customHeight="false" outlineLevel="0" collapsed="false">
      <c r="A7" s="31" t="s">
        <v>415</v>
      </c>
      <c r="B7" s="31" t="s">
        <v>416</v>
      </c>
      <c r="C7" s="37" t="n">
        <v>2.4</v>
      </c>
      <c r="D7" s="38" t="n">
        <v>0.65</v>
      </c>
      <c r="E7" s="31" t="n">
        <v>6</v>
      </c>
      <c r="F7" s="31" t="n">
        <v>2</v>
      </c>
      <c r="G7" s="31" t="n">
        <v>3</v>
      </c>
      <c r="H7" s="31" t="n">
        <v>8</v>
      </c>
      <c r="I7" s="31" t="n">
        <v>1</v>
      </c>
      <c r="J7" s="31" t="n">
        <v>40</v>
      </c>
      <c r="K7" s="31" t="s">
        <v>417</v>
      </c>
    </row>
    <row r="8" customFormat="false" ht="15" hidden="false" customHeight="false" outlineLevel="0" collapsed="false">
      <c r="A8" s="31" t="s">
        <v>418</v>
      </c>
      <c r="B8" s="31" t="s">
        <v>419</v>
      </c>
      <c r="C8" s="37" t="n">
        <v>1.8</v>
      </c>
      <c r="D8" s="38" t="n">
        <v>0.6</v>
      </c>
      <c r="E8" s="31" t="n">
        <v>5</v>
      </c>
      <c r="F8" s="31" t="n">
        <v>2</v>
      </c>
      <c r="G8" s="31" t="n">
        <v>2</v>
      </c>
      <c r="H8" s="31" t="n">
        <v>4</v>
      </c>
      <c r="I8" s="31" t="n">
        <v>1.5</v>
      </c>
      <c r="J8" s="31" t="n">
        <v>0</v>
      </c>
      <c r="K8" s="31" t="s">
        <v>290</v>
      </c>
    </row>
    <row r="9" customFormat="false" ht="15" hidden="false" customHeight="false" outlineLevel="0" collapsed="false">
      <c r="A9" s="31" t="s">
        <v>420</v>
      </c>
      <c r="B9" s="31" t="s">
        <v>421</v>
      </c>
      <c r="C9" s="37" t="n">
        <v>1.2</v>
      </c>
      <c r="D9" s="38" t="n">
        <v>0.6</v>
      </c>
      <c r="E9" s="31" t="n">
        <v>4</v>
      </c>
      <c r="F9" s="31" t="n">
        <v>2</v>
      </c>
      <c r="G9" s="31" t="n">
        <v>2</v>
      </c>
      <c r="H9" s="31" t="n">
        <v>3</v>
      </c>
      <c r="I9" s="31" t="n">
        <v>2</v>
      </c>
      <c r="J9" s="31" t="n">
        <v>0</v>
      </c>
      <c r="K9" s="31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34"/>
  </cols>
  <sheetData>
    <row r="1" customFormat="false" ht="19.7" hidden="false" customHeight="false" outlineLevel="0" collapsed="false">
      <c r="A1" s="1" t="s">
        <v>422</v>
      </c>
    </row>
    <row r="2" customFormat="false" ht="15" hidden="false" customHeight="false" outlineLevel="0" collapsed="false">
      <c r="A2" s="2" t="s">
        <v>423</v>
      </c>
    </row>
    <row r="4" customFormat="false" ht="30" hidden="false" customHeight="true" outlineLevel="0" collapsed="false">
      <c r="A4" s="30" t="s">
        <v>64</v>
      </c>
      <c r="B4" s="30" t="s">
        <v>66</v>
      </c>
      <c r="C4" s="30" t="s">
        <v>67</v>
      </c>
      <c r="D4" s="30" t="s">
        <v>68</v>
      </c>
      <c r="E4" s="30" t="s">
        <v>424</v>
      </c>
      <c r="F4" s="30" t="s">
        <v>425</v>
      </c>
      <c r="G4" s="30" t="s">
        <v>426</v>
      </c>
      <c r="H4" s="30" t="s">
        <v>427</v>
      </c>
      <c r="I4" s="30" t="s">
        <v>428</v>
      </c>
    </row>
    <row r="5" customFormat="false" ht="15" hidden="false" customHeight="false" outlineLevel="0" collapsed="false">
      <c r="A5" s="31" t="s">
        <v>65</v>
      </c>
      <c r="B5" s="31" t="s">
        <v>107</v>
      </c>
      <c r="C5" s="31" t="s">
        <v>409</v>
      </c>
      <c r="D5" s="33" t="n">
        <v>20000</v>
      </c>
      <c r="E5" s="31" t="n">
        <v>200</v>
      </c>
      <c r="F5" s="31" t="n">
        <v>100</v>
      </c>
      <c r="G5" s="31" t="n">
        <v>40</v>
      </c>
      <c r="H5" s="14" t="n">
        <f aca="false">D5*INDEX('Zoning rules'!$C$5:$C$9,MATCH(C5,'Zoning rules'!$A$5:$A$9,0))</f>
        <v>60000</v>
      </c>
      <c r="I5" s="4" t="s">
        <v>429</v>
      </c>
    </row>
    <row r="6" customFormat="false" ht="15" hidden="false" customHeight="false" outlineLevel="0" collapsed="false">
      <c r="A6" s="31" t="s">
        <v>430</v>
      </c>
      <c r="B6" s="31" t="s">
        <v>107</v>
      </c>
      <c r="C6" s="31" t="s">
        <v>409</v>
      </c>
      <c r="D6" s="33" t="n">
        <v>12500</v>
      </c>
      <c r="E6" s="31" t="n">
        <v>125</v>
      </c>
      <c r="F6" s="31" t="n">
        <v>100</v>
      </c>
      <c r="G6" s="31" t="n">
        <v>40</v>
      </c>
      <c r="H6" s="14" t="n">
        <f aca="false">D6*INDEX('Zoning rules'!$C$5:$C$9,MATCH(C6,'Zoning rules'!$A$5:$A$9,0))</f>
        <v>37500</v>
      </c>
      <c r="I6" s="4"/>
    </row>
    <row r="7" customFormat="false" ht="15" hidden="false" customHeight="false" outlineLevel="0" collapsed="false">
      <c r="A7" s="31" t="s">
        <v>431</v>
      </c>
      <c r="B7" s="31" t="s">
        <v>107</v>
      </c>
      <c r="C7" s="31" t="s">
        <v>418</v>
      </c>
      <c r="D7" s="33" t="n">
        <v>3600</v>
      </c>
      <c r="E7" s="31" t="n">
        <v>60</v>
      </c>
      <c r="F7" s="31" t="n">
        <v>60</v>
      </c>
      <c r="G7" s="31" t="n">
        <v>20</v>
      </c>
      <c r="H7" s="14" t="n">
        <f aca="false">D7*INDEX('Zoning rules'!$C$5:$C$9,MATCH(C7,'Zoning rules'!$A$5:$A$9,0))</f>
        <v>6480</v>
      </c>
      <c r="I7" s="4"/>
    </row>
    <row r="8" customFormat="false" ht="15" hidden="false" customHeight="false" outlineLevel="0" collapsed="false">
      <c r="A8" s="31" t="s">
        <v>432</v>
      </c>
      <c r="B8" s="31" t="s">
        <v>107</v>
      </c>
      <c r="C8" s="31" t="s">
        <v>420</v>
      </c>
      <c r="D8" s="33" t="n">
        <v>900</v>
      </c>
      <c r="E8" s="31" t="n">
        <v>30</v>
      </c>
      <c r="F8" s="31" t="n">
        <v>30</v>
      </c>
      <c r="G8" s="31" t="n">
        <v>15</v>
      </c>
      <c r="H8" s="14" t="n">
        <f aca="false">D8*INDEX('Zoning rules'!$C$5:$C$9,MATCH(C8,'Zoning rules'!$A$5:$A$9,0))</f>
        <v>1080</v>
      </c>
      <c r="I8" s="4"/>
    </row>
    <row r="9" customFormat="false" ht="15" hidden="false" customHeight="false" outlineLevel="0" collapsed="false">
      <c r="A9" s="31" t="s">
        <v>433</v>
      </c>
      <c r="B9" s="31" t="s">
        <v>122</v>
      </c>
      <c r="C9" s="31" t="s">
        <v>415</v>
      </c>
      <c r="D9" s="33" t="n">
        <v>8000</v>
      </c>
      <c r="E9" s="31" t="n">
        <v>100</v>
      </c>
      <c r="F9" s="31" t="n">
        <v>80</v>
      </c>
      <c r="G9" s="31" t="n">
        <v>30</v>
      </c>
      <c r="H9" s="14" t="n">
        <f aca="false">D9*INDEX('Zoning rules'!$C$5:$C$9,MATCH(C9,'Zoning rules'!$A$5:$A$9,0))</f>
        <v>19200</v>
      </c>
      <c r="I9" s="4"/>
    </row>
    <row r="10" customFormat="false" ht="15" hidden="false" customHeight="false" outlineLevel="0" collapsed="false">
      <c r="A10" s="31" t="s">
        <v>434</v>
      </c>
      <c r="B10" s="31" t="s">
        <v>132</v>
      </c>
      <c r="C10" s="31" t="s">
        <v>412</v>
      </c>
      <c r="D10" s="33" t="n">
        <v>24000</v>
      </c>
      <c r="E10" s="31" t="n">
        <v>200</v>
      </c>
      <c r="F10" s="31" t="n">
        <v>120</v>
      </c>
      <c r="G10" s="31" t="n">
        <v>60</v>
      </c>
      <c r="H10" s="14" t="n">
        <f aca="false">D10*INDEX('Zoning rules'!$C$5:$C$9,MATCH(C10,'Zoning rules'!$A$5:$A$9,0))</f>
        <v>108000</v>
      </c>
      <c r="I10" s="4"/>
    </row>
    <row r="11" customFormat="false" ht="15" hidden="false" customHeight="false" outlineLevel="0" collapsed="false">
      <c r="A11" s="31" t="s">
        <v>435</v>
      </c>
      <c r="B11" s="31" t="s">
        <v>113</v>
      </c>
      <c r="C11" s="31" t="s">
        <v>418</v>
      </c>
      <c r="D11" s="33" t="n">
        <v>4800</v>
      </c>
      <c r="E11" s="31" t="n">
        <v>80</v>
      </c>
      <c r="F11" s="31" t="n">
        <v>60</v>
      </c>
      <c r="G11" s="31" t="n">
        <v>20</v>
      </c>
      <c r="H11" s="14" t="n">
        <f aca="false">D11*INDEX('Zoning rules'!$C$5:$C$9,MATCH(C11,'Zoning rules'!$A$5:$A$9,0))</f>
        <v>8640</v>
      </c>
      <c r="I11" s="4"/>
    </row>
    <row r="12" customFormat="false" ht="15" hidden="false" customHeight="false" outlineLevel="0" collapsed="false">
      <c r="A12" s="31" t="s">
        <v>436</v>
      </c>
      <c r="B12" s="31" t="s">
        <v>120</v>
      </c>
      <c r="C12" s="31" t="s">
        <v>412</v>
      </c>
      <c r="D12" s="33" t="n">
        <v>16000</v>
      </c>
      <c r="E12" s="31" t="n">
        <v>160</v>
      </c>
      <c r="F12" s="31" t="n">
        <v>100</v>
      </c>
      <c r="G12" s="31" t="n">
        <v>40</v>
      </c>
      <c r="H12" s="14" t="n">
        <f aca="false">D12*INDEX('Zoning rules'!$C$5:$C$9,MATCH(C12,'Zoning rules'!$A$5:$A$9,0))</f>
        <v>72000</v>
      </c>
      <c r="I1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7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11"/>
  </cols>
  <sheetData>
    <row r="1" customFormat="false" ht="19.7" hidden="false" customHeight="false" outlineLevel="0" collapsed="false">
      <c r="A1" s="1" t="s">
        <v>437</v>
      </c>
    </row>
    <row r="2" customFormat="false" ht="15" hidden="false" customHeight="false" outlineLevel="0" collapsed="false">
      <c r="A2" s="2" t="s">
        <v>438</v>
      </c>
    </row>
    <row r="4" customFormat="false" ht="30" hidden="false" customHeight="true" outlineLevel="0" collapsed="false">
      <c r="A4" s="30" t="s">
        <v>439</v>
      </c>
      <c r="B4" s="30" t="s">
        <v>440</v>
      </c>
      <c r="C4" s="30" t="s">
        <v>441</v>
      </c>
      <c r="D4" s="30" t="s">
        <v>442</v>
      </c>
      <c r="E4" s="30" t="s">
        <v>443</v>
      </c>
      <c r="F4" s="30" t="s">
        <v>444</v>
      </c>
      <c r="G4" s="30" t="s">
        <v>445</v>
      </c>
      <c r="H4" s="30" t="s">
        <v>446</v>
      </c>
      <c r="I4" s="30" t="s">
        <v>447</v>
      </c>
    </row>
    <row r="5" customFormat="false" ht="23.85" hidden="false" customHeight="false" outlineLevel="0" collapsed="false">
      <c r="A5" s="39" t="s">
        <v>448</v>
      </c>
      <c r="B5" s="39" t="s">
        <v>449</v>
      </c>
      <c r="C5" s="39" t="s">
        <v>450</v>
      </c>
      <c r="D5" s="39" t="s">
        <v>451</v>
      </c>
      <c r="E5" s="39" t="s">
        <v>452</v>
      </c>
      <c r="F5" s="39" t="s">
        <v>453</v>
      </c>
      <c r="G5" s="39" t="n">
        <v>3</v>
      </c>
      <c r="H5" s="39" t="s">
        <v>454</v>
      </c>
      <c r="I5" s="40" t="n">
        <v>0.9</v>
      </c>
    </row>
    <row r="6" customFormat="false" ht="23.85" hidden="false" customHeight="false" outlineLevel="0" collapsed="false">
      <c r="A6" s="39" t="s">
        <v>455</v>
      </c>
      <c r="B6" s="39" t="s">
        <v>456</v>
      </c>
      <c r="C6" s="39" t="s">
        <v>457</v>
      </c>
      <c r="D6" s="39" t="s">
        <v>458</v>
      </c>
      <c r="E6" s="39" t="s">
        <v>459</v>
      </c>
      <c r="F6" s="39" t="s">
        <v>460</v>
      </c>
      <c r="G6" s="39" t="n">
        <v>0.5</v>
      </c>
      <c r="H6" s="39" t="s">
        <v>461</v>
      </c>
      <c r="I6" s="40" t="n">
        <v>0.85</v>
      </c>
    </row>
    <row r="7" customFormat="false" ht="15" hidden="false" customHeight="false" outlineLevel="0" collapsed="false">
      <c r="A7" s="39" t="s">
        <v>455</v>
      </c>
      <c r="B7" s="39" t="s">
        <v>456</v>
      </c>
      <c r="C7" s="39" t="s">
        <v>457</v>
      </c>
      <c r="D7" s="39" t="s">
        <v>458</v>
      </c>
      <c r="E7" s="39" t="s">
        <v>462</v>
      </c>
      <c r="F7" s="39" t="s">
        <v>463</v>
      </c>
      <c r="G7" s="39" t="n">
        <v>-5</v>
      </c>
      <c r="H7" s="39" t="s">
        <v>464</v>
      </c>
      <c r="I7" s="40" t="n">
        <v>0.85</v>
      </c>
    </row>
    <row r="8" customFormat="false" ht="23.85" hidden="false" customHeight="false" outlineLevel="0" collapsed="false">
      <c r="A8" s="39" t="s">
        <v>465</v>
      </c>
      <c r="B8" s="39" t="s">
        <v>466</v>
      </c>
      <c r="C8" s="39" t="s">
        <v>467</v>
      </c>
      <c r="D8" s="39" t="s">
        <v>468</v>
      </c>
      <c r="E8" s="39" t="s">
        <v>469</v>
      </c>
      <c r="F8" s="39" t="s">
        <v>470</v>
      </c>
      <c r="G8" s="39" t="n">
        <v>8</v>
      </c>
      <c r="H8" s="39" t="s">
        <v>471</v>
      </c>
      <c r="I8" s="40" t="n">
        <v>0.95</v>
      </c>
    </row>
    <row r="9" customFormat="false" ht="23.85" hidden="false" customHeight="false" outlineLevel="0" collapsed="false">
      <c r="A9" s="39" t="s">
        <v>472</v>
      </c>
      <c r="B9" s="39" t="s">
        <v>473</v>
      </c>
      <c r="C9" s="39" t="s">
        <v>474</v>
      </c>
      <c r="D9" s="39" t="s">
        <v>475</v>
      </c>
      <c r="E9" s="39" t="s">
        <v>476</v>
      </c>
      <c r="F9" s="39" t="s">
        <v>477</v>
      </c>
      <c r="G9" s="39" t="n">
        <v>-5.2</v>
      </c>
      <c r="H9" s="39" t="s">
        <v>478</v>
      </c>
      <c r="I9" s="40" t="n">
        <v>0.8</v>
      </c>
    </row>
    <row r="10" customFormat="false" ht="23.85" hidden="false" customHeight="false" outlineLevel="0" collapsed="false">
      <c r="A10" s="39" t="s">
        <v>479</v>
      </c>
      <c r="B10" s="39" t="s">
        <v>480</v>
      </c>
      <c r="C10" s="39" t="s">
        <v>481</v>
      </c>
      <c r="D10" s="39" t="s">
        <v>482</v>
      </c>
      <c r="E10" s="39" t="s">
        <v>483</v>
      </c>
      <c r="F10" s="39" t="s">
        <v>484</v>
      </c>
      <c r="G10" s="39" t="n">
        <v>-3.3</v>
      </c>
      <c r="H10" s="39" t="s">
        <v>485</v>
      </c>
      <c r="I10" s="40" t="n">
        <v>0.9</v>
      </c>
    </row>
    <row r="11" customFormat="false" ht="23.85" hidden="false" customHeight="false" outlineLevel="0" collapsed="false">
      <c r="A11" s="39" t="s">
        <v>486</v>
      </c>
      <c r="B11" s="39" t="s">
        <v>487</v>
      </c>
      <c r="C11" s="39" t="s">
        <v>488</v>
      </c>
      <c r="D11" s="39" t="s">
        <v>489</v>
      </c>
      <c r="E11" s="39" t="s">
        <v>490</v>
      </c>
      <c r="F11" s="39" t="s">
        <v>491</v>
      </c>
      <c r="G11" s="39" t="n">
        <v>-4.2</v>
      </c>
      <c r="H11" s="39" t="s">
        <v>492</v>
      </c>
      <c r="I11" s="40" t="n">
        <v>0.75</v>
      </c>
    </row>
    <row r="12" customFormat="false" ht="15" hidden="false" customHeight="false" outlineLevel="0" collapsed="false">
      <c r="A12" s="39" t="s">
        <v>493</v>
      </c>
      <c r="B12" s="39" t="s">
        <v>494</v>
      </c>
      <c r="C12" s="39" t="s">
        <v>495</v>
      </c>
      <c r="D12" s="39" t="s">
        <v>496</v>
      </c>
      <c r="E12" s="39" t="s">
        <v>497</v>
      </c>
      <c r="F12" s="39" t="s">
        <v>291</v>
      </c>
      <c r="G12" s="39" t="s">
        <v>291</v>
      </c>
      <c r="H12" s="39" t="s">
        <v>498</v>
      </c>
      <c r="I12" s="39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2026-09-29T13:51:39Z</dcterms:created>
  <dc:creator>openpyxl</dc:creator>
  <dc:description/>
  <dc:language>en-US</dc:language>
  <cp:lastModifiedBy/>
  <dcterms:modified xsi:type="dcterms:W3CDTF">2026-09-29T13:51:39Z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